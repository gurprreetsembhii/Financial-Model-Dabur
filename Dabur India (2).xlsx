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1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4.xml" ContentType="application/vnd.openxmlformats-officedocument.drawing+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5.xml" ContentType="application/vnd.openxmlformats-officedocument.drawing+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C:\Users\mk158\Downloads\"/>
    </mc:Choice>
  </mc:AlternateContent>
  <xr:revisionPtr revIDLastSave="0" documentId="13_ncr:1_{EE25BD2A-2A59-4286-8F65-660A896744B8}" xr6:coauthVersionLast="47" xr6:coauthVersionMax="47" xr10:uidLastSave="{00000000-0000-0000-0000-000000000000}"/>
  <bookViews>
    <workbookView xWindow="-108" yWindow="-108" windowWidth="23256" windowHeight="13176" tabRatio="839" firstSheet="9" activeTab="15" xr2:uid="{00000000-000D-0000-FFFF-FFFF00000000}"/>
  </bookViews>
  <sheets>
    <sheet name="Profit &amp; Loss" sheetId="1" state="hidden" r:id="rId1"/>
    <sheet name="Quarters" sheetId="3" state="hidden" r:id="rId2"/>
    <sheet name="Balance Sheet" sheetId="2" state="hidden" r:id="rId3"/>
    <sheet name="Cash Flow" sheetId="4" state="hidden" r:id="rId4"/>
    <sheet name="Customization" sheetId="5" state="hidden" r:id="rId5"/>
    <sheet name="Data Room&gt;" sheetId="7" r:id="rId6"/>
    <sheet name="Raw FS" sheetId="14" r:id="rId7"/>
    <sheet name="Data Sheet" sheetId="6" r:id="rId8"/>
    <sheet name="Financials&gt;" sheetId="8" r:id="rId9"/>
    <sheet name="Historical FS" sheetId="9" r:id="rId10"/>
    <sheet name="Ratios" sheetId="11" r:id="rId11"/>
    <sheet name="Common Size Statement" sheetId="13" r:id="rId12"/>
    <sheet name="Forecasting" sheetId="12" r:id="rId13"/>
    <sheet name="Market Return" sheetId="20" r:id="rId14"/>
    <sheet name="WACC" sheetId="19" r:id="rId15"/>
    <sheet name="Intrinsic Growth" sheetId="16" r:id="rId16"/>
    <sheet name="DCF" sheetId="17" r:id="rId17"/>
    <sheet name="Comps Val" sheetId="18" r:id="rId18"/>
    <sheet name="Football Field Analysis" sheetId="22" r:id="rId19"/>
    <sheet name="VAR" sheetId="21" r:id="rId20"/>
    <sheet name="Dupont Analysis" sheetId="23" r:id="rId21"/>
    <sheet name="Altman's Z-Score" sheetId="24" r:id="rId22"/>
    <sheet name="one page report" sheetId="25" r:id="rId23"/>
    <sheet name="Rough" sheetId="26" r:id="rId24"/>
  </sheets>
  <definedNames>
    <definedName name="_xlnm._FilterDatabase" localSheetId="19" hidden="1">VAR!$Q$7:$S$7</definedName>
    <definedName name="_xlchart.v1.0" hidden="1">VAR!$G$7:$G$5006</definedName>
    <definedName name="_xlchart.v1.1" hidden="1">VAR!$G$7:$G$5006</definedName>
    <definedName name="_xlnm.Print_Area" localSheetId="20">'Dupont Analysis'!$A$1:$J$112</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7" i="6" l="1"/>
  <c r="K77" i="6"/>
  <c r="J77" i="6"/>
  <c r="I77" i="6"/>
  <c r="H77" i="6"/>
  <c r="G77" i="6"/>
  <c r="F77" i="6"/>
  <c r="E77" i="6"/>
  <c r="D77" i="6"/>
  <c r="C77" i="6"/>
  <c r="B77" i="6"/>
  <c r="N51" i="25"/>
  <c r="N49" i="25"/>
  <c r="N50" i="25"/>
  <c r="V54" i="26"/>
  <c r="E33" i="25"/>
  <c r="G34" i="25"/>
  <c r="G35" i="25"/>
  <c r="G36" i="25"/>
  <c r="G37" i="25"/>
  <c r="G38" i="25"/>
  <c r="G39" i="25"/>
  <c r="G40" i="25"/>
  <c r="G41" i="25"/>
  <c r="G42" i="25"/>
  <c r="G33" i="25"/>
  <c r="E34" i="25"/>
  <c r="E35" i="25"/>
  <c r="E36" i="25"/>
  <c r="E37" i="25"/>
  <c r="E38" i="25"/>
  <c r="E39" i="25"/>
  <c r="E40" i="25"/>
  <c r="E41" i="25"/>
  <c r="E42" i="25"/>
  <c r="B42" i="25"/>
  <c r="B41" i="25"/>
  <c r="B40" i="25"/>
  <c r="B39" i="25"/>
  <c r="B38" i="25"/>
  <c r="X47" i="26"/>
  <c r="H42" i="25" s="1"/>
  <c r="X46" i="26"/>
  <c r="H41" i="25" s="1"/>
  <c r="X45" i="26"/>
  <c r="H40" i="25" s="1"/>
  <c r="X44" i="26"/>
  <c r="H39" i="25" s="1"/>
  <c r="X43" i="26"/>
  <c r="H38" i="25" s="1"/>
  <c r="X42" i="26"/>
  <c r="H37" i="25" s="1"/>
  <c r="X41" i="26"/>
  <c r="H36" i="25" s="1"/>
  <c r="X40" i="26"/>
  <c r="H35" i="25" s="1"/>
  <c r="X39" i="26"/>
  <c r="H34" i="25" s="1"/>
  <c r="X38" i="26"/>
  <c r="H33" i="25" s="1"/>
  <c r="B37" i="25"/>
  <c r="B34" i="25"/>
  <c r="B35" i="25"/>
  <c r="B36" i="25"/>
  <c r="B33" i="25"/>
  <c r="J97" i="6"/>
  <c r="H26" i="25" s="1"/>
  <c r="I97" i="6"/>
  <c r="G26" i="25" s="1"/>
  <c r="H97" i="6"/>
  <c r="F26" i="25" s="1"/>
  <c r="G97" i="6"/>
  <c r="E26" i="25" s="1"/>
  <c r="F97" i="6"/>
  <c r="E97" i="6"/>
  <c r="D97" i="6"/>
  <c r="C97" i="6"/>
  <c r="K97" i="6"/>
  <c r="I26" i="25" s="1"/>
  <c r="H11" i="25"/>
  <c r="G11" i="25"/>
  <c r="F11" i="25"/>
  <c r="E11" i="25"/>
  <c r="I11" i="25"/>
  <c r="B68" i="24"/>
  <c r="J63" i="24"/>
  <c r="I63" i="24"/>
  <c r="H63" i="24"/>
  <c r="G63" i="24"/>
  <c r="F63" i="24"/>
  <c r="E63" i="24"/>
  <c r="K63" i="24"/>
  <c r="J57" i="24"/>
  <c r="I57" i="24"/>
  <c r="H57" i="24"/>
  <c r="G57" i="24"/>
  <c r="F57" i="24"/>
  <c r="E57" i="24"/>
  <c r="K57" i="24"/>
  <c r="J56" i="24"/>
  <c r="I56" i="24"/>
  <c r="H56" i="24"/>
  <c r="G56" i="24"/>
  <c r="F56" i="24"/>
  <c r="E56" i="24"/>
  <c r="K56" i="24"/>
  <c r="G45" i="9"/>
  <c r="J39" i="24"/>
  <c r="J45" i="24" s="1"/>
  <c r="J51" i="24" s="1"/>
  <c r="I39" i="24"/>
  <c r="I45" i="24" s="1"/>
  <c r="I51" i="24" s="1"/>
  <c r="H39" i="24"/>
  <c r="H45" i="24" s="1"/>
  <c r="H51" i="24" s="1"/>
  <c r="G39" i="24"/>
  <c r="F39" i="24"/>
  <c r="F45" i="24" s="1"/>
  <c r="F51" i="24" s="1"/>
  <c r="E39" i="24"/>
  <c r="E45" i="24" s="1"/>
  <c r="E51" i="24" s="1"/>
  <c r="K39" i="24"/>
  <c r="K45" i="24" s="1"/>
  <c r="K51" i="24" s="1"/>
  <c r="J38" i="24"/>
  <c r="I38" i="24"/>
  <c r="H38" i="24"/>
  <c r="G38" i="24"/>
  <c r="F38" i="24"/>
  <c r="E38" i="24"/>
  <c r="K38" i="24"/>
  <c r="B89" i="23"/>
  <c r="B92" i="23" s="1"/>
  <c r="B75" i="23"/>
  <c r="B74" i="23"/>
  <c r="B83" i="23" s="1"/>
  <c r="J67" i="23"/>
  <c r="J70" i="23" s="1"/>
  <c r="J89" i="23" s="1"/>
  <c r="J92" i="23" s="1"/>
  <c r="I67" i="23"/>
  <c r="I70" i="23" s="1"/>
  <c r="H67" i="23"/>
  <c r="H70" i="23" s="1"/>
  <c r="G67" i="23"/>
  <c r="G70" i="23" s="1"/>
  <c r="G89" i="23" s="1"/>
  <c r="G92" i="23" s="1"/>
  <c r="F67" i="23"/>
  <c r="F70" i="23" s="1"/>
  <c r="F89" i="23" s="1"/>
  <c r="G62" i="24" s="1"/>
  <c r="E67" i="23"/>
  <c r="E70" i="23" s="1"/>
  <c r="D67" i="23"/>
  <c r="D70" i="23" s="1"/>
  <c r="B5" i="23"/>
  <c r="B3" i="23"/>
  <c r="L6" i="12"/>
  <c r="G6" i="12"/>
  <c r="M8" i="12"/>
  <c r="M9" i="12" s="1"/>
  <c r="M10" i="12" s="1"/>
  <c r="M11" i="12" s="1"/>
  <c r="M12" i="12" s="1"/>
  <c r="M13" i="12" s="1"/>
  <c r="M14" i="12" s="1"/>
  <c r="M15" i="12" s="1"/>
  <c r="M16" i="12" s="1"/>
  <c r="M17" i="12" s="1"/>
  <c r="M18" i="12" s="1"/>
  <c r="M19" i="12" s="1"/>
  <c r="M20" i="12" s="1"/>
  <c r="M21" i="12" s="1"/>
  <c r="L9" i="12"/>
  <c r="L10" i="12" s="1"/>
  <c r="L11" i="12" s="1"/>
  <c r="L12" i="12" s="1"/>
  <c r="L13" i="12" s="1"/>
  <c r="L14" i="12" s="1"/>
  <c r="L15" i="12" s="1"/>
  <c r="L16" i="12" s="1"/>
  <c r="L17" i="12" s="1"/>
  <c r="L18" i="12" s="1"/>
  <c r="H8" i="12"/>
  <c r="H9" i="12" s="1"/>
  <c r="H10" i="12" s="1"/>
  <c r="H11" i="12" s="1"/>
  <c r="H12" i="12" s="1"/>
  <c r="H13" i="12" s="1"/>
  <c r="H14" i="12" s="1"/>
  <c r="H15" i="12" s="1"/>
  <c r="H16" i="12" s="1"/>
  <c r="H17" i="12" s="1"/>
  <c r="H18" i="12" s="1"/>
  <c r="H19" i="12" s="1"/>
  <c r="H20" i="12" s="1"/>
  <c r="H21" i="12" s="1"/>
  <c r="G9" i="12"/>
  <c r="G10" i="12" s="1"/>
  <c r="G11" i="12" s="1"/>
  <c r="G12" i="12" s="1"/>
  <c r="G13" i="12" s="1"/>
  <c r="G14" i="12" s="1"/>
  <c r="G15" i="12" s="1"/>
  <c r="G16" i="12" s="1"/>
  <c r="G17" i="12" s="1"/>
  <c r="G18" i="12" s="1"/>
  <c r="B6" i="12"/>
  <c r="D7" i="21"/>
  <c r="N13" i="22"/>
  <c r="N12" i="22"/>
  <c r="N11" i="22"/>
  <c r="L13" i="22"/>
  <c r="L12" i="22"/>
  <c r="L11" i="22"/>
  <c r="O13" i="22"/>
  <c r="O12" i="22"/>
  <c r="O11" i="22"/>
  <c r="M13" i="22"/>
  <c r="M12" i="22"/>
  <c r="M11" i="22"/>
  <c r="J33" i="21"/>
  <c r="J32" i="21"/>
  <c r="J31" i="21"/>
  <c r="J19" i="21"/>
  <c r="J18" i="21"/>
  <c r="J17" i="21"/>
  <c r="M13" i="21"/>
  <c r="M27" i="21" s="1"/>
  <c r="K19" i="21"/>
  <c r="K18" i="21"/>
  <c r="K17" i="21"/>
  <c r="M12" i="21"/>
  <c r="M11" i="21"/>
  <c r="M10" i="21"/>
  <c r="M9" i="21"/>
  <c r="D253" i="21"/>
  <c r="D252" i="21"/>
  <c r="D251" i="21"/>
  <c r="D250" i="21"/>
  <c r="D249" i="21"/>
  <c r="D248" i="21"/>
  <c r="D247" i="21"/>
  <c r="D246" i="21"/>
  <c r="D245" i="21"/>
  <c r="D244" i="21"/>
  <c r="D243" i="21"/>
  <c r="D242" i="21"/>
  <c r="D241" i="21"/>
  <c r="D240" i="21"/>
  <c r="D239" i="21"/>
  <c r="D238" i="21"/>
  <c r="D237" i="21"/>
  <c r="D236" i="21"/>
  <c r="D235" i="21"/>
  <c r="D234" i="21"/>
  <c r="D233" i="21"/>
  <c r="D232" i="21"/>
  <c r="D231" i="21"/>
  <c r="D230" i="21"/>
  <c r="D229" i="21"/>
  <c r="D228" i="21"/>
  <c r="D227" i="21"/>
  <c r="D226" i="21"/>
  <c r="D225" i="21"/>
  <c r="D224" i="21"/>
  <c r="D223" i="21"/>
  <c r="D222" i="21"/>
  <c r="D221" i="21"/>
  <c r="D220" i="21"/>
  <c r="D219" i="21"/>
  <c r="D218" i="21"/>
  <c r="D217" i="21"/>
  <c r="D216" i="21"/>
  <c r="D215" i="21"/>
  <c r="D214" i="21"/>
  <c r="D213" i="21"/>
  <c r="D212" i="21"/>
  <c r="D211" i="21"/>
  <c r="D210" i="21"/>
  <c r="D209" i="21"/>
  <c r="D208" i="21"/>
  <c r="D207" i="21"/>
  <c r="D206" i="21"/>
  <c r="D205" i="21"/>
  <c r="D204" i="21"/>
  <c r="D203" i="21"/>
  <c r="D202" i="21"/>
  <c r="D201" i="21"/>
  <c r="D200" i="21"/>
  <c r="D199" i="21"/>
  <c r="D198" i="21"/>
  <c r="D197" i="21"/>
  <c r="D196" i="21"/>
  <c r="D195" i="21"/>
  <c r="D194" i="21"/>
  <c r="D193" i="21"/>
  <c r="D192" i="21"/>
  <c r="D191" i="21"/>
  <c r="D190" i="21"/>
  <c r="D189" i="21"/>
  <c r="D188" i="21"/>
  <c r="D187" i="21"/>
  <c r="D186" i="21"/>
  <c r="D185" i="21"/>
  <c r="D184" i="21"/>
  <c r="D183" i="21"/>
  <c r="D182" i="21"/>
  <c r="D181" i="21"/>
  <c r="D180" i="21"/>
  <c r="D179" i="21"/>
  <c r="D178" i="21"/>
  <c r="D177" i="21"/>
  <c r="D176" i="21"/>
  <c r="D175" i="21"/>
  <c r="D174" i="21"/>
  <c r="D173" i="21"/>
  <c r="D172" i="21"/>
  <c r="D171" i="21"/>
  <c r="D170" i="21"/>
  <c r="D169" i="21"/>
  <c r="D168" i="21"/>
  <c r="D167" i="21"/>
  <c r="D166" i="21"/>
  <c r="D165" i="21"/>
  <c r="D164" i="21"/>
  <c r="D163" i="21"/>
  <c r="D162" i="21"/>
  <c r="D161" i="21"/>
  <c r="D160" i="21"/>
  <c r="D159" i="21"/>
  <c r="D158" i="21"/>
  <c r="D157" i="21"/>
  <c r="D156" i="21"/>
  <c r="D155" i="21"/>
  <c r="D154" i="21"/>
  <c r="D153" i="21"/>
  <c r="D152" i="21"/>
  <c r="D151" i="21"/>
  <c r="D150" i="21"/>
  <c r="D149" i="21"/>
  <c r="D148" i="21"/>
  <c r="D147" i="21"/>
  <c r="D146" i="21"/>
  <c r="D145" i="21"/>
  <c r="D144" i="21"/>
  <c r="D143" i="21"/>
  <c r="D142" i="21"/>
  <c r="D141" i="21"/>
  <c r="D140" i="21"/>
  <c r="D139" i="21"/>
  <c r="D138" i="21"/>
  <c r="D137" i="21"/>
  <c r="D136" i="21"/>
  <c r="D135" i="21"/>
  <c r="D134" i="21"/>
  <c r="D133" i="21"/>
  <c r="D132" i="21"/>
  <c r="D131" i="21"/>
  <c r="D130" i="21"/>
  <c r="D129" i="21"/>
  <c r="D128" i="21"/>
  <c r="D127" i="21"/>
  <c r="D126" i="21"/>
  <c r="D125" i="21"/>
  <c r="D124" i="21"/>
  <c r="D123" i="21"/>
  <c r="D122" i="21"/>
  <c r="D121" i="21"/>
  <c r="D120" i="21"/>
  <c r="D119" i="21"/>
  <c r="D118" i="21"/>
  <c r="D117" i="21"/>
  <c r="D116" i="21"/>
  <c r="D115" i="21"/>
  <c r="D114" i="21"/>
  <c r="D113" i="21"/>
  <c r="D112" i="21"/>
  <c r="D111" i="21"/>
  <c r="D110" i="21"/>
  <c r="D109" i="21"/>
  <c r="D108" i="21"/>
  <c r="D107" i="21"/>
  <c r="D106" i="21"/>
  <c r="D105" i="21"/>
  <c r="D104" i="21"/>
  <c r="D103" i="21"/>
  <c r="D102" i="21"/>
  <c r="D101" i="21"/>
  <c r="D100" i="21"/>
  <c r="D99" i="21"/>
  <c r="D98" i="21"/>
  <c r="D97" i="21"/>
  <c r="D96" i="21"/>
  <c r="D95" i="21"/>
  <c r="D94" i="21"/>
  <c r="D93" i="21"/>
  <c r="D92" i="21"/>
  <c r="D91" i="21"/>
  <c r="D90" i="21"/>
  <c r="D89" i="21"/>
  <c r="D88" i="21"/>
  <c r="D87" i="21"/>
  <c r="D86" i="21"/>
  <c r="D85" i="21"/>
  <c r="D84" i="21"/>
  <c r="D83" i="21"/>
  <c r="D82" i="21"/>
  <c r="D81" i="21"/>
  <c r="D80" i="21"/>
  <c r="D79" i="21"/>
  <c r="D78" i="21"/>
  <c r="D77" i="21"/>
  <c r="D76" i="21"/>
  <c r="D75" i="21"/>
  <c r="D74" i="21"/>
  <c r="D73" i="21"/>
  <c r="D72" i="21"/>
  <c r="D71" i="21"/>
  <c r="D70" i="21"/>
  <c r="D69" i="21"/>
  <c r="D68" i="21"/>
  <c r="D67" i="21"/>
  <c r="D66" i="21"/>
  <c r="D65" i="21"/>
  <c r="D64" i="21"/>
  <c r="D63" i="21"/>
  <c r="D62" i="21"/>
  <c r="D61" i="21"/>
  <c r="D60" i="21"/>
  <c r="D8" i="21"/>
  <c r="D59" i="21"/>
  <c r="D58" i="21"/>
  <c r="D57" i="21"/>
  <c r="D56" i="21"/>
  <c r="D55" i="21"/>
  <c r="D54" i="21"/>
  <c r="D53" i="21"/>
  <c r="D52" i="21"/>
  <c r="D51" i="21"/>
  <c r="D50" i="21"/>
  <c r="D49" i="21"/>
  <c r="D48" i="21"/>
  <c r="D47" i="21"/>
  <c r="D46" i="21"/>
  <c r="D45" i="21"/>
  <c r="D44" i="21"/>
  <c r="D43" i="21"/>
  <c r="D42" i="21"/>
  <c r="D41" i="21"/>
  <c r="D40" i="21"/>
  <c r="D39" i="21"/>
  <c r="D38" i="21"/>
  <c r="D37" i="21"/>
  <c r="D36" i="21"/>
  <c r="D35" i="21"/>
  <c r="D34" i="21"/>
  <c r="D33" i="21"/>
  <c r="D32" i="21"/>
  <c r="D31" i="21"/>
  <c r="D30" i="21"/>
  <c r="D29" i="21"/>
  <c r="D28" i="21"/>
  <c r="D27" i="21"/>
  <c r="D26" i="21"/>
  <c r="D25" i="21"/>
  <c r="D24" i="21"/>
  <c r="D23" i="21"/>
  <c r="D22" i="21"/>
  <c r="D21" i="21"/>
  <c r="D20" i="21"/>
  <c r="D19" i="21"/>
  <c r="D18" i="21"/>
  <c r="D17" i="21"/>
  <c r="D16" i="21"/>
  <c r="D15" i="21"/>
  <c r="D14" i="21"/>
  <c r="D13" i="21"/>
  <c r="D12" i="21"/>
  <c r="D11" i="21"/>
  <c r="D10" i="21"/>
  <c r="D9" i="21"/>
  <c r="L35" i="19"/>
  <c r="D35" i="19"/>
  <c r="D34" i="19"/>
  <c r="F27" i="19"/>
  <c r="K41" i="19" s="1"/>
  <c r="K20" i="19"/>
  <c r="H20" i="19"/>
  <c r="K19" i="19"/>
  <c r="H19" i="19"/>
  <c r="J17" i="19"/>
  <c r="I17" i="19"/>
  <c r="L17" i="19" s="1"/>
  <c r="J16" i="19"/>
  <c r="I16" i="19"/>
  <c r="L16" i="19" s="1"/>
  <c r="J15" i="19"/>
  <c r="I15" i="19"/>
  <c r="L15" i="19" s="1"/>
  <c r="J14" i="19"/>
  <c r="I14" i="19"/>
  <c r="L14" i="19" s="1"/>
  <c r="J13" i="19"/>
  <c r="I13" i="19"/>
  <c r="L13" i="19" s="1"/>
  <c r="I9" i="20"/>
  <c r="I11" i="20" s="1"/>
  <c r="L26" i="19" s="1"/>
  <c r="L19" i="18"/>
  <c r="L18" i="18"/>
  <c r="L17" i="18"/>
  <c r="L16" i="18"/>
  <c r="L15" i="18"/>
  <c r="L14" i="18"/>
  <c r="L13" i="18"/>
  <c r="L12" i="18"/>
  <c r="L11" i="18"/>
  <c r="K19" i="18"/>
  <c r="K18" i="18"/>
  <c r="K17" i="18"/>
  <c r="K16" i="18"/>
  <c r="K15" i="18"/>
  <c r="K14" i="18"/>
  <c r="K13" i="18"/>
  <c r="K12" i="18"/>
  <c r="K11" i="18"/>
  <c r="J19" i="18"/>
  <c r="J18" i="18"/>
  <c r="J17" i="18"/>
  <c r="J16" i="18"/>
  <c r="J15" i="18"/>
  <c r="J14" i="18"/>
  <c r="J13" i="18"/>
  <c r="J12" i="18"/>
  <c r="J11" i="18"/>
  <c r="H19" i="18"/>
  <c r="H18" i="18"/>
  <c r="H17" i="18"/>
  <c r="H16" i="18"/>
  <c r="H15" i="18"/>
  <c r="H14" i="18"/>
  <c r="H13" i="18"/>
  <c r="H12" i="18"/>
  <c r="H11" i="18"/>
  <c r="E19" i="18"/>
  <c r="D19" i="18"/>
  <c r="E18" i="18"/>
  <c r="D18" i="18"/>
  <c r="E17" i="18"/>
  <c r="D17" i="18"/>
  <c r="E16" i="18"/>
  <c r="D16" i="18"/>
  <c r="E15" i="18"/>
  <c r="D15" i="18"/>
  <c r="E14" i="18"/>
  <c r="D14" i="18"/>
  <c r="E13" i="18"/>
  <c r="D13" i="18"/>
  <c r="E12" i="18"/>
  <c r="D12" i="18"/>
  <c r="E11" i="18"/>
  <c r="D11" i="18"/>
  <c r="M82" i="14"/>
  <c r="G19" i="18" s="1"/>
  <c r="M81" i="14"/>
  <c r="G18" i="18" s="1"/>
  <c r="M80" i="14"/>
  <c r="G17" i="18" s="1"/>
  <c r="M79" i="14"/>
  <c r="G16" i="18" s="1"/>
  <c r="M78" i="14"/>
  <c r="G10" i="18" s="1"/>
  <c r="P31" i="18" s="1"/>
  <c r="M77" i="14"/>
  <c r="G15" i="18" s="1"/>
  <c r="M76" i="14"/>
  <c r="G14" i="18" s="1"/>
  <c r="M75" i="14"/>
  <c r="G13" i="18" s="1"/>
  <c r="M74" i="14"/>
  <c r="G12" i="18" s="1"/>
  <c r="M73" i="14"/>
  <c r="G11" i="18" s="1"/>
  <c r="L10" i="18"/>
  <c r="K10" i="18"/>
  <c r="J10" i="18"/>
  <c r="H10" i="18"/>
  <c r="E10" i="18"/>
  <c r="P33" i="18" s="1"/>
  <c r="D10" i="18"/>
  <c r="B10" i="18"/>
  <c r="D41" i="17"/>
  <c r="D35" i="17"/>
  <c r="D36" i="17"/>
  <c r="E27" i="25" l="1"/>
  <c r="F27" i="25"/>
  <c r="G27" i="25"/>
  <c r="I27" i="25"/>
  <c r="H27" i="25"/>
  <c r="H62" i="24"/>
  <c r="K62" i="24"/>
  <c r="G40" i="24"/>
  <c r="H40" i="24"/>
  <c r="K40" i="24"/>
  <c r="E40" i="24"/>
  <c r="I40" i="24"/>
  <c r="F40" i="24"/>
  <c r="J40" i="24"/>
  <c r="G45" i="24"/>
  <c r="H89" i="23"/>
  <c r="F92" i="23"/>
  <c r="E89" i="23"/>
  <c r="I89" i="23"/>
  <c r="B93" i="23"/>
  <c r="D89" i="23"/>
  <c r="L19" i="12"/>
  <c r="G19" i="12"/>
  <c r="N10" i="18"/>
  <c r="O11" i="18"/>
  <c r="O19" i="18"/>
  <c r="N14" i="18"/>
  <c r="N18" i="18"/>
  <c r="F19" i="18"/>
  <c r="P19" i="18" s="1"/>
  <c r="N11" i="18"/>
  <c r="N15" i="18"/>
  <c r="N19" i="18"/>
  <c r="O13" i="18"/>
  <c r="O17" i="18"/>
  <c r="O15" i="18"/>
  <c r="F11" i="18"/>
  <c r="P11" i="18" s="1"/>
  <c r="N13" i="18"/>
  <c r="F15" i="18"/>
  <c r="P15" i="18" s="1"/>
  <c r="N17" i="18"/>
  <c r="O12" i="18"/>
  <c r="O16" i="18"/>
  <c r="G3871" i="21"/>
  <c r="G22" i="21"/>
  <c r="G97" i="21"/>
  <c r="G244" i="21"/>
  <c r="G436" i="21"/>
  <c r="G564" i="21"/>
  <c r="G756" i="21"/>
  <c r="G948" i="21"/>
  <c r="G1140" i="21"/>
  <c r="G1332" i="21"/>
  <c r="G1500" i="21"/>
  <c r="G1756" i="21"/>
  <c r="G2503" i="21"/>
  <c r="G3105" i="21"/>
  <c r="G23" i="21"/>
  <c r="G98" i="21"/>
  <c r="G184" i="21"/>
  <c r="G309" i="21"/>
  <c r="G501" i="21"/>
  <c r="G629" i="21"/>
  <c r="G821" i="21"/>
  <c r="G1013" i="21"/>
  <c r="G1205" i="21"/>
  <c r="G3233" i="21"/>
  <c r="G38" i="21"/>
  <c r="G76" i="21"/>
  <c r="G118" i="21"/>
  <c r="G161" i="21"/>
  <c r="G212" i="21"/>
  <c r="G276" i="21"/>
  <c r="G340" i="21"/>
  <c r="G404" i="21"/>
  <c r="G468" i="21"/>
  <c r="G532" i="21"/>
  <c r="G596" i="21"/>
  <c r="G660" i="21"/>
  <c r="G724" i="21"/>
  <c r="G788" i="21"/>
  <c r="G852" i="21"/>
  <c r="G916" i="21"/>
  <c r="G980" i="21"/>
  <c r="G1044" i="21"/>
  <c r="G1108" i="21"/>
  <c r="G1172" i="21"/>
  <c r="G1236" i="21"/>
  <c r="G1300" i="21"/>
  <c r="G1364" i="21"/>
  <c r="G1436" i="21"/>
  <c r="G1564" i="21"/>
  <c r="G1692" i="21"/>
  <c r="G1884" i="21"/>
  <c r="G2247" i="21"/>
  <c r="G2759" i="21"/>
  <c r="G3700" i="21"/>
  <c r="G54" i="21"/>
  <c r="G140" i="21"/>
  <c r="G182" i="21"/>
  <c r="G308" i="21"/>
  <c r="G372" i="21"/>
  <c r="G500" i="21"/>
  <c r="G628" i="21"/>
  <c r="G692" i="21"/>
  <c r="G820" i="21"/>
  <c r="G884" i="21"/>
  <c r="G1012" i="21"/>
  <c r="G1076" i="21"/>
  <c r="G1204" i="21"/>
  <c r="G1268" i="21"/>
  <c r="G1396" i="21"/>
  <c r="G1628" i="21"/>
  <c r="G2048" i="21"/>
  <c r="G4098" i="21"/>
  <c r="G56" i="21"/>
  <c r="G141" i="21"/>
  <c r="G245" i="21"/>
  <c r="G373" i="21"/>
  <c r="G437" i="21"/>
  <c r="G565" i="21"/>
  <c r="G693" i="21"/>
  <c r="G757" i="21"/>
  <c r="G885" i="21"/>
  <c r="G949" i="21"/>
  <c r="G1077" i="21"/>
  <c r="G1141" i="21"/>
  <c r="G1269" i="21"/>
  <c r="G1333" i="21"/>
  <c r="G1397" i="21"/>
  <c r="G1501" i="21"/>
  <c r="G1629" i="21"/>
  <c r="G1788" i="21"/>
  <c r="G2091" i="21"/>
  <c r="G2567" i="21"/>
  <c r="G7" i="21"/>
  <c r="G39" i="21"/>
  <c r="G77" i="21"/>
  <c r="G120" i="21"/>
  <c r="G162" i="21"/>
  <c r="G213" i="21"/>
  <c r="G277" i="21"/>
  <c r="G341" i="21"/>
  <c r="G405" i="21"/>
  <c r="G469" i="21"/>
  <c r="G533" i="21"/>
  <c r="G597" i="21"/>
  <c r="G661" i="21"/>
  <c r="G725" i="21"/>
  <c r="G789" i="21"/>
  <c r="G853" i="21"/>
  <c r="G917" i="21"/>
  <c r="G981" i="21"/>
  <c r="G1045" i="21"/>
  <c r="G1109" i="21"/>
  <c r="G1173" i="21"/>
  <c r="G1237" i="21"/>
  <c r="G1301" i="21"/>
  <c r="G1365" i="21"/>
  <c r="G1437" i="21"/>
  <c r="G1565" i="21"/>
  <c r="G1693" i="21"/>
  <c r="G1920" i="21"/>
  <c r="G2311" i="21"/>
  <c r="G2842" i="21"/>
  <c r="G14" i="21"/>
  <c r="G30" i="21"/>
  <c r="G46" i="21"/>
  <c r="G65" i="21"/>
  <c r="G86" i="21"/>
  <c r="G108" i="21"/>
  <c r="G129" i="21"/>
  <c r="G150" i="21"/>
  <c r="G172" i="21"/>
  <c r="G196" i="21"/>
  <c r="G228" i="21"/>
  <c r="G260" i="21"/>
  <c r="G292" i="21"/>
  <c r="G324" i="21"/>
  <c r="G356" i="21"/>
  <c r="G388" i="21"/>
  <c r="G420" i="21"/>
  <c r="G452" i="21"/>
  <c r="G484" i="21"/>
  <c r="G516" i="21"/>
  <c r="G548" i="21"/>
  <c r="G580" i="21"/>
  <c r="G612" i="21"/>
  <c r="G644" i="21"/>
  <c r="G676" i="21"/>
  <c r="G708" i="21"/>
  <c r="G740" i="21"/>
  <c r="G772" i="21"/>
  <c r="G804" i="21"/>
  <c r="G836" i="21"/>
  <c r="G868" i="21"/>
  <c r="G900" i="21"/>
  <c r="G932" i="21"/>
  <c r="G964" i="21"/>
  <c r="G996" i="21"/>
  <c r="G1028" i="21"/>
  <c r="G1060" i="21"/>
  <c r="G1092" i="21"/>
  <c r="G1124" i="21"/>
  <c r="G1156" i="21"/>
  <c r="G1188" i="21"/>
  <c r="G1220" i="21"/>
  <c r="G1252" i="21"/>
  <c r="G1284" i="21"/>
  <c r="G1316" i="21"/>
  <c r="G1348" i="21"/>
  <c r="G1380" i="21"/>
  <c r="G1412" i="21"/>
  <c r="G1468" i="21"/>
  <c r="G1532" i="21"/>
  <c r="G1596" i="21"/>
  <c r="G1660" i="21"/>
  <c r="G1724" i="21"/>
  <c r="G1820" i="21"/>
  <c r="G1963" i="21"/>
  <c r="G2133" i="21"/>
  <c r="G2375" i="21"/>
  <c r="G2631" i="21"/>
  <c r="G2927" i="21"/>
  <c r="G3361" i="21"/>
  <c r="G4392" i="21"/>
  <c r="G4099" i="21"/>
  <c r="G3872" i="21"/>
  <c r="G3702" i="21"/>
  <c r="G3531" i="21"/>
  <c r="G3362" i="21"/>
  <c r="G3234" i="21"/>
  <c r="G3106" i="21"/>
  <c r="G3014" i="21"/>
  <c r="G2929" i="21"/>
  <c r="G2843" i="21"/>
  <c r="G2760" i="21"/>
  <c r="G2696" i="21"/>
  <c r="G2632" i="21"/>
  <c r="G2568" i="21"/>
  <c r="G2504" i="21"/>
  <c r="G2440" i="21"/>
  <c r="G2376" i="21"/>
  <c r="G2312" i="21"/>
  <c r="G2248" i="21"/>
  <c r="G2184" i="21"/>
  <c r="G2135" i="21"/>
  <c r="G2092" i="21"/>
  <c r="G2049" i="21"/>
  <c r="G2007" i="21"/>
  <c r="G1964" i="21"/>
  <c r="G1921" i="21"/>
  <c r="G1885" i="21"/>
  <c r="G1853" i="21"/>
  <c r="G1821" i="21"/>
  <c r="G1789" i="21"/>
  <c r="G1757" i="21"/>
  <c r="G15" i="21"/>
  <c r="G31" i="21"/>
  <c r="G47" i="21"/>
  <c r="G66" i="21"/>
  <c r="G88" i="21"/>
  <c r="G109" i="21"/>
  <c r="G130" i="21"/>
  <c r="G152" i="21"/>
  <c r="G173" i="21"/>
  <c r="G197" i="21"/>
  <c r="G229" i="21"/>
  <c r="G261" i="21"/>
  <c r="G293" i="21"/>
  <c r="G325" i="21"/>
  <c r="G357" i="21"/>
  <c r="G389" i="21"/>
  <c r="G421" i="21"/>
  <c r="G453" i="21"/>
  <c r="G485" i="21"/>
  <c r="G517" i="21"/>
  <c r="G549" i="21"/>
  <c r="G581" i="21"/>
  <c r="G613" i="21"/>
  <c r="G645" i="21"/>
  <c r="G677" i="21"/>
  <c r="G709" i="21"/>
  <c r="G741" i="21"/>
  <c r="G773" i="21"/>
  <c r="G805" i="21"/>
  <c r="G837" i="21"/>
  <c r="G869" i="21"/>
  <c r="G901" i="21"/>
  <c r="G933" i="21"/>
  <c r="G965" i="21"/>
  <c r="G997" i="21"/>
  <c r="G1029" i="21"/>
  <c r="G1061" i="21"/>
  <c r="G1093" i="21"/>
  <c r="G1125" i="21"/>
  <c r="G1157" i="21"/>
  <c r="G1189" i="21"/>
  <c r="G1221" i="21"/>
  <c r="G1253" i="21"/>
  <c r="G1285" i="21"/>
  <c r="G1317" i="21"/>
  <c r="G1349" i="21"/>
  <c r="G1381" i="21"/>
  <c r="G1413" i="21"/>
  <c r="G1469" i="21"/>
  <c r="G1533" i="21"/>
  <c r="G1597" i="21"/>
  <c r="G1661" i="21"/>
  <c r="G1725" i="21"/>
  <c r="G1852" i="21"/>
  <c r="G2005" i="21"/>
  <c r="G2183" i="21"/>
  <c r="G2439" i="21"/>
  <c r="G2695" i="21"/>
  <c r="G3013" i="21"/>
  <c r="G3530" i="21"/>
  <c r="G4391" i="21"/>
  <c r="G4769" i="21"/>
  <c r="G4483" i="21"/>
  <c r="G4307" i="21"/>
  <c r="G4163" i="21"/>
  <c r="G4035" i="21"/>
  <c r="G3915" i="21"/>
  <c r="G3830" i="21"/>
  <c r="G3744" i="21"/>
  <c r="G3659" i="21"/>
  <c r="G3574" i="21"/>
  <c r="G3488" i="21"/>
  <c r="G3403" i="21"/>
  <c r="G3330" i="21"/>
  <c r="G3266" i="21"/>
  <c r="G3202" i="21"/>
  <c r="G3138" i="21"/>
  <c r="G3078" i="21"/>
  <c r="G3035" i="21"/>
  <c r="G2993" i="21"/>
  <c r="G2950" i="21"/>
  <c r="G2907" i="21"/>
  <c r="G2865" i="21"/>
  <c r="G2822" i="21"/>
  <c r="G2779" i="21"/>
  <c r="G2744" i="21"/>
  <c r="G2712" i="21"/>
  <c r="G2680" i="21"/>
  <c r="G2648" i="21"/>
  <c r="G2616" i="21"/>
  <c r="G2584" i="21"/>
  <c r="G2552" i="21"/>
  <c r="G2520" i="21"/>
  <c r="G2488" i="21"/>
  <c r="G2456" i="21"/>
  <c r="G2424" i="21"/>
  <c r="G2392" i="21"/>
  <c r="G2360" i="21"/>
  <c r="G2328" i="21"/>
  <c r="G2296" i="21"/>
  <c r="G2264" i="21"/>
  <c r="G2232" i="21"/>
  <c r="G2200" i="21"/>
  <c r="G2168" i="21"/>
  <c r="G2145" i="21"/>
  <c r="G2124" i="21"/>
  <c r="G2103" i="21"/>
  <c r="G2081" i="21"/>
  <c r="G2060" i="21"/>
  <c r="G2039" i="21"/>
  <c r="G2017" i="21"/>
  <c r="G1996" i="21"/>
  <c r="G1975" i="21"/>
  <c r="G1953" i="21"/>
  <c r="G1932" i="21"/>
  <c r="G1911" i="21"/>
  <c r="G1893" i="21"/>
  <c r="G1877" i="21"/>
  <c r="G1861" i="21"/>
  <c r="G1845" i="21"/>
  <c r="G1829" i="21"/>
  <c r="G1813" i="21"/>
  <c r="G1797" i="21"/>
  <c r="G1781" i="21"/>
  <c r="G1765" i="21"/>
  <c r="G1749" i="21"/>
  <c r="G1733" i="21"/>
  <c r="G1717" i="21"/>
  <c r="G1701" i="21"/>
  <c r="G1685" i="21"/>
  <c r="G1669" i="21"/>
  <c r="G1653" i="21"/>
  <c r="G1637" i="21"/>
  <c r="G1621" i="21"/>
  <c r="G1605" i="21"/>
  <c r="G1589" i="21"/>
  <c r="G1573" i="21"/>
  <c r="G1557" i="21"/>
  <c r="G1541" i="21"/>
  <c r="G1525" i="21"/>
  <c r="G1509" i="21"/>
  <c r="G1493" i="21"/>
  <c r="G1477" i="21"/>
  <c r="G1461" i="21"/>
  <c r="G1445" i="21"/>
  <c r="G1429" i="21"/>
  <c r="G4768" i="21"/>
  <c r="G4482" i="21"/>
  <c r="G4306" i="21"/>
  <c r="G4162" i="21"/>
  <c r="G4034" i="21"/>
  <c r="G3914" i="21"/>
  <c r="G3828" i="21"/>
  <c r="G3743" i="21"/>
  <c r="G3658" i="21"/>
  <c r="G3572" i="21"/>
  <c r="G3487" i="21"/>
  <c r="G3402" i="21"/>
  <c r="G3329" i="21"/>
  <c r="G3265" i="21"/>
  <c r="G3201" i="21"/>
  <c r="G3137" i="21"/>
  <c r="G3077" i="21"/>
  <c r="G3034" i="21"/>
  <c r="G2991" i="21"/>
  <c r="G2949" i="21"/>
  <c r="G2906" i="21"/>
  <c r="G2863" i="21"/>
  <c r="G2821" i="21"/>
  <c r="G2778" i="21"/>
  <c r="G2743" i="21"/>
  <c r="G2711" i="21"/>
  <c r="G2679" i="21"/>
  <c r="G2647" i="21"/>
  <c r="G2615" i="21"/>
  <c r="G2583" i="21"/>
  <c r="G2551" i="21"/>
  <c r="G2519" i="21"/>
  <c r="G2487" i="21"/>
  <c r="G2455" i="21"/>
  <c r="G2423" i="21"/>
  <c r="G2391" i="21"/>
  <c r="G2359" i="21"/>
  <c r="G2327" i="21"/>
  <c r="G2295" i="21"/>
  <c r="G2263" i="21"/>
  <c r="G2231" i="21"/>
  <c r="G2199" i="21"/>
  <c r="G2167" i="21"/>
  <c r="G2144" i="21"/>
  <c r="G2123" i="21"/>
  <c r="G2101" i="21"/>
  <c r="G2080" i="21"/>
  <c r="G2059" i="21"/>
  <c r="G2037" i="21"/>
  <c r="G2016" i="21"/>
  <c r="G1995" i="21"/>
  <c r="G1973" i="21"/>
  <c r="G1952" i="21"/>
  <c r="G1931" i="21"/>
  <c r="G1909" i="21"/>
  <c r="G1892" i="21"/>
  <c r="G1876" i="21"/>
  <c r="G1860" i="21"/>
  <c r="G1844" i="21"/>
  <c r="G1828" i="21"/>
  <c r="G1812" i="21"/>
  <c r="G1796" i="21"/>
  <c r="G1780" i="21"/>
  <c r="G1764" i="21"/>
  <c r="G1748" i="21"/>
  <c r="G1732" i="21"/>
  <c r="G1716" i="21"/>
  <c r="G1700" i="21"/>
  <c r="G1684" i="21"/>
  <c r="G1668" i="21"/>
  <c r="G1652" i="21"/>
  <c r="G1636" i="21"/>
  <c r="G1620" i="21"/>
  <c r="G1604" i="21"/>
  <c r="G1588" i="21"/>
  <c r="G1572" i="21"/>
  <c r="G1556" i="21"/>
  <c r="G1540" i="21"/>
  <c r="G1524" i="21"/>
  <c r="G1508" i="21"/>
  <c r="G1492" i="21"/>
  <c r="G1476" i="21"/>
  <c r="G1460" i="21"/>
  <c r="G1444" i="21"/>
  <c r="G1428" i="21"/>
  <c r="G10" i="21"/>
  <c r="G18" i="21"/>
  <c r="G26" i="21"/>
  <c r="G34" i="21"/>
  <c r="G42" i="21"/>
  <c r="G50" i="21"/>
  <c r="G60" i="21"/>
  <c r="G70" i="21"/>
  <c r="G81" i="21"/>
  <c r="G92" i="21"/>
  <c r="G102" i="21"/>
  <c r="G113" i="21"/>
  <c r="G124" i="21"/>
  <c r="G134" i="21"/>
  <c r="G145" i="21"/>
  <c r="G156" i="21"/>
  <c r="G166" i="21"/>
  <c r="G177" i="21"/>
  <c r="G188" i="21"/>
  <c r="G204" i="21"/>
  <c r="G220" i="21"/>
  <c r="G236" i="21"/>
  <c r="G252" i="21"/>
  <c r="G268" i="21"/>
  <c r="G284" i="21"/>
  <c r="G300" i="21"/>
  <c r="G316" i="21"/>
  <c r="G332" i="21"/>
  <c r="G348" i="21"/>
  <c r="G364" i="21"/>
  <c r="G380" i="21"/>
  <c r="G396" i="21"/>
  <c r="G412" i="21"/>
  <c r="G428" i="21"/>
  <c r="G444" i="21"/>
  <c r="G460" i="21"/>
  <c r="G476" i="21"/>
  <c r="G492" i="21"/>
  <c r="G508" i="21"/>
  <c r="G524" i="21"/>
  <c r="G540" i="21"/>
  <c r="G556" i="21"/>
  <c r="G572" i="21"/>
  <c r="G588" i="21"/>
  <c r="G604" i="21"/>
  <c r="G620" i="21"/>
  <c r="G636" i="21"/>
  <c r="G652" i="21"/>
  <c r="G668" i="21"/>
  <c r="G684" i="21"/>
  <c r="G700" i="21"/>
  <c r="G716" i="21"/>
  <c r="G732" i="21"/>
  <c r="G748" i="21"/>
  <c r="G764" i="21"/>
  <c r="G780" i="21"/>
  <c r="G796" i="21"/>
  <c r="G812" i="21"/>
  <c r="G828" i="21"/>
  <c r="G844" i="21"/>
  <c r="G860" i="21"/>
  <c r="G876" i="21"/>
  <c r="G892" i="21"/>
  <c r="G908" i="21"/>
  <c r="G924" i="21"/>
  <c r="G940" i="21"/>
  <c r="G956" i="21"/>
  <c r="G972" i="21"/>
  <c r="G988" i="21"/>
  <c r="G1004" i="21"/>
  <c r="G1020" i="21"/>
  <c r="G1036" i="21"/>
  <c r="G1052" i="21"/>
  <c r="G1068" i="21"/>
  <c r="G1084" i="21"/>
  <c r="G1100" i="21"/>
  <c r="G1116" i="21"/>
  <c r="G1132" i="21"/>
  <c r="G1148" i="21"/>
  <c r="G1164" i="21"/>
  <c r="G1180" i="21"/>
  <c r="G1196" i="21"/>
  <c r="G1212" i="21"/>
  <c r="G1228" i="21"/>
  <c r="G1244" i="21"/>
  <c r="G1260" i="21"/>
  <c r="G1276" i="21"/>
  <c r="G1292" i="21"/>
  <c r="G1308" i="21"/>
  <c r="G1324" i="21"/>
  <c r="G1340" i="21"/>
  <c r="G1356" i="21"/>
  <c r="G1372" i="21"/>
  <c r="G1388" i="21"/>
  <c r="G1404" i="21"/>
  <c r="G1420" i="21"/>
  <c r="G1452" i="21"/>
  <c r="G1484" i="21"/>
  <c r="G1516" i="21"/>
  <c r="G1548" i="21"/>
  <c r="G1580" i="21"/>
  <c r="G1612" i="21"/>
  <c r="G1644" i="21"/>
  <c r="G1676" i="21"/>
  <c r="G1708" i="21"/>
  <c r="G1740" i="21"/>
  <c r="G1772" i="21"/>
  <c r="G1804" i="21"/>
  <c r="G1836" i="21"/>
  <c r="G1868" i="21"/>
  <c r="G1900" i="21"/>
  <c r="G1941" i="21"/>
  <c r="G1984" i="21"/>
  <c r="G2027" i="21"/>
  <c r="G2069" i="21"/>
  <c r="G2112" i="21"/>
  <c r="G2155" i="21"/>
  <c r="G2215" i="21"/>
  <c r="G2279" i="21"/>
  <c r="G2343" i="21"/>
  <c r="G2407" i="21"/>
  <c r="G2471" i="21"/>
  <c r="G2535" i="21"/>
  <c r="G2599" i="21"/>
  <c r="G2663" i="21"/>
  <c r="G2727" i="21"/>
  <c r="G2799" i="21"/>
  <c r="G2885" i="21"/>
  <c r="G2970" i="21"/>
  <c r="G3055" i="21"/>
  <c r="G3169" i="21"/>
  <c r="G3297" i="21"/>
  <c r="G3444" i="21"/>
  <c r="G3615" i="21"/>
  <c r="G3786" i="21"/>
  <c r="G3970" i="21"/>
  <c r="G4226" i="21"/>
  <c r="G4595" i="21"/>
  <c r="G11" i="21"/>
  <c r="G19" i="21"/>
  <c r="G27" i="21"/>
  <c r="G35" i="21"/>
  <c r="G43" i="21"/>
  <c r="G51" i="21"/>
  <c r="G61" i="21"/>
  <c r="G72" i="21"/>
  <c r="G82" i="21"/>
  <c r="G93" i="21"/>
  <c r="G104" i="21"/>
  <c r="G114" i="21"/>
  <c r="G125" i="21"/>
  <c r="G136" i="21"/>
  <c r="G146" i="21"/>
  <c r="G157" i="21"/>
  <c r="G168" i="21"/>
  <c r="G178" i="21"/>
  <c r="G189" i="21"/>
  <c r="G205" i="21"/>
  <c r="G221" i="21"/>
  <c r="G237" i="21"/>
  <c r="G253" i="21"/>
  <c r="G269" i="21"/>
  <c r="G285" i="21"/>
  <c r="G301" i="21"/>
  <c r="G317" i="21"/>
  <c r="G333" i="21"/>
  <c r="G349" i="21"/>
  <c r="G365" i="21"/>
  <c r="G381" i="21"/>
  <c r="G397" i="21"/>
  <c r="G413" i="21"/>
  <c r="G429" i="21"/>
  <c r="G445" i="21"/>
  <c r="G461" i="21"/>
  <c r="G477" i="21"/>
  <c r="G493" i="21"/>
  <c r="G509" i="21"/>
  <c r="G525" i="21"/>
  <c r="G541" i="21"/>
  <c r="G557" i="21"/>
  <c r="G573" i="21"/>
  <c r="G589" i="21"/>
  <c r="G605" i="21"/>
  <c r="G621" i="21"/>
  <c r="G637" i="21"/>
  <c r="G653" i="21"/>
  <c r="G669" i="21"/>
  <c r="G685" i="21"/>
  <c r="G701" i="21"/>
  <c r="G717" i="21"/>
  <c r="G733" i="21"/>
  <c r="G749" i="21"/>
  <c r="G765" i="21"/>
  <c r="G781" i="21"/>
  <c r="G797" i="21"/>
  <c r="G813" i="21"/>
  <c r="G829" i="21"/>
  <c r="G845" i="21"/>
  <c r="G861" i="21"/>
  <c r="G877" i="21"/>
  <c r="G893" i="21"/>
  <c r="G909" i="21"/>
  <c r="G925" i="21"/>
  <c r="G941" i="21"/>
  <c r="G957" i="21"/>
  <c r="G973" i="21"/>
  <c r="G989" i="21"/>
  <c r="G1005" i="21"/>
  <c r="G1021" i="21"/>
  <c r="G1037" i="21"/>
  <c r="G1053" i="21"/>
  <c r="G1069" i="21"/>
  <c r="G1085" i="21"/>
  <c r="G1101" i="21"/>
  <c r="G1117" i="21"/>
  <c r="G1133" i="21"/>
  <c r="G1149" i="21"/>
  <c r="G1165" i="21"/>
  <c r="G1181" i="21"/>
  <c r="G1197" i="21"/>
  <c r="G1213" i="21"/>
  <c r="G1229" i="21"/>
  <c r="G1245" i="21"/>
  <c r="G1261" i="21"/>
  <c r="G1277" i="21"/>
  <c r="G1293" i="21"/>
  <c r="G1309" i="21"/>
  <c r="G1325" i="21"/>
  <c r="G1341" i="21"/>
  <c r="G1357" i="21"/>
  <c r="G1373" i="21"/>
  <c r="G1389" i="21"/>
  <c r="G1405" i="21"/>
  <c r="G1421" i="21"/>
  <c r="G1453" i="21"/>
  <c r="G1485" i="21"/>
  <c r="G1517" i="21"/>
  <c r="G1549" i="21"/>
  <c r="G1581" i="21"/>
  <c r="G1613" i="21"/>
  <c r="G1645" i="21"/>
  <c r="G1677" i="21"/>
  <c r="G1709" i="21"/>
  <c r="G1741" i="21"/>
  <c r="G1773" i="21"/>
  <c r="G1805" i="21"/>
  <c r="G1837" i="21"/>
  <c r="G1869" i="21"/>
  <c r="G1901" i="21"/>
  <c r="G1943" i="21"/>
  <c r="G1985" i="21"/>
  <c r="G2028" i="21"/>
  <c r="G2071" i="21"/>
  <c r="G2113" i="21"/>
  <c r="G2156" i="21"/>
  <c r="G2216" i="21"/>
  <c r="G2280" i="21"/>
  <c r="G2344" i="21"/>
  <c r="G2408" i="21"/>
  <c r="G2472" i="21"/>
  <c r="G2536" i="21"/>
  <c r="G2600" i="21"/>
  <c r="G2664" i="21"/>
  <c r="G2728" i="21"/>
  <c r="G2801" i="21"/>
  <c r="G2886" i="21"/>
  <c r="G2971" i="21"/>
  <c r="G3057" i="21"/>
  <c r="G3170" i="21"/>
  <c r="G3298" i="21"/>
  <c r="G3446" i="21"/>
  <c r="G3616" i="21"/>
  <c r="G3787" i="21"/>
  <c r="G3971" i="21"/>
  <c r="G4227" i="21"/>
  <c r="G4598" i="21"/>
  <c r="G5006" i="21"/>
  <c r="G5002" i="21"/>
  <c r="G4998" i="21"/>
  <c r="G4994" i="21"/>
  <c r="G4990" i="21"/>
  <c r="G4986" i="21"/>
  <c r="G4982" i="21"/>
  <c r="G4978" i="21"/>
  <c r="G4974" i="21"/>
  <c r="G4970" i="21"/>
  <c r="G4966" i="21"/>
  <c r="G4962" i="21"/>
  <c r="G4958" i="21"/>
  <c r="G4954" i="21"/>
  <c r="G4950" i="21"/>
  <c r="G4946" i="21"/>
  <c r="G4942" i="21"/>
  <c r="G4938" i="21"/>
  <c r="G4934" i="21"/>
  <c r="G4930" i="21"/>
  <c r="G4926" i="21"/>
  <c r="G4922" i="21"/>
  <c r="G4918" i="21"/>
  <c r="G4914" i="21"/>
  <c r="G4910" i="21"/>
  <c r="G4906" i="21"/>
  <c r="G4902" i="21"/>
  <c r="G4898" i="21"/>
  <c r="G4894" i="21"/>
  <c r="G4890" i="21"/>
  <c r="G4886" i="21"/>
  <c r="G4882" i="21"/>
  <c r="G4878" i="21"/>
  <c r="G4874" i="21"/>
  <c r="G4870" i="21"/>
  <c r="G4866" i="21"/>
  <c r="G4862" i="21"/>
  <c r="G4858" i="21"/>
  <c r="G4854" i="21"/>
  <c r="G4850" i="21"/>
  <c r="G4846" i="21"/>
  <c r="G4842" i="21"/>
  <c r="G4838" i="21"/>
  <c r="G4834" i="21"/>
  <c r="G4830" i="21"/>
  <c r="G4826" i="21"/>
  <c r="G4822" i="21"/>
  <c r="G4818" i="21"/>
  <c r="G4814" i="21"/>
  <c r="G4810" i="21"/>
  <c r="G4806" i="21"/>
  <c r="G4802" i="21"/>
  <c r="G4798" i="21"/>
  <c r="G4794" i="21"/>
  <c r="G4790" i="21"/>
  <c r="G4786" i="21"/>
  <c r="G4782" i="21"/>
  <c r="G4778" i="21"/>
  <c r="G4774" i="21"/>
  <c r="G4770" i="21"/>
  <c r="G4766" i="21"/>
  <c r="G4762" i="21"/>
  <c r="G4758" i="21"/>
  <c r="G4754" i="21"/>
  <c r="G4750" i="21"/>
  <c r="G4746" i="21"/>
  <c r="G4742" i="21"/>
  <c r="G4738" i="21"/>
  <c r="G4734" i="21"/>
  <c r="G4730" i="21"/>
  <c r="G4726" i="21"/>
  <c r="G4722" i="21"/>
  <c r="G4718" i="21"/>
  <c r="G4714" i="21"/>
  <c r="G4710" i="21"/>
  <c r="G4706" i="21"/>
  <c r="G4702" i="21"/>
  <c r="G4698" i="21"/>
  <c r="G4694" i="21"/>
  <c r="G4690" i="21"/>
  <c r="G4686" i="21"/>
  <c r="G4682" i="21"/>
  <c r="G4678" i="21"/>
  <c r="G4674" i="21"/>
  <c r="G4670" i="21"/>
  <c r="G5005" i="21"/>
  <c r="G5000" i="21"/>
  <c r="G4995" i="21"/>
  <c r="G4989" i="21"/>
  <c r="G4984" i="21"/>
  <c r="G4979" i="21"/>
  <c r="G4973" i="21"/>
  <c r="G4968" i="21"/>
  <c r="G4963" i="21"/>
  <c r="G4957" i="21"/>
  <c r="G4952" i="21"/>
  <c r="G4947" i="21"/>
  <c r="G4941" i="21"/>
  <c r="G4936" i="21"/>
  <c r="G4931" i="21"/>
  <c r="G4925" i="21"/>
  <c r="G4920" i="21"/>
  <c r="G4915" i="21"/>
  <c r="G4909" i="21"/>
  <c r="G4904" i="21"/>
  <c r="G4899" i="21"/>
  <c r="G4893" i="21"/>
  <c r="G4888" i="21"/>
  <c r="G4883" i="21"/>
  <c r="G4877" i="21"/>
  <c r="G4872" i="21"/>
  <c r="G4867" i="21"/>
  <c r="G4861" i="21"/>
  <c r="G4856" i="21"/>
  <c r="G4851" i="21"/>
  <c r="G4845" i="21"/>
  <c r="G4840" i="21"/>
  <c r="G4835" i="21"/>
  <c r="G4829" i="21"/>
  <c r="G4824" i="21"/>
  <c r="G4819" i="21"/>
  <c r="G4813" i="21"/>
  <c r="G4808" i="21"/>
  <c r="G4803" i="21"/>
  <c r="G4797" i="21"/>
  <c r="G4792" i="21"/>
  <c r="G4787" i="21"/>
  <c r="G4781" i="21"/>
  <c r="G4776" i="21"/>
  <c r="G4771" i="21"/>
  <c r="G4765" i="21"/>
  <c r="G4760" i="21"/>
  <c r="G4755" i="21"/>
  <c r="G4749" i="21"/>
  <c r="G4744" i="21"/>
  <c r="G4739" i="21"/>
  <c r="G4733" i="21"/>
  <c r="G4728" i="21"/>
  <c r="G4723" i="21"/>
  <c r="G4717" i="21"/>
  <c r="G4712" i="21"/>
  <c r="G4707" i="21"/>
  <c r="G4701" i="21"/>
  <c r="G4696" i="21"/>
  <c r="G4691" i="21"/>
  <c r="G4685" i="21"/>
  <c r="G4680" i="21"/>
  <c r="G4675" i="21"/>
  <c r="G4669" i="21"/>
  <c r="G4665" i="21"/>
  <c r="G4661" i="21"/>
  <c r="G4657" i="21"/>
  <c r="G4653" i="21"/>
  <c r="G4649" i="21"/>
  <c r="G4645" i="21"/>
  <c r="G4641" i="21"/>
  <c r="G4637" i="21"/>
  <c r="G4633" i="21"/>
  <c r="G4629" i="21"/>
  <c r="G4625" i="21"/>
  <c r="G4621" i="21"/>
  <c r="G4617" i="21"/>
  <c r="G4613" i="21"/>
  <c r="G4609" i="21"/>
  <c r="G4605" i="21"/>
  <c r="G4601" i="21"/>
  <c r="G4597" i="21"/>
  <c r="G4593" i="21"/>
  <c r="G4589" i="21"/>
  <c r="G4585" i="21"/>
  <c r="G4581" i="21"/>
  <c r="G4577" i="21"/>
  <c r="G4573" i="21"/>
  <c r="G4569" i="21"/>
  <c r="G4565" i="21"/>
  <c r="G4561" i="21"/>
  <c r="G4557" i="21"/>
  <c r="G4553" i="21"/>
  <c r="G4549" i="21"/>
  <c r="G4545" i="21"/>
  <c r="G4541" i="21"/>
  <c r="G4537" i="21"/>
  <c r="G4533" i="21"/>
  <c r="G4529" i="21"/>
  <c r="G4525" i="21"/>
  <c r="G4521" i="21"/>
  <c r="G4517" i="21"/>
  <c r="G4513" i="21"/>
  <c r="G4509" i="21"/>
  <c r="G4505" i="21"/>
  <c r="G4501" i="21"/>
  <c r="G4497" i="21"/>
  <c r="G4493" i="21"/>
  <c r="G4489" i="21"/>
  <c r="G4485" i="21"/>
  <c r="G4481" i="21"/>
  <c r="G4477" i="21"/>
  <c r="G4473" i="21"/>
  <c r="G4469" i="21"/>
  <c r="G4465" i="21"/>
  <c r="G4461" i="21"/>
  <c r="G4457" i="21"/>
  <c r="G4453" i="21"/>
  <c r="G4449" i="21"/>
  <c r="G4445" i="21"/>
  <c r="G4441" i="21"/>
  <c r="G4437" i="21"/>
  <c r="G4433" i="21"/>
  <c r="G4429" i="21"/>
  <c r="G4425" i="21"/>
  <c r="G4421" i="21"/>
  <c r="G4417" i="21"/>
  <c r="G4413" i="21"/>
  <c r="G4409" i="21"/>
  <c r="G4405" i="21"/>
  <c r="G4401" i="21"/>
  <c r="G4397" i="21"/>
  <c r="G4393" i="21"/>
  <c r="G4389" i="21"/>
  <c r="G4385" i="21"/>
  <c r="G4381" i="21"/>
  <c r="G4377" i="21"/>
  <c r="G4373" i="21"/>
  <c r="G4369" i="21"/>
  <c r="G4365" i="21"/>
  <c r="G4361" i="21"/>
  <c r="G4357" i="21"/>
  <c r="G4353" i="21"/>
  <c r="G4349" i="21"/>
  <c r="G4345" i="21"/>
  <c r="G4341" i="21"/>
  <c r="G4337" i="21"/>
  <c r="G4333" i="21"/>
  <c r="G4329" i="21"/>
  <c r="G4325" i="21"/>
  <c r="G4321" i="21"/>
  <c r="G4317" i="21"/>
  <c r="G4313" i="21"/>
  <c r="G4309" i="21"/>
  <c r="G4305" i="21"/>
  <c r="G4301" i="21"/>
  <c r="G4297" i="21"/>
  <c r="G4293" i="21"/>
  <c r="G4289" i="21"/>
  <c r="G4285" i="21"/>
  <c r="G4281" i="21"/>
  <c r="G4277" i="21"/>
  <c r="G4273" i="21"/>
  <c r="G4269" i="21"/>
  <c r="G4265" i="21"/>
  <c r="G4261" i="21"/>
  <c r="G4257" i="21"/>
  <c r="G4253" i="21"/>
  <c r="G4249" i="21"/>
  <c r="G4245" i="21"/>
  <c r="G5004" i="21"/>
  <c r="G4999" i="21"/>
  <c r="G4993" i="21"/>
  <c r="G4988" i="21"/>
  <c r="G4983" i="21"/>
  <c r="G4977" i="21"/>
  <c r="G5003" i="21"/>
  <c r="G4992" i="21"/>
  <c r="G4981" i="21"/>
  <c r="G4972" i="21"/>
  <c r="G4965" i="21"/>
  <c r="G4959" i="21"/>
  <c r="G4951" i="21"/>
  <c r="G4944" i="21"/>
  <c r="G4937" i="21"/>
  <c r="G4929" i="21"/>
  <c r="G4923" i="21"/>
  <c r="G4916" i="21"/>
  <c r="G4908" i="21"/>
  <c r="G4901" i="21"/>
  <c r="G4895" i="21"/>
  <c r="G4887" i="21"/>
  <c r="G4880" i="21"/>
  <c r="G4873" i="21"/>
  <c r="G4865" i="21"/>
  <c r="G4859" i="21"/>
  <c r="G4852" i="21"/>
  <c r="G4844" i="21"/>
  <c r="G4837" i="21"/>
  <c r="G4831" i="21"/>
  <c r="G4823" i="21"/>
  <c r="G4816" i="21"/>
  <c r="G4809" i="21"/>
  <c r="G4801" i="21"/>
  <c r="G4795" i="21"/>
  <c r="G4788" i="21"/>
  <c r="G4780" i="21"/>
  <c r="G4773" i="21"/>
  <c r="G4767" i="21"/>
  <c r="G4759" i="21"/>
  <c r="G4752" i="21"/>
  <c r="G4745" i="21"/>
  <c r="G4737" i="21"/>
  <c r="G4731" i="21"/>
  <c r="G4724" i="21"/>
  <c r="G4716" i="21"/>
  <c r="G4709" i="21"/>
  <c r="G4703" i="21"/>
  <c r="G4695" i="21"/>
  <c r="G4688" i="21"/>
  <c r="G4681" i="21"/>
  <c r="G4673" i="21"/>
  <c r="G4667" i="21"/>
  <c r="G4662" i="21"/>
  <c r="G4656" i="21"/>
  <c r="G4651" i="21"/>
  <c r="G4646" i="21"/>
  <c r="G5001" i="21"/>
  <c r="G4991" i="21"/>
  <c r="G4980" i="21"/>
  <c r="G4971" i="21"/>
  <c r="G4964" i="21"/>
  <c r="G4956" i="21"/>
  <c r="G4949" i="21"/>
  <c r="G4943" i="21"/>
  <c r="G4935" i="21"/>
  <c r="G4928" i="21"/>
  <c r="G4921" i="21"/>
  <c r="G4913" i="21"/>
  <c r="G4907" i="21"/>
  <c r="G4900" i="21"/>
  <c r="G4892" i="21"/>
  <c r="G4885" i="21"/>
  <c r="G4879" i="21"/>
  <c r="G4871" i="21"/>
  <c r="G4864" i="21"/>
  <c r="G4857" i="21"/>
  <c r="G4849" i="21"/>
  <c r="G4843" i="21"/>
  <c r="G4836" i="21"/>
  <c r="G4828" i="21"/>
  <c r="G4821" i="21"/>
  <c r="G4815" i="21"/>
  <c r="G4807" i="21"/>
  <c r="G4800" i="21"/>
  <c r="G4793" i="21"/>
  <c r="G4785" i="21"/>
  <c r="G4779" i="21"/>
  <c r="G4772" i="21"/>
  <c r="G4764" i="21"/>
  <c r="G4757" i="21"/>
  <c r="G4751" i="21"/>
  <c r="G4743" i="21"/>
  <c r="G4736" i="21"/>
  <c r="G4729" i="21"/>
  <c r="G4721" i="21"/>
  <c r="G4715" i="21"/>
  <c r="G4708" i="21"/>
  <c r="G4700" i="21"/>
  <c r="G4693" i="21"/>
  <c r="G4687" i="21"/>
  <c r="G4679" i="21"/>
  <c r="G4672" i="21"/>
  <c r="G4666" i="21"/>
  <c r="G4660" i="21"/>
  <c r="G4655" i="21"/>
  <c r="G4650" i="21"/>
  <c r="G4644" i="21"/>
  <c r="G4639" i="21"/>
  <c r="G4634" i="21"/>
  <c r="G4628" i="21"/>
  <c r="G4623" i="21"/>
  <c r="G4618" i="21"/>
  <c r="G4612" i="21"/>
  <c r="G4607" i="21"/>
  <c r="G4602" i="21"/>
  <c r="G4596" i="21"/>
  <c r="G4591" i="21"/>
  <c r="G4586" i="21"/>
  <c r="G4580" i="21"/>
  <c r="G4575" i="21"/>
  <c r="G4570" i="21"/>
  <c r="G4564" i="21"/>
  <c r="G4559" i="21"/>
  <c r="G4554" i="21"/>
  <c r="G4548" i="21"/>
  <c r="G4543" i="21"/>
  <c r="G4538" i="21"/>
  <c r="G4532" i="21"/>
  <c r="G4527" i="21"/>
  <c r="G4522" i="21"/>
  <c r="G4516" i="21"/>
  <c r="G4511" i="21"/>
  <c r="G4506" i="21"/>
  <c r="G4500" i="21"/>
  <c r="G4495" i="21"/>
  <c r="G4490" i="21"/>
  <c r="G4484" i="21"/>
  <c r="G4479" i="21"/>
  <c r="G4474" i="21"/>
  <c r="G4468" i="21"/>
  <c r="G4463" i="21"/>
  <c r="G4997" i="21"/>
  <c r="G4976" i="21"/>
  <c r="G4961" i="21"/>
  <c r="G4948" i="21"/>
  <c r="G4933" i="21"/>
  <c r="G4919" i="21"/>
  <c r="G4905" i="21"/>
  <c r="G4891" i="21"/>
  <c r="G4876" i="21"/>
  <c r="G4863" i="21"/>
  <c r="G4848" i="21"/>
  <c r="G4833" i="21"/>
  <c r="G4820" i="21"/>
  <c r="G4805" i="21"/>
  <c r="G4791" i="21"/>
  <c r="G4777" i="21"/>
  <c r="G4763" i="21"/>
  <c r="G4748" i="21"/>
  <c r="G4735" i="21"/>
  <c r="G4720" i="21"/>
  <c r="G4705" i="21"/>
  <c r="G4692" i="21"/>
  <c r="G4677" i="21"/>
  <c r="G4664" i="21"/>
  <c r="G4654" i="21"/>
  <c r="G4643" i="21"/>
  <c r="G4636" i="21"/>
  <c r="G4630" i="21"/>
  <c r="G4622" i="21"/>
  <c r="G4615" i="21"/>
  <c r="G4608" i="21"/>
  <c r="G4600" i="21"/>
  <c r="G4594" i="21"/>
  <c r="G4587" i="21"/>
  <c r="G4579" i="21"/>
  <c r="G4572" i="21"/>
  <c r="G4566" i="21"/>
  <c r="G4558" i="21"/>
  <c r="G4551" i="21"/>
  <c r="G4544" i="21"/>
  <c r="G4536" i="21"/>
  <c r="G4530" i="21"/>
  <c r="G4523" i="21"/>
  <c r="G4515" i="21"/>
  <c r="G4508" i="21"/>
  <c r="G4502" i="21"/>
  <c r="G4494" i="21"/>
  <c r="G4487" i="21"/>
  <c r="G4480" i="21"/>
  <c r="G4472" i="21"/>
  <c r="G4466" i="21"/>
  <c r="G4459" i="21"/>
  <c r="G4454" i="21"/>
  <c r="G4448" i="21"/>
  <c r="G4443" i="21"/>
  <c r="G4438" i="21"/>
  <c r="G4432" i="21"/>
  <c r="G4427" i="21"/>
  <c r="G4422" i="21"/>
  <c r="G4416" i="21"/>
  <c r="G4411" i="21"/>
  <c r="G4406" i="21"/>
  <c r="G4400" i="21"/>
  <c r="G4395" i="21"/>
  <c r="G4390" i="21"/>
  <c r="G4384" i="21"/>
  <c r="G4379" i="21"/>
  <c r="G4374" i="21"/>
  <c r="G4368" i="21"/>
  <c r="G4363" i="21"/>
  <c r="G4358" i="21"/>
  <c r="G4352" i="21"/>
  <c r="G4347" i="21"/>
  <c r="G4342" i="21"/>
  <c r="G4336" i="21"/>
  <c r="G4331" i="21"/>
  <c r="G4326" i="21"/>
  <c r="G4320" i="21"/>
  <c r="G4315" i="21"/>
  <c r="G4310" i="21"/>
  <c r="G4304" i="21"/>
  <c r="G4299" i="21"/>
  <c r="G4294" i="21"/>
  <c r="G4288" i="21"/>
  <c r="G4283" i="21"/>
  <c r="G4278" i="21"/>
  <c r="G4272" i="21"/>
  <c r="G4267" i="21"/>
  <c r="G4262" i="21"/>
  <c r="G4256" i="21"/>
  <c r="G4251" i="21"/>
  <c r="G4246" i="21"/>
  <c r="G4241" i="21"/>
  <c r="G4237" i="21"/>
  <c r="G4233" i="21"/>
  <c r="G4229" i="21"/>
  <c r="G4225" i="21"/>
  <c r="G4221" i="21"/>
  <c r="G4217" i="21"/>
  <c r="G4213" i="21"/>
  <c r="G4209" i="21"/>
  <c r="G4205" i="21"/>
  <c r="G4201" i="21"/>
  <c r="G4197" i="21"/>
  <c r="G4193" i="21"/>
  <c r="G4189" i="21"/>
  <c r="G4185" i="21"/>
  <c r="G4181" i="21"/>
  <c r="G4177" i="21"/>
  <c r="G4173" i="21"/>
  <c r="G4169" i="21"/>
  <c r="G4165" i="21"/>
  <c r="G4161" i="21"/>
  <c r="G4157" i="21"/>
  <c r="G4153" i="21"/>
  <c r="G4149" i="21"/>
  <c r="G4145" i="21"/>
  <c r="G4141" i="21"/>
  <c r="G4137" i="21"/>
  <c r="G4133" i="21"/>
  <c r="G4129" i="21"/>
  <c r="G4125" i="21"/>
  <c r="G4121" i="21"/>
  <c r="G4117" i="21"/>
  <c r="G4113" i="21"/>
  <c r="G4109" i="21"/>
  <c r="G4105" i="21"/>
  <c r="G4101" i="21"/>
  <c r="G4097" i="21"/>
  <c r="G4093" i="21"/>
  <c r="G4089" i="21"/>
  <c r="G4085" i="21"/>
  <c r="G4081" i="21"/>
  <c r="G4077" i="21"/>
  <c r="G4073" i="21"/>
  <c r="G4069" i="21"/>
  <c r="G4065" i="21"/>
  <c r="G4061" i="21"/>
  <c r="G4057" i="21"/>
  <c r="G4053" i="21"/>
  <c r="G4049" i="21"/>
  <c r="G4045" i="21"/>
  <c r="G4041" i="21"/>
  <c r="G4037" i="21"/>
  <c r="G4033" i="21"/>
  <c r="G4029" i="21"/>
  <c r="G4025" i="21"/>
  <c r="G4021" i="21"/>
  <c r="G4017" i="21"/>
  <c r="G4013" i="21"/>
  <c r="G4009" i="21"/>
  <c r="G4005" i="21"/>
  <c r="G4001" i="21"/>
  <c r="G3997" i="21"/>
  <c r="G3993" i="21"/>
  <c r="G3989" i="21"/>
  <c r="G3985" i="21"/>
  <c r="G3981" i="21"/>
  <c r="G3977" i="21"/>
  <c r="G3973" i="21"/>
  <c r="G3969" i="21"/>
  <c r="G3965" i="21"/>
  <c r="G3961" i="21"/>
  <c r="G3957" i="21"/>
  <c r="G3953" i="21"/>
  <c r="G3949" i="21"/>
  <c r="G3945" i="21"/>
  <c r="G3941" i="21"/>
  <c r="G3937" i="21"/>
  <c r="G3933" i="21"/>
  <c r="G3929" i="21"/>
  <c r="G3925" i="21"/>
  <c r="G3921" i="21"/>
  <c r="G3917" i="21"/>
  <c r="G3913" i="21"/>
  <c r="G3909" i="21"/>
  <c r="G3905" i="21"/>
  <c r="G3901" i="21"/>
  <c r="G3897" i="21"/>
  <c r="G3893" i="21"/>
  <c r="G3889" i="21"/>
  <c r="G3885" i="21"/>
  <c r="G3881" i="21"/>
  <c r="G3877" i="21"/>
  <c r="G3873" i="21"/>
  <c r="G3869" i="21"/>
  <c r="G3865" i="21"/>
  <c r="G3861" i="21"/>
  <c r="G3857" i="21"/>
  <c r="G3853" i="21"/>
  <c r="G3849" i="21"/>
  <c r="G3845" i="21"/>
  <c r="G3841" i="21"/>
  <c r="G3837" i="21"/>
  <c r="G3833" i="21"/>
  <c r="G3829" i="21"/>
  <c r="G3825" i="21"/>
  <c r="G3821" i="21"/>
  <c r="G3817" i="21"/>
  <c r="G3813" i="21"/>
  <c r="G3809" i="21"/>
  <c r="G3805" i="21"/>
  <c r="G3801" i="21"/>
  <c r="G3797" i="21"/>
  <c r="G3793" i="21"/>
  <c r="G3789" i="21"/>
  <c r="G3785" i="21"/>
  <c r="G3781" i="21"/>
  <c r="G3777" i="21"/>
  <c r="G3773" i="21"/>
  <c r="G3769" i="21"/>
  <c r="G3765" i="21"/>
  <c r="G3761" i="21"/>
  <c r="G3757" i="21"/>
  <c r="G3753" i="21"/>
  <c r="G3749" i="21"/>
  <c r="G3745" i="21"/>
  <c r="G3741" i="21"/>
  <c r="G3737" i="21"/>
  <c r="G3733" i="21"/>
  <c r="G3729" i="21"/>
  <c r="G3725" i="21"/>
  <c r="G3721" i="21"/>
  <c r="G3717" i="21"/>
  <c r="G3713" i="21"/>
  <c r="G3709" i="21"/>
  <c r="G3705" i="21"/>
  <c r="G3701" i="21"/>
  <c r="G3697" i="21"/>
  <c r="G3693" i="21"/>
  <c r="G3689" i="21"/>
  <c r="G3685" i="21"/>
  <c r="G3681" i="21"/>
  <c r="G3677" i="21"/>
  <c r="G3673" i="21"/>
  <c r="G3669" i="21"/>
  <c r="G3665" i="21"/>
  <c r="G3661" i="21"/>
  <c r="G3657" i="21"/>
  <c r="G3653" i="21"/>
  <c r="G3649" i="21"/>
  <c r="G3645" i="21"/>
  <c r="G3641" i="21"/>
  <c r="G3637" i="21"/>
  <c r="G3633" i="21"/>
  <c r="G3629" i="21"/>
  <c r="G3625" i="21"/>
  <c r="G3621" i="21"/>
  <c r="G3617" i="21"/>
  <c r="G3613" i="21"/>
  <c r="G3609" i="21"/>
  <c r="G3605" i="21"/>
  <c r="G3601" i="21"/>
  <c r="G3597" i="21"/>
  <c r="G3593" i="21"/>
  <c r="G3589" i="21"/>
  <c r="G3585" i="21"/>
  <c r="G3581" i="21"/>
  <c r="G3577" i="21"/>
  <c r="G3573" i="21"/>
  <c r="G3569" i="21"/>
  <c r="G3565" i="21"/>
  <c r="G3561" i="21"/>
  <c r="G3557" i="21"/>
  <c r="G3553" i="21"/>
  <c r="G3549" i="21"/>
  <c r="G3545" i="21"/>
  <c r="G3541" i="21"/>
  <c r="G3537" i="21"/>
  <c r="G3533" i="21"/>
  <c r="G3529" i="21"/>
  <c r="G3525" i="21"/>
  <c r="G3521" i="21"/>
  <c r="G3517" i="21"/>
  <c r="G3513" i="21"/>
  <c r="G3509" i="21"/>
  <c r="G3505" i="21"/>
  <c r="G3501" i="21"/>
  <c r="G3497" i="21"/>
  <c r="G3493" i="21"/>
  <c r="G3489" i="21"/>
  <c r="G3485" i="21"/>
  <c r="G3481" i="21"/>
  <c r="G3477" i="21"/>
  <c r="G3473" i="21"/>
  <c r="G3469" i="21"/>
  <c r="G3465" i="21"/>
  <c r="G3461" i="21"/>
  <c r="G3457" i="21"/>
  <c r="G3453" i="21"/>
  <c r="G3449" i="21"/>
  <c r="G3445" i="21"/>
  <c r="G3441" i="21"/>
  <c r="G3437" i="21"/>
  <c r="G3433" i="21"/>
  <c r="G3429" i="21"/>
  <c r="G3425" i="21"/>
  <c r="G3421" i="21"/>
  <c r="G3417" i="21"/>
  <c r="G3413" i="21"/>
  <c r="G3409" i="21"/>
  <c r="G3405" i="21"/>
  <c r="G3401" i="21"/>
  <c r="G3397" i="21"/>
  <c r="G3393" i="21"/>
  <c r="G3389" i="21"/>
  <c r="G3385" i="21"/>
  <c r="G3381" i="21"/>
  <c r="G3377" i="21"/>
  <c r="G3373" i="21"/>
  <c r="G3369" i="21"/>
  <c r="G4996" i="21"/>
  <c r="G4975" i="21"/>
  <c r="G4960" i="21"/>
  <c r="G4945" i="21"/>
  <c r="G4932" i="21"/>
  <c r="G4917" i="21"/>
  <c r="G4903" i="21"/>
  <c r="G4889" i="21"/>
  <c r="G4875" i="21"/>
  <c r="G4860" i="21"/>
  <c r="G4847" i="21"/>
  <c r="G4832" i="21"/>
  <c r="G4817" i="21"/>
  <c r="G4804" i="21"/>
  <c r="G4789" i="21"/>
  <c r="G4775" i="21"/>
  <c r="G4761" i="21"/>
  <c r="G4747" i="21"/>
  <c r="G4732" i="21"/>
  <c r="G4719" i="21"/>
  <c r="G4704" i="21"/>
  <c r="G4689" i="21"/>
  <c r="G4676" i="21"/>
  <c r="G4663" i="21"/>
  <c r="G4652" i="21"/>
  <c r="G4642" i="21"/>
  <c r="G4635" i="21"/>
  <c r="G4627" i="21"/>
  <c r="G4620" i="21"/>
  <c r="G4614" i="21"/>
  <c r="G4606" i="21"/>
  <c r="G4599" i="21"/>
  <c r="G4592" i="21"/>
  <c r="G4584" i="21"/>
  <c r="G4578" i="21"/>
  <c r="G4571" i="21"/>
  <c r="G4563" i="21"/>
  <c r="G4556" i="21"/>
  <c r="G4550" i="21"/>
  <c r="G4542" i="21"/>
  <c r="G4535" i="21"/>
  <c r="G4528" i="21"/>
  <c r="G4520" i="21"/>
  <c r="G4514" i="21"/>
  <c r="G4507" i="21"/>
  <c r="G4499" i="21"/>
  <c r="G4492" i="21"/>
  <c r="G4486" i="21"/>
  <c r="G4478" i="21"/>
  <c r="G4471" i="21"/>
  <c r="G4464" i="21"/>
  <c r="G4458" i="21"/>
  <c r="G4452" i="21"/>
  <c r="G4447" i="21"/>
  <c r="G4442" i="21"/>
  <c r="G4436" i="21"/>
  <c r="G4431" i="21"/>
  <c r="G4426" i="21"/>
  <c r="G4420" i="21"/>
  <c r="G4415" i="21"/>
  <c r="G4410" i="21"/>
  <c r="G4404" i="21"/>
  <c r="G4399" i="21"/>
  <c r="G4394" i="21"/>
  <c r="G4388" i="21"/>
  <c r="G4383" i="21"/>
  <c r="G4378" i="21"/>
  <c r="G4372" i="21"/>
  <c r="G4367" i="21"/>
  <c r="G4362" i="21"/>
  <c r="G4356" i="21"/>
  <c r="G4351" i="21"/>
  <c r="G4346" i="21"/>
  <c r="G4340" i="21"/>
  <c r="G4335" i="21"/>
  <c r="G4330" i="21"/>
  <c r="G4324" i="21"/>
  <c r="G4319" i="21"/>
  <c r="G4314" i="21"/>
  <c r="G4308" i="21"/>
  <c r="G4303" i="21"/>
  <c r="G4298" i="21"/>
  <c r="G4292" i="21"/>
  <c r="G4287" i="21"/>
  <c r="G4282" i="21"/>
  <c r="G4276" i="21"/>
  <c r="G4271" i="21"/>
  <c r="G4266" i="21"/>
  <c r="G4260" i="21"/>
  <c r="G4255" i="21"/>
  <c r="G4250" i="21"/>
  <c r="G4244" i="21"/>
  <c r="G4240" i="21"/>
  <c r="G4236" i="21"/>
  <c r="G4232" i="21"/>
  <c r="G4228" i="21"/>
  <c r="G4224" i="21"/>
  <c r="G4220" i="21"/>
  <c r="G4216" i="21"/>
  <c r="G4212" i="21"/>
  <c r="G4208" i="21"/>
  <c r="G4204" i="21"/>
  <c r="G4200" i="21"/>
  <c r="G4196" i="21"/>
  <c r="G4192" i="21"/>
  <c r="G4188" i="21"/>
  <c r="G4184" i="21"/>
  <c r="G4180" i="21"/>
  <c r="G4176" i="21"/>
  <c r="G4172" i="21"/>
  <c r="G4168" i="21"/>
  <c r="G4164" i="21"/>
  <c r="G4160" i="21"/>
  <c r="G4156" i="21"/>
  <c r="G4152" i="21"/>
  <c r="G4148" i="21"/>
  <c r="G4144" i="21"/>
  <c r="G4140" i="21"/>
  <c r="G4136" i="21"/>
  <c r="G4132" i="21"/>
  <c r="G4128" i="21"/>
  <c r="G4124" i="21"/>
  <c r="G4120" i="21"/>
  <c r="G4116" i="21"/>
  <c r="G4112" i="21"/>
  <c r="G4108" i="21"/>
  <c r="G4104" i="21"/>
  <c r="G4100" i="21"/>
  <c r="G4096" i="21"/>
  <c r="G4092" i="21"/>
  <c r="G4088" i="21"/>
  <c r="G4084" i="21"/>
  <c r="G4080" i="21"/>
  <c r="G4076" i="21"/>
  <c r="G4072" i="21"/>
  <c r="G4068" i="21"/>
  <c r="G4064" i="21"/>
  <c r="G4060" i="21"/>
  <c r="G4056" i="21"/>
  <c r="G4052" i="21"/>
  <c r="G4048" i="21"/>
  <c r="G4044" i="21"/>
  <c r="G4040" i="21"/>
  <c r="G4036" i="21"/>
  <c r="G4032" i="21"/>
  <c r="G4028" i="21"/>
  <c r="G4024" i="21"/>
  <c r="G4020" i="21"/>
  <c r="G4016" i="21"/>
  <c r="G4012" i="21"/>
  <c r="G4008" i="21"/>
  <c r="G4004" i="21"/>
  <c r="G4000" i="21"/>
  <c r="G3996" i="21"/>
  <c r="G3992" i="21"/>
  <c r="G3988" i="21"/>
  <c r="G3984" i="21"/>
  <c r="G3980" i="21"/>
  <c r="G3976" i="21"/>
  <c r="G3972" i="21"/>
  <c r="G3968" i="21"/>
  <c r="G3964" i="21"/>
  <c r="G3960" i="21"/>
  <c r="G3956" i="21"/>
  <c r="G3952" i="21"/>
  <c r="G3948" i="21"/>
  <c r="G3944" i="21"/>
  <c r="G3940" i="21"/>
  <c r="G3936" i="21"/>
  <c r="G3932" i="21"/>
  <c r="G4987" i="21"/>
  <c r="G4955" i="21"/>
  <c r="G4927" i="21"/>
  <c r="G4897" i="21"/>
  <c r="G4869" i="21"/>
  <c r="G4841" i="21"/>
  <c r="G4812" i="21"/>
  <c r="G4784" i="21"/>
  <c r="G4756" i="21"/>
  <c r="G4727" i="21"/>
  <c r="G4699" i="21"/>
  <c r="G4671" i="21"/>
  <c r="G4648" i="21"/>
  <c r="G4632" i="21"/>
  <c r="G4619" i="21"/>
  <c r="G4604" i="21"/>
  <c r="G4590" i="21"/>
  <c r="G4576" i="21"/>
  <c r="G4562" i="21"/>
  <c r="G4547" i="21"/>
  <c r="G4534" i="21"/>
  <c r="G4519" i="21"/>
  <c r="G4504" i="21"/>
  <c r="G4491" i="21"/>
  <c r="G4476" i="21"/>
  <c r="G4462" i="21"/>
  <c r="G4451" i="21"/>
  <c r="G4440" i="21"/>
  <c r="G4430" i="21"/>
  <c r="G4419" i="21"/>
  <c r="G4408" i="21"/>
  <c r="G4398" i="21"/>
  <c r="G4387" i="21"/>
  <c r="G4376" i="21"/>
  <c r="G4366" i="21"/>
  <c r="G4355" i="21"/>
  <c r="G4344" i="21"/>
  <c r="G4334" i="21"/>
  <c r="G4323" i="21"/>
  <c r="G4312" i="21"/>
  <c r="G4302" i="21"/>
  <c r="G4291" i="21"/>
  <c r="G4280" i="21"/>
  <c r="G4270" i="21"/>
  <c r="G4259" i="21"/>
  <c r="G4248" i="21"/>
  <c r="G4239" i="21"/>
  <c r="G4231" i="21"/>
  <c r="G4223" i="21"/>
  <c r="G4215" i="21"/>
  <c r="G4207" i="21"/>
  <c r="G4199" i="21"/>
  <c r="G4191" i="21"/>
  <c r="G4183" i="21"/>
  <c r="G4175" i="21"/>
  <c r="G4167" i="21"/>
  <c r="G4159" i="21"/>
  <c r="G4151" i="21"/>
  <c r="G4143" i="21"/>
  <c r="G4135" i="21"/>
  <c r="G4127" i="21"/>
  <c r="G4119" i="21"/>
  <c r="G4111" i="21"/>
  <c r="G4103" i="21"/>
  <c r="G4095" i="21"/>
  <c r="G4087" i="21"/>
  <c r="G4079" i="21"/>
  <c r="G4071" i="21"/>
  <c r="G4063" i="21"/>
  <c r="G4055" i="21"/>
  <c r="G4047" i="21"/>
  <c r="G4039" i="21"/>
  <c r="G4031" i="21"/>
  <c r="G4023" i="21"/>
  <c r="G4015" i="21"/>
  <c r="G4007" i="21"/>
  <c r="G3999" i="21"/>
  <c r="G3991" i="21"/>
  <c r="G3983" i="21"/>
  <c r="G3975" i="21"/>
  <c r="G3967" i="21"/>
  <c r="G3959" i="21"/>
  <c r="G3951" i="21"/>
  <c r="G3943" i="21"/>
  <c r="G3935" i="21"/>
  <c r="G3928" i="21"/>
  <c r="G3923" i="21"/>
  <c r="G3918" i="21"/>
  <c r="G3912" i="21"/>
  <c r="G3907" i="21"/>
  <c r="G3902" i="21"/>
  <c r="G3896" i="21"/>
  <c r="G3891" i="21"/>
  <c r="G3886" i="21"/>
  <c r="G3880" i="21"/>
  <c r="G3875" i="21"/>
  <c r="G3870" i="21"/>
  <c r="G3864" i="21"/>
  <c r="G3859" i="21"/>
  <c r="G3854" i="21"/>
  <c r="G3848" i="21"/>
  <c r="G3843" i="21"/>
  <c r="G3838" i="21"/>
  <c r="G3832" i="21"/>
  <c r="G3827" i="21"/>
  <c r="G3822" i="21"/>
  <c r="G3816" i="21"/>
  <c r="G3811" i="21"/>
  <c r="G3806" i="21"/>
  <c r="G3800" i="21"/>
  <c r="G3795" i="21"/>
  <c r="G3790" i="21"/>
  <c r="G3784" i="21"/>
  <c r="G3779" i="21"/>
  <c r="G3774" i="21"/>
  <c r="G3768" i="21"/>
  <c r="G3763" i="21"/>
  <c r="G3758" i="21"/>
  <c r="G3752" i="21"/>
  <c r="G3747" i="21"/>
  <c r="G3742" i="21"/>
  <c r="G3736" i="21"/>
  <c r="G3731" i="21"/>
  <c r="G3726" i="21"/>
  <c r="G3720" i="21"/>
  <c r="G3715" i="21"/>
  <c r="G3710" i="21"/>
  <c r="G3704" i="21"/>
  <c r="G3699" i="21"/>
  <c r="G3694" i="21"/>
  <c r="G3688" i="21"/>
  <c r="G3683" i="21"/>
  <c r="G3678" i="21"/>
  <c r="G3672" i="21"/>
  <c r="G3667" i="21"/>
  <c r="G3662" i="21"/>
  <c r="G3656" i="21"/>
  <c r="G3651" i="21"/>
  <c r="G3646" i="21"/>
  <c r="G3640" i="21"/>
  <c r="G3635" i="21"/>
  <c r="G3630" i="21"/>
  <c r="G3624" i="21"/>
  <c r="G3619" i="21"/>
  <c r="G3614" i="21"/>
  <c r="G3608" i="21"/>
  <c r="G3603" i="21"/>
  <c r="G3598" i="21"/>
  <c r="G3592" i="21"/>
  <c r="G3587" i="21"/>
  <c r="G3582" i="21"/>
  <c r="G3576" i="21"/>
  <c r="G3571" i="21"/>
  <c r="G3566" i="21"/>
  <c r="G3560" i="21"/>
  <c r="G3555" i="21"/>
  <c r="G3550" i="21"/>
  <c r="G3544" i="21"/>
  <c r="G3539" i="21"/>
  <c r="G3534" i="21"/>
  <c r="G3528" i="21"/>
  <c r="G3523" i="21"/>
  <c r="G3518" i="21"/>
  <c r="G3512" i="21"/>
  <c r="G3507" i="21"/>
  <c r="G3502" i="21"/>
  <c r="G3496" i="21"/>
  <c r="G3491" i="21"/>
  <c r="G3486" i="21"/>
  <c r="G3480" i="21"/>
  <c r="G3475" i="21"/>
  <c r="G3470" i="21"/>
  <c r="G3464" i="21"/>
  <c r="G3459" i="21"/>
  <c r="G3454" i="21"/>
  <c r="G3448" i="21"/>
  <c r="G3443" i="21"/>
  <c r="G3438" i="21"/>
  <c r="G3432" i="21"/>
  <c r="G3427" i="21"/>
  <c r="G3422" i="21"/>
  <c r="G3416" i="21"/>
  <c r="G3411" i="21"/>
  <c r="G3406" i="21"/>
  <c r="G3400" i="21"/>
  <c r="G3395" i="21"/>
  <c r="G3390" i="21"/>
  <c r="G3384" i="21"/>
  <c r="G3379" i="21"/>
  <c r="G3374" i="21"/>
  <c r="G3368" i="21"/>
  <c r="G3364" i="21"/>
  <c r="G3360" i="21"/>
  <c r="G3356" i="21"/>
  <c r="G3352" i="21"/>
  <c r="G3348" i="21"/>
  <c r="G3344" i="21"/>
  <c r="G3340" i="21"/>
  <c r="G3336" i="21"/>
  <c r="G3332" i="21"/>
  <c r="G3328" i="21"/>
  <c r="G3324" i="21"/>
  <c r="G3320" i="21"/>
  <c r="G3316" i="21"/>
  <c r="G3312" i="21"/>
  <c r="G3308" i="21"/>
  <c r="G3304" i="21"/>
  <c r="G3300" i="21"/>
  <c r="G3296" i="21"/>
  <c r="G3292" i="21"/>
  <c r="G3288" i="21"/>
  <c r="G3284" i="21"/>
  <c r="G3280" i="21"/>
  <c r="G3276" i="21"/>
  <c r="G3272" i="21"/>
  <c r="G3268" i="21"/>
  <c r="G3264" i="21"/>
  <c r="G3260" i="21"/>
  <c r="G3256" i="21"/>
  <c r="G3252" i="21"/>
  <c r="G3248" i="21"/>
  <c r="G3244" i="21"/>
  <c r="G3240" i="21"/>
  <c r="G3236" i="21"/>
  <c r="G3232" i="21"/>
  <c r="G3228" i="21"/>
  <c r="G3224" i="21"/>
  <c r="G3220" i="21"/>
  <c r="G3216" i="21"/>
  <c r="G3212" i="21"/>
  <c r="G3208" i="21"/>
  <c r="G3204" i="21"/>
  <c r="G3200" i="21"/>
  <c r="G3196" i="21"/>
  <c r="G3192" i="21"/>
  <c r="G3188" i="21"/>
  <c r="G3184" i="21"/>
  <c r="G3180" i="21"/>
  <c r="G3176" i="21"/>
  <c r="G3172" i="21"/>
  <c r="G3168" i="21"/>
  <c r="G3164" i="21"/>
  <c r="G3160" i="21"/>
  <c r="G3156" i="21"/>
  <c r="G3152" i="21"/>
  <c r="G3148" i="21"/>
  <c r="G3144" i="21"/>
  <c r="G3140" i="21"/>
  <c r="G3136" i="21"/>
  <c r="G3132" i="21"/>
  <c r="G3128" i="21"/>
  <c r="G3124" i="21"/>
  <c r="G3120" i="21"/>
  <c r="G3116" i="21"/>
  <c r="G3112" i="21"/>
  <c r="G3108" i="21"/>
  <c r="G3104" i="21"/>
  <c r="G3100" i="21"/>
  <c r="G3096" i="21"/>
  <c r="G3092" i="21"/>
  <c r="G3088" i="21"/>
  <c r="G3084" i="21"/>
  <c r="G3080" i="21"/>
  <c r="G3076" i="21"/>
  <c r="G3072" i="21"/>
  <c r="G3068" i="21"/>
  <c r="G3064" i="21"/>
  <c r="G3060" i="21"/>
  <c r="G3056" i="21"/>
  <c r="G3052" i="21"/>
  <c r="G3048" i="21"/>
  <c r="G3044" i="21"/>
  <c r="G3040" i="21"/>
  <c r="G3036" i="21"/>
  <c r="G3032" i="21"/>
  <c r="G3028" i="21"/>
  <c r="G3024" i="21"/>
  <c r="G3020" i="21"/>
  <c r="G3016" i="21"/>
  <c r="G3012" i="21"/>
  <c r="G3008" i="21"/>
  <c r="G3004" i="21"/>
  <c r="G3000" i="21"/>
  <c r="G2996" i="21"/>
  <c r="G2992" i="21"/>
  <c r="G2988" i="21"/>
  <c r="G2984" i="21"/>
  <c r="G2980" i="21"/>
  <c r="G2976" i="21"/>
  <c r="G2972" i="21"/>
  <c r="G2968" i="21"/>
  <c r="G2964" i="21"/>
  <c r="G2960" i="21"/>
  <c r="G2956" i="21"/>
  <c r="G2952" i="21"/>
  <c r="G2948" i="21"/>
  <c r="G2944" i="21"/>
  <c r="G2940" i="21"/>
  <c r="G2936" i="21"/>
  <c r="G2932" i="21"/>
  <c r="G2928" i="21"/>
  <c r="G2924" i="21"/>
  <c r="G2920" i="21"/>
  <c r="G2916" i="21"/>
  <c r="G2912" i="21"/>
  <c r="G2908" i="21"/>
  <c r="G2904" i="21"/>
  <c r="G2900" i="21"/>
  <c r="G2896" i="21"/>
  <c r="G2892" i="21"/>
  <c r="G2888" i="21"/>
  <c r="G2884" i="21"/>
  <c r="G2880" i="21"/>
  <c r="G2876" i="21"/>
  <c r="G2872" i="21"/>
  <c r="G2868" i="21"/>
  <c r="G2864" i="21"/>
  <c r="G2860" i="21"/>
  <c r="G2856" i="21"/>
  <c r="G2852" i="21"/>
  <c r="G2848" i="21"/>
  <c r="G2844" i="21"/>
  <c r="G2840" i="21"/>
  <c r="G2836" i="21"/>
  <c r="G2832" i="21"/>
  <c r="G2828" i="21"/>
  <c r="G2824" i="21"/>
  <c r="G2820" i="21"/>
  <c r="G2816" i="21"/>
  <c r="G2812" i="21"/>
  <c r="G2808" i="21"/>
  <c r="G2804" i="21"/>
  <c r="G2800" i="21"/>
  <c r="G2796" i="21"/>
  <c r="G2792" i="21"/>
  <c r="G2788" i="21"/>
  <c r="G2784" i="21"/>
  <c r="G2780" i="21"/>
  <c r="G2776" i="21"/>
  <c r="G2772" i="21"/>
  <c r="G2768" i="21"/>
  <c r="G4985" i="21"/>
  <c r="G4953" i="21"/>
  <c r="G4924" i="21"/>
  <c r="G4896" i="21"/>
  <c r="G4868" i="21"/>
  <c r="G4839" i="21"/>
  <c r="G4811" i="21"/>
  <c r="G4783" i="21"/>
  <c r="G4753" i="21"/>
  <c r="G4725" i="21"/>
  <c r="G4697" i="21"/>
  <c r="G4668" i="21"/>
  <c r="G4647" i="21"/>
  <c r="G4631" i="21"/>
  <c r="G4616" i="21"/>
  <c r="G4603" i="21"/>
  <c r="G4588" i="21"/>
  <c r="G4574" i="21"/>
  <c r="G4560" i="21"/>
  <c r="G4546" i="21"/>
  <c r="G4531" i="21"/>
  <c r="G4518" i="21"/>
  <c r="G4503" i="21"/>
  <c r="G4488" i="21"/>
  <c r="G4475" i="21"/>
  <c r="G4460" i="21"/>
  <c r="G4450" i="21"/>
  <c r="G4439" i="21"/>
  <c r="G4428" i="21"/>
  <c r="G4418" i="21"/>
  <c r="G4407" i="21"/>
  <c r="G4396" i="21"/>
  <c r="G4386" i="21"/>
  <c r="G4375" i="21"/>
  <c r="G4364" i="21"/>
  <c r="G4354" i="21"/>
  <c r="G4343" i="21"/>
  <c r="G4332" i="21"/>
  <c r="G4322" i="21"/>
  <c r="G4311" i="21"/>
  <c r="G4300" i="21"/>
  <c r="G4290" i="21"/>
  <c r="G4279" i="21"/>
  <c r="G4268" i="21"/>
  <c r="G4258" i="21"/>
  <c r="G4247" i="21"/>
  <c r="G4238" i="21"/>
  <c r="G4230" i="21"/>
  <c r="G4222" i="21"/>
  <c r="G4214" i="21"/>
  <c r="G4206" i="21"/>
  <c r="G4198" i="21"/>
  <c r="G4190" i="21"/>
  <c r="G4182" i="21"/>
  <c r="G4174" i="21"/>
  <c r="G4166" i="21"/>
  <c r="G4158" i="21"/>
  <c r="G4150" i="21"/>
  <c r="G4142" i="21"/>
  <c r="G4134" i="21"/>
  <c r="G4126" i="21"/>
  <c r="G4118" i="21"/>
  <c r="G4110" i="21"/>
  <c r="G4102" i="21"/>
  <c r="G4094" i="21"/>
  <c r="G4086" i="21"/>
  <c r="G4078" i="21"/>
  <c r="G4070" i="21"/>
  <c r="G4062" i="21"/>
  <c r="G4054" i="21"/>
  <c r="G4046" i="21"/>
  <c r="G4038" i="21"/>
  <c r="G4030" i="21"/>
  <c r="G4022" i="21"/>
  <c r="G4014" i="21"/>
  <c r="G4006" i="21"/>
  <c r="G3998" i="21"/>
  <c r="G3990" i="21"/>
  <c r="G3982" i="21"/>
  <c r="G3974" i="21"/>
  <c r="G3966" i="21"/>
  <c r="G3958" i="21"/>
  <c r="G3950" i="21"/>
  <c r="G3942" i="21"/>
  <c r="G3934" i="21"/>
  <c r="G3927" i="21"/>
  <c r="G3922" i="21"/>
  <c r="G3916" i="21"/>
  <c r="G3911" i="21"/>
  <c r="G3906" i="21"/>
  <c r="G3900" i="21"/>
  <c r="G3895" i="21"/>
  <c r="G3890" i="21"/>
  <c r="G3884" i="21"/>
  <c r="G3879" i="21"/>
  <c r="G3874" i="21"/>
  <c r="G3868" i="21"/>
  <c r="G3863" i="21"/>
  <c r="G3858" i="21"/>
  <c r="G3852" i="21"/>
  <c r="G3847" i="21"/>
  <c r="G3842" i="21"/>
  <c r="G3836" i="21"/>
  <c r="G3831" i="21"/>
  <c r="G3826" i="21"/>
  <c r="G3820" i="21"/>
  <c r="G3815" i="21"/>
  <c r="G3810" i="21"/>
  <c r="G3804" i="21"/>
  <c r="G3799" i="21"/>
  <c r="G3794" i="21"/>
  <c r="G3788" i="21"/>
  <c r="G3783" i="21"/>
  <c r="G3778" i="21"/>
  <c r="G3772" i="21"/>
  <c r="G3767" i="21"/>
  <c r="G3762" i="21"/>
  <c r="G3756" i="21"/>
  <c r="G3751" i="21"/>
  <c r="G3746" i="21"/>
  <c r="G3740" i="21"/>
  <c r="G3735" i="21"/>
  <c r="G3730" i="21"/>
  <c r="G3724" i="21"/>
  <c r="G3719" i="21"/>
  <c r="G3714" i="21"/>
  <c r="G3708" i="21"/>
  <c r="G3703" i="21"/>
  <c r="G3698" i="21"/>
  <c r="G3692" i="21"/>
  <c r="G3687" i="21"/>
  <c r="G3682" i="21"/>
  <c r="G3676" i="21"/>
  <c r="G3671" i="21"/>
  <c r="G3666" i="21"/>
  <c r="G3660" i="21"/>
  <c r="G3655" i="21"/>
  <c r="G3650" i="21"/>
  <c r="G3644" i="21"/>
  <c r="G3639" i="21"/>
  <c r="G3634" i="21"/>
  <c r="G3628" i="21"/>
  <c r="G3623" i="21"/>
  <c r="G3618" i="21"/>
  <c r="G3612" i="21"/>
  <c r="G3607" i="21"/>
  <c r="G3602" i="21"/>
  <c r="G3596" i="21"/>
  <c r="G3591" i="21"/>
  <c r="G3586" i="21"/>
  <c r="G3580" i="21"/>
  <c r="G3575" i="21"/>
  <c r="G3570" i="21"/>
  <c r="G3564" i="21"/>
  <c r="G3559" i="21"/>
  <c r="G3554" i="21"/>
  <c r="G3548" i="21"/>
  <c r="G3543" i="21"/>
  <c r="G3538" i="21"/>
  <c r="G3532" i="21"/>
  <c r="G3527" i="21"/>
  <c r="G3522" i="21"/>
  <c r="G3516" i="21"/>
  <c r="G3511" i="21"/>
  <c r="G3506" i="21"/>
  <c r="G3500" i="21"/>
  <c r="G3495" i="21"/>
  <c r="G3490" i="21"/>
  <c r="G3484" i="21"/>
  <c r="G3479" i="21"/>
  <c r="G3474" i="21"/>
  <c r="G3468" i="21"/>
  <c r="G3463" i="21"/>
  <c r="G3458" i="21"/>
  <c r="G3452" i="21"/>
  <c r="G3447" i="21"/>
  <c r="G3442" i="21"/>
  <c r="G3436" i="21"/>
  <c r="G3431" i="21"/>
  <c r="G3426" i="21"/>
  <c r="G3420" i="21"/>
  <c r="G3415" i="21"/>
  <c r="G3410" i="21"/>
  <c r="G3404" i="21"/>
  <c r="G3399" i="21"/>
  <c r="G3394" i="21"/>
  <c r="G3388" i="21"/>
  <c r="G3383" i="21"/>
  <c r="G3378" i="21"/>
  <c r="G3372" i="21"/>
  <c r="G3367" i="21"/>
  <c r="G3363" i="21"/>
  <c r="G3359" i="21"/>
  <c r="G3355" i="21"/>
  <c r="G3351" i="21"/>
  <c r="G3347" i="21"/>
  <c r="G3343" i="21"/>
  <c r="G3339" i="21"/>
  <c r="G3335" i="21"/>
  <c r="G3331" i="21"/>
  <c r="G3327" i="21"/>
  <c r="G3323" i="21"/>
  <c r="G3319" i="21"/>
  <c r="G3315" i="21"/>
  <c r="G3311" i="21"/>
  <c r="G3307" i="21"/>
  <c r="G3303" i="21"/>
  <c r="G3299" i="21"/>
  <c r="G3295" i="21"/>
  <c r="G3291" i="21"/>
  <c r="G3287" i="21"/>
  <c r="G3283" i="21"/>
  <c r="G3279" i="21"/>
  <c r="G3275" i="21"/>
  <c r="G3271" i="21"/>
  <c r="G3267" i="21"/>
  <c r="G3263" i="21"/>
  <c r="G3259" i="21"/>
  <c r="G3255" i="21"/>
  <c r="G3251" i="21"/>
  <c r="G3247" i="21"/>
  <c r="G3243" i="21"/>
  <c r="G3239" i="21"/>
  <c r="G3235" i="21"/>
  <c r="G3231" i="21"/>
  <c r="G3227" i="21"/>
  <c r="G3223" i="21"/>
  <c r="G3219" i="21"/>
  <c r="G3215" i="21"/>
  <c r="G3211" i="21"/>
  <c r="G3207" i="21"/>
  <c r="G3203" i="21"/>
  <c r="G3199" i="21"/>
  <c r="G3195" i="21"/>
  <c r="G3191" i="21"/>
  <c r="G3187" i="21"/>
  <c r="G3183" i="21"/>
  <c r="G3179" i="21"/>
  <c r="G3175" i="21"/>
  <c r="G3171" i="21"/>
  <c r="G3167" i="21"/>
  <c r="G3163" i="21"/>
  <c r="G3159" i="21"/>
  <c r="G3155" i="21"/>
  <c r="G3151" i="21"/>
  <c r="G3147" i="21"/>
  <c r="G3143" i="21"/>
  <c r="G3139" i="21"/>
  <c r="G3135" i="21"/>
  <c r="G3131" i="21"/>
  <c r="G3127" i="21"/>
  <c r="G3123" i="21"/>
  <c r="G3119" i="21"/>
  <c r="G3115" i="21"/>
  <c r="G3111" i="21"/>
  <c r="G3107" i="21"/>
  <c r="G3103" i="21"/>
  <c r="G3099" i="21"/>
  <c r="G3095" i="21"/>
  <c r="G3091" i="21"/>
  <c r="G3087" i="21"/>
  <c r="G4969" i="21"/>
  <c r="G4912" i="21"/>
  <c r="G4855" i="21"/>
  <c r="G4799" i="21"/>
  <c r="G4741" i="21"/>
  <c r="G4684" i="21"/>
  <c r="G4640" i="21"/>
  <c r="G4611" i="21"/>
  <c r="G4583" i="21"/>
  <c r="G4555" i="21"/>
  <c r="G4526" i="21"/>
  <c r="G4498" i="21"/>
  <c r="G4470" i="21"/>
  <c r="G4446" i="21"/>
  <c r="G4424" i="21"/>
  <c r="G4403" i="21"/>
  <c r="G4382" i="21"/>
  <c r="G4360" i="21"/>
  <c r="G4339" i="21"/>
  <c r="G4318" i="21"/>
  <c r="G4296" i="21"/>
  <c r="G4275" i="21"/>
  <c r="G4254" i="21"/>
  <c r="G4235" i="21"/>
  <c r="G4219" i="21"/>
  <c r="G4203" i="21"/>
  <c r="G4187" i="21"/>
  <c r="G4171" i="21"/>
  <c r="G4155" i="21"/>
  <c r="G4139" i="21"/>
  <c r="G4123" i="21"/>
  <c r="G4107" i="21"/>
  <c r="G4091" i="21"/>
  <c r="G4075" i="21"/>
  <c r="G4059" i="21"/>
  <c r="G4043" i="21"/>
  <c r="G4027" i="21"/>
  <c r="G4011" i="21"/>
  <c r="G3995" i="21"/>
  <c r="G3979" i="21"/>
  <c r="G3963" i="21"/>
  <c r="G3947" i="21"/>
  <c r="G3931" i="21"/>
  <c r="G3920" i="21"/>
  <c r="G3910" i="21"/>
  <c r="G3899" i="21"/>
  <c r="G3888" i="21"/>
  <c r="G3878" i="21"/>
  <c r="G3867" i="21"/>
  <c r="G3856" i="21"/>
  <c r="G3846" i="21"/>
  <c r="G3835" i="21"/>
  <c r="G3824" i="21"/>
  <c r="G3814" i="21"/>
  <c r="G3803" i="21"/>
  <c r="G3792" i="21"/>
  <c r="G3782" i="21"/>
  <c r="G3771" i="21"/>
  <c r="G3760" i="21"/>
  <c r="G3750" i="21"/>
  <c r="G3739" i="21"/>
  <c r="G3728" i="21"/>
  <c r="G3718" i="21"/>
  <c r="G3707" i="21"/>
  <c r="G3696" i="21"/>
  <c r="G3686" i="21"/>
  <c r="G3675" i="21"/>
  <c r="G3664" i="21"/>
  <c r="G3654" i="21"/>
  <c r="G3643" i="21"/>
  <c r="G3632" i="21"/>
  <c r="G3622" i="21"/>
  <c r="G3611" i="21"/>
  <c r="G3600" i="21"/>
  <c r="G3590" i="21"/>
  <c r="G3579" i="21"/>
  <c r="G3568" i="21"/>
  <c r="G3558" i="21"/>
  <c r="G3547" i="21"/>
  <c r="G3536" i="21"/>
  <c r="G3526" i="21"/>
  <c r="G3515" i="21"/>
  <c r="G3504" i="21"/>
  <c r="G3494" i="21"/>
  <c r="G3483" i="21"/>
  <c r="G3472" i="21"/>
  <c r="G3462" i="21"/>
  <c r="G3451" i="21"/>
  <c r="G3440" i="21"/>
  <c r="G3430" i="21"/>
  <c r="G3419" i="21"/>
  <c r="G3408" i="21"/>
  <c r="G3398" i="21"/>
  <c r="G3387" i="21"/>
  <c r="G3376" i="21"/>
  <c r="G3366" i="21"/>
  <c r="G3358" i="21"/>
  <c r="G3350" i="21"/>
  <c r="G3342" i="21"/>
  <c r="G3334" i="21"/>
  <c r="G3326" i="21"/>
  <c r="G3318" i="21"/>
  <c r="G3310" i="21"/>
  <c r="G3302" i="21"/>
  <c r="G3294" i="21"/>
  <c r="G3286" i="21"/>
  <c r="G3278" i="21"/>
  <c r="G3270" i="21"/>
  <c r="G3262" i="21"/>
  <c r="G3254" i="21"/>
  <c r="G3246" i="21"/>
  <c r="G3238" i="21"/>
  <c r="G3230" i="21"/>
  <c r="G3222" i="21"/>
  <c r="G3214" i="21"/>
  <c r="G3206" i="21"/>
  <c r="G3198" i="21"/>
  <c r="G3190" i="21"/>
  <c r="G3182" i="21"/>
  <c r="G3174" i="21"/>
  <c r="G3166" i="21"/>
  <c r="G3158" i="21"/>
  <c r="G3150" i="21"/>
  <c r="G3142" i="21"/>
  <c r="G3134" i="21"/>
  <c r="G3126" i="21"/>
  <c r="G3118" i="21"/>
  <c r="G3110" i="21"/>
  <c r="G3102" i="21"/>
  <c r="G3094" i="21"/>
  <c r="G3086" i="21"/>
  <c r="G3081" i="21"/>
  <c r="G3075" i="21"/>
  <c r="G3070" i="21"/>
  <c r="G3065" i="21"/>
  <c r="G3059" i="21"/>
  <c r="G3054" i="21"/>
  <c r="G3049" i="21"/>
  <c r="G3043" i="21"/>
  <c r="G3038" i="21"/>
  <c r="G3033" i="21"/>
  <c r="G3027" i="21"/>
  <c r="G3022" i="21"/>
  <c r="G3017" i="21"/>
  <c r="G3011" i="21"/>
  <c r="G3006" i="21"/>
  <c r="G3001" i="21"/>
  <c r="G2995" i="21"/>
  <c r="G2990" i="21"/>
  <c r="G2985" i="21"/>
  <c r="G2979" i="21"/>
  <c r="G2974" i="21"/>
  <c r="G2969" i="21"/>
  <c r="G2963" i="21"/>
  <c r="G2958" i="21"/>
  <c r="G2953" i="21"/>
  <c r="G2947" i="21"/>
  <c r="G2942" i="21"/>
  <c r="G2937" i="21"/>
  <c r="G2931" i="21"/>
  <c r="G2926" i="21"/>
  <c r="G2921" i="21"/>
  <c r="G2915" i="21"/>
  <c r="G2910" i="21"/>
  <c r="G2905" i="21"/>
  <c r="G2899" i="21"/>
  <c r="G2894" i="21"/>
  <c r="G2889" i="21"/>
  <c r="G2883" i="21"/>
  <c r="G2878" i="21"/>
  <c r="G2873" i="21"/>
  <c r="G2867" i="21"/>
  <c r="G2862" i="21"/>
  <c r="G2857" i="21"/>
  <c r="G2851" i="21"/>
  <c r="G2846" i="21"/>
  <c r="G2841" i="21"/>
  <c r="G2835" i="21"/>
  <c r="G2830" i="21"/>
  <c r="G2825" i="21"/>
  <c r="G2819" i="21"/>
  <c r="G2814" i="21"/>
  <c r="G2809" i="21"/>
  <c r="G2803" i="21"/>
  <c r="G2798" i="21"/>
  <c r="G2793" i="21"/>
  <c r="G2787" i="21"/>
  <c r="G2782" i="21"/>
  <c r="G2777" i="21"/>
  <c r="G2771" i="21"/>
  <c r="G2766" i="21"/>
  <c r="G2762" i="21"/>
  <c r="G2758" i="21"/>
  <c r="G2754" i="21"/>
  <c r="G2750" i="21"/>
  <c r="G2746" i="21"/>
  <c r="G2742" i="21"/>
  <c r="G2738" i="21"/>
  <c r="G2734" i="21"/>
  <c r="G2730" i="21"/>
  <c r="G2726" i="21"/>
  <c r="G2722" i="21"/>
  <c r="G2718" i="21"/>
  <c r="G2714" i="21"/>
  <c r="G2710" i="21"/>
  <c r="G2706" i="21"/>
  <c r="G2702" i="21"/>
  <c r="G2698" i="21"/>
  <c r="G2694" i="21"/>
  <c r="G2690" i="21"/>
  <c r="G2686" i="21"/>
  <c r="G2682" i="21"/>
  <c r="G2678" i="21"/>
  <c r="G2674" i="21"/>
  <c r="G2670" i="21"/>
  <c r="G2666" i="21"/>
  <c r="G2662" i="21"/>
  <c r="G2658" i="21"/>
  <c r="G2654" i="21"/>
  <c r="G2650" i="21"/>
  <c r="G2646" i="21"/>
  <c r="G2642" i="21"/>
  <c r="G2638" i="21"/>
  <c r="G2634" i="21"/>
  <c r="G2630" i="21"/>
  <c r="G2626" i="21"/>
  <c r="G2622" i="21"/>
  <c r="G2618" i="21"/>
  <c r="G2614" i="21"/>
  <c r="G2610" i="21"/>
  <c r="G2606" i="21"/>
  <c r="G2602" i="21"/>
  <c r="G2598" i="21"/>
  <c r="G2594" i="21"/>
  <c r="G2590" i="21"/>
  <c r="G2586" i="21"/>
  <c r="G2582" i="21"/>
  <c r="G2578" i="21"/>
  <c r="G2574" i="21"/>
  <c r="G2570" i="21"/>
  <c r="G2566" i="21"/>
  <c r="G2562" i="21"/>
  <c r="G2558" i="21"/>
  <c r="G2554" i="21"/>
  <c r="G2550" i="21"/>
  <c r="G2546" i="21"/>
  <c r="G2542" i="21"/>
  <c r="G2538" i="21"/>
  <c r="G2534" i="21"/>
  <c r="G2530" i="21"/>
  <c r="G2526" i="21"/>
  <c r="G2522" i="21"/>
  <c r="G2518" i="21"/>
  <c r="G2514" i="21"/>
  <c r="G2510" i="21"/>
  <c r="G2506" i="21"/>
  <c r="G2502" i="21"/>
  <c r="G2498" i="21"/>
  <c r="G2494" i="21"/>
  <c r="G2490" i="21"/>
  <c r="G2486" i="21"/>
  <c r="G2482" i="21"/>
  <c r="G2478" i="21"/>
  <c r="G2474" i="21"/>
  <c r="G2470" i="21"/>
  <c r="G2466" i="21"/>
  <c r="G2462" i="21"/>
  <c r="G2458" i="21"/>
  <c r="G2454" i="21"/>
  <c r="G2450" i="21"/>
  <c r="G2446" i="21"/>
  <c r="G2442" i="21"/>
  <c r="G2438" i="21"/>
  <c r="G2434" i="21"/>
  <c r="G2430" i="21"/>
  <c r="G2426" i="21"/>
  <c r="G2422" i="21"/>
  <c r="G2418" i="21"/>
  <c r="G2414" i="21"/>
  <c r="G2410" i="21"/>
  <c r="G2406" i="21"/>
  <c r="G2402" i="21"/>
  <c r="G2398" i="21"/>
  <c r="G2394" i="21"/>
  <c r="G2390" i="21"/>
  <c r="G2386" i="21"/>
  <c r="G2382" i="21"/>
  <c r="G2378" i="21"/>
  <c r="G2374" i="21"/>
  <c r="G2370" i="21"/>
  <c r="G2366" i="21"/>
  <c r="G2362" i="21"/>
  <c r="G2358" i="21"/>
  <c r="G2354" i="21"/>
  <c r="G2350" i="21"/>
  <c r="G2346" i="21"/>
  <c r="G2342" i="21"/>
  <c r="G2338" i="21"/>
  <c r="G2334" i="21"/>
  <c r="G2330" i="21"/>
  <c r="G2326" i="21"/>
  <c r="G2322" i="21"/>
  <c r="G2318" i="21"/>
  <c r="G2314" i="21"/>
  <c r="G2310" i="21"/>
  <c r="G2306" i="21"/>
  <c r="G2302" i="21"/>
  <c r="G2298" i="21"/>
  <c r="G2294" i="21"/>
  <c r="G2290" i="21"/>
  <c r="G2286" i="21"/>
  <c r="G2282" i="21"/>
  <c r="G2278" i="21"/>
  <c r="G2274" i="21"/>
  <c r="G2270" i="21"/>
  <c r="G2266" i="21"/>
  <c r="G2262" i="21"/>
  <c r="G2258" i="21"/>
  <c r="G2254" i="21"/>
  <c r="G2250" i="21"/>
  <c r="G2246" i="21"/>
  <c r="G2242" i="21"/>
  <c r="G2238" i="21"/>
  <c r="G2234" i="21"/>
  <c r="G2230" i="21"/>
  <c r="G2226" i="21"/>
  <c r="G2222" i="21"/>
  <c r="G2218" i="21"/>
  <c r="G2214" i="21"/>
  <c r="G2210" i="21"/>
  <c r="G2206" i="21"/>
  <c r="G2202" i="21"/>
  <c r="G2198" i="21"/>
  <c r="G2194" i="21"/>
  <c r="G2190" i="21"/>
  <c r="G2186" i="21"/>
  <c r="G2182" i="21"/>
  <c r="G2178" i="21"/>
  <c r="G2174" i="21"/>
  <c r="G2170" i="21"/>
  <c r="G2166" i="21"/>
  <c r="G2162" i="21"/>
  <c r="G2158" i="21"/>
  <c r="G2154" i="21"/>
  <c r="G2150" i="21"/>
  <c r="G2146" i="21"/>
  <c r="G2142" i="21"/>
  <c r="G2138" i="21"/>
  <c r="G2134" i="21"/>
  <c r="G2130" i="21"/>
  <c r="G2126" i="21"/>
  <c r="G2122" i="21"/>
  <c r="G2118" i="21"/>
  <c r="G2114" i="21"/>
  <c r="G2110" i="21"/>
  <c r="G2106" i="21"/>
  <c r="G2102" i="21"/>
  <c r="G2098" i="21"/>
  <c r="G2094" i="21"/>
  <c r="G2090" i="21"/>
  <c r="G2086" i="21"/>
  <c r="G2082" i="21"/>
  <c r="G2078" i="21"/>
  <c r="G2074" i="21"/>
  <c r="G2070" i="21"/>
  <c r="G2066" i="21"/>
  <c r="G2062" i="21"/>
  <c r="G2058" i="21"/>
  <c r="G2054" i="21"/>
  <c r="G2050" i="21"/>
  <c r="G2046" i="21"/>
  <c r="G2042" i="21"/>
  <c r="G2038" i="21"/>
  <c r="G2034" i="21"/>
  <c r="G2030" i="21"/>
  <c r="G2026" i="21"/>
  <c r="G2022" i="21"/>
  <c r="G2018" i="21"/>
  <c r="G2014" i="21"/>
  <c r="G2010" i="21"/>
  <c r="G2006" i="21"/>
  <c r="G2002" i="21"/>
  <c r="G1998" i="21"/>
  <c r="G1994" i="21"/>
  <c r="G1990" i="21"/>
  <c r="G1986" i="21"/>
  <c r="G1982" i="21"/>
  <c r="G1978" i="21"/>
  <c r="G1974" i="21"/>
  <c r="G1970" i="21"/>
  <c r="G1966" i="21"/>
  <c r="G1962" i="21"/>
  <c r="G1958" i="21"/>
  <c r="G1954" i="21"/>
  <c r="G1950" i="21"/>
  <c r="G1946" i="21"/>
  <c r="G1942" i="21"/>
  <c r="G1938" i="21"/>
  <c r="G1934" i="21"/>
  <c r="G1930" i="21"/>
  <c r="G1926" i="21"/>
  <c r="G1922" i="21"/>
  <c r="G1918" i="21"/>
  <c r="G1914" i="21"/>
  <c r="G1910" i="21"/>
  <c r="G1906" i="21"/>
  <c r="G4967" i="21"/>
  <c r="G4911" i="21"/>
  <c r="G4853" i="21"/>
  <c r="G4796" i="21"/>
  <c r="G4740" i="21"/>
  <c r="G4683" i="21"/>
  <c r="G4638" i="21"/>
  <c r="G4610" i="21"/>
  <c r="G4582" i="21"/>
  <c r="G4552" i="21"/>
  <c r="G4524" i="21"/>
  <c r="G4496" i="21"/>
  <c r="G4467" i="21"/>
  <c r="G4444" i="21"/>
  <c r="G4423" i="21"/>
  <c r="G4402" i="21"/>
  <c r="G4380" i="21"/>
  <c r="G4359" i="21"/>
  <c r="G4338" i="21"/>
  <c r="G4316" i="21"/>
  <c r="G4295" i="21"/>
  <c r="G4274" i="21"/>
  <c r="G4252" i="21"/>
  <c r="G4234" i="21"/>
  <c r="G4218" i="21"/>
  <c r="G4202" i="21"/>
  <c r="G4186" i="21"/>
  <c r="G4170" i="21"/>
  <c r="G4154" i="21"/>
  <c r="G4138" i="21"/>
  <c r="G4122" i="21"/>
  <c r="G4106" i="21"/>
  <c r="G4090" i="21"/>
  <c r="G4074" i="21"/>
  <c r="G4058" i="21"/>
  <c r="G4042" i="21"/>
  <c r="G4026" i="21"/>
  <c r="G4010" i="21"/>
  <c r="G3994" i="21"/>
  <c r="G3978" i="21"/>
  <c r="G3962" i="21"/>
  <c r="G3946" i="21"/>
  <c r="G3930" i="21"/>
  <c r="G3919" i="21"/>
  <c r="G3908" i="21"/>
  <c r="G3898" i="21"/>
  <c r="G3887" i="21"/>
  <c r="G3876" i="21"/>
  <c r="G3866" i="21"/>
  <c r="G3855" i="21"/>
  <c r="G3844" i="21"/>
  <c r="G3834" i="21"/>
  <c r="G3823" i="21"/>
  <c r="G3812" i="21"/>
  <c r="G3802" i="21"/>
  <c r="G3791" i="21"/>
  <c r="G3780" i="21"/>
  <c r="G3770" i="21"/>
  <c r="G3759" i="21"/>
  <c r="G3748" i="21"/>
  <c r="G3738" i="21"/>
  <c r="G3727" i="21"/>
  <c r="G3716" i="21"/>
  <c r="G3706" i="21"/>
  <c r="G3695" i="21"/>
  <c r="G3684" i="21"/>
  <c r="G3674" i="21"/>
  <c r="G3663" i="21"/>
  <c r="G3652" i="21"/>
  <c r="G3642" i="21"/>
  <c r="G3631" i="21"/>
  <c r="G3620" i="21"/>
  <c r="G3610" i="21"/>
  <c r="G3599" i="21"/>
  <c r="G3588" i="21"/>
  <c r="G3578" i="21"/>
  <c r="G3567" i="21"/>
  <c r="G3556" i="21"/>
  <c r="G3546" i="21"/>
  <c r="G3535" i="21"/>
  <c r="G3524" i="21"/>
  <c r="G3514" i="21"/>
  <c r="G3503" i="21"/>
  <c r="G3492" i="21"/>
  <c r="G3482" i="21"/>
  <c r="G3471" i="21"/>
  <c r="G3460" i="21"/>
  <c r="G3450" i="21"/>
  <c r="G3439" i="21"/>
  <c r="G3428" i="21"/>
  <c r="G3418" i="21"/>
  <c r="G3407" i="21"/>
  <c r="G3396" i="21"/>
  <c r="G3386" i="21"/>
  <c r="G3375" i="21"/>
  <c r="G3365" i="21"/>
  <c r="G3357" i="21"/>
  <c r="G3349" i="21"/>
  <c r="G3341" i="21"/>
  <c r="G3333" i="21"/>
  <c r="G3325" i="21"/>
  <c r="G3317" i="21"/>
  <c r="G3309" i="21"/>
  <c r="G3301" i="21"/>
  <c r="G3293" i="21"/>
  <c r="G3285" i="21"/>
  <c r="G3277" i="21"/>
  <c r="G3269" i="21"/>
  <c r="G3261" i="21"/>
  <c r="G3253" i="21"/>
  <c r="G3245" i="21"/>
  <c r="G3237" i="21"/>
  <c r="G3229" i="21"/>
  <c r="G3221" i="21"/>
  <c r="G3213" i="21"/>
  <c r="G3205" i="21"/>
  <c r="G3197" i="21"/>
  <c r="G3189" i="21"/>
  <c r="G3181" i="21"/>
  <c r="G3173" i="21"/>
  <c r="G3165" i="21"/>
  <c r="G3157" i="21"/>
  <c r="G3149" i="21"/>
  <c r="G3141" i="21"/>
  <c r="G3133" i="21"/>
  <c r="G3125" i="21"/>
  <c r="G3117" i="21"/>
  <c r="G3109" i="21"/>
  <c r="G3101" i="21"/>
  <c r="G3093" i="21"/>
  <c r="G3085" i="21"/>
  <c r="G3079" i="21"/>
  <c r="G3074" i="21"/>
  <c r="G3069" i="21"/>
  <c r="G3063" i="21"/>
  <c r="G3058" i="21"/>
  <c r="G3053" i="21"/>
  <c r="G3047" i="21"/>
  <c r="G3042" i="21"/>
  <c r="G3037" i="21"/>
  <c r="G3031" i="21"/>
  <c r="G3026" i="21"/>
  <c r="G3021" i="21"/>
  <c r="G3015" i="21"/>
  <c r="G3010" i="21"/>
  <c r="G3005" i="21"/>
  <c r="G2999" i="21"/>
  <c r="G2994" i="21"/>
  <c r="G2989" i="21"/>
  <c r="G2983" i="21"/>
  <c r="G2978" i="21"/>
  <c r="G2973" i="21"/>
  <c r="G2967" i="21"/>
  <c r="G2962" i="21"/>
  <c r="G2957" i="21"/>
  <c r="G2951" i="21"/>
  <c r="G2946" i="21"/>
  <c r="G2941" i="21"/>
  <c r="G2935" i="21"/>
  <c r="G2930" i="21"/>
  <c r="G2925" i="21"/>
  <c r="G2919" i="21"/>
  <c r="G2914" i="21"/>
  <c r="G2909" i="21"/>
  <c r="G2903" i="21"/>
  <c r="G2898" i="21"/>
  <c r="G2893" i="21"/>
  <c r="G2887" i="21"/>
  <c r="G2882" i="21"/>
  <c r="G2877" i="21"/>
  <c r="G2871" i="21"/>
  <c r="G2866" i="21"/>
  <c r="G2861" i="21"/>
  <c r="G2855" i="21"/>
  <c r="G2850" i="21"/>
  <c r="G2845" i="21"/>
  <c r="G2839" i="21"/>
  <c r="G2834" i="21"/>
  <c r="G2829" i="21"/>
  <c r="G2823" i="21"/>
  <c r="G2818" i="21"/>
  <c r="G2813" i="21"/>
  <c r="G2807" i="21"/>
  <c r="G2802" i="21"/>
  <c r="G2797" i="21"/>
  <c r="G2791" i="21"/>
  <c r="G2786" i="21"/>
  <c r="G2781" i="21"/>
  <c r="G2775" i="21"/>
  <c r="G2770" i="21"/>
  <c r="G2765" i="21"/>
  <c r="G2761" i="21"/>
  <c r="G2757" i="21"/>
  <c r="G2753" i="21"/>
  <c r="G2749" i="21"/>
  <c r="G2745" i="21"/>
  <c r="G2741" i="21"/>
  <c r="G2737" i="21"/>
  <c r="G2733" i="21"/>
  <c r="G2729" i="21"/>
  <c r="G2725" i="21"/>
  <c r="G2721" i="21"/>
  <c r="G2717" i="21"/>
  <c r="G2713" i="21"/>
  <c r="G2709" i="21"/>
  <c r="G2705" i="21"/>
  <c r="G2701" i="21"/>
  <c r="G2697" i="21"/>
  <c r="G2693" i="21"/>
  <c r="G2689" i="21"/>
  <c r="G2685" i="21"/>
  <c r="G2681" i="21"/>
  <c r="G2677" i="21"/>
  <c r="G2673" i="21"/>
  <c r="G2669" i="21"/>
  <c r="G2665" i="21"/>
  <c r="G2661" i="21"/>
  <c r="G2657" i="21"/>
  <c r="G2653" i="21"/>
  <c r="G2649" i="21"/>
  <c r="G2645" i="21"/>
  <c r="G2641" i="21"/>
  <c r="G2637" i="21"/>
  <c r="G2633" i="21"/>
  <c r="G2629" i="21"/>
  <c r="G2625" i="21"/>
  <c r="G2621" i="21"/>
  <c r="G2617" i="21"/>
  <c r="G2613" i="21"/>
  <c r="G2609" i="21"/>
  <c r="G2605" i="21"/>
  <c r="G2601" i="21"/>
  <c r="G2597" i="21"/>
  <c r="G2593" i="21"/>
  <c r="G2589" i="21"/>
  <c r="G2585" i="21"/>
  <c r="G2581" i="21"/>
  <c r="G2577" i="21"/>
  <c r="G2573" i="21"/>
  <c r="G2569" i="21"/>
  <c r="G2565" i="21"/>
  <c r="G2561" i="21"/>
  <c r="G2557" i="21"/>
  <c r="G2553" i="21"/>
  <c r="G2549" i="21"/>
  <c r="G2545" i="21"/>
  <c r="G2541" i="21"/>
  <c r="G2537" i="21"/>
  <c r="G2533" i="21"/>
  <c r="G2529" i="21"/>
  <c r="G2525" i="21"/>
  <c r="G2521" i="21"/>
  <c r="G2517" i="21"/>
  <c r="G2513" i="21"/>
  <c r="G2509" i="21"/>
  <c r="G2505" i="21"/>
  <c r="G2501" i="21"/>
  <c r="G2497" i="21"/>
  <c r="G2493" i="21"/>
  <c r="G2489" i="21"/>
  <c r="G2485" i="21"/>
  <c r="G2481" i="21"/>
  <c r="G2477" i="21"/>
  <c r="G2473" i="21"/>
  <c r="G2469" i="21"/>
  <c r="G2465" i="21"/>
  <c r="G2461" i="21"/>
  <c r="G2457" i="21"/>
  <c r="G2453" i="21"/>
  <c r="G2449" i="21"/>
  <c r="G2445" i="21"/>
  <c r="G2441" i="21"/>
  <c r="G2437" i="21"/>
  <c r="G2433" i="21"/>
  <c r="G2429" i="21"/>
  <c r="G2425" i="21"/>
  <c r="G2421" i="21"/>
  <c r="G2417" i="21"/>
  <c r="G2413" i="21"/>
  <c r="G2409" i="21"/>
  <c r="G2405" i="21"/>
  <c r="G2401" i="21"/>
  <c r="G2397" i="21"/>
  <c r="G2393" i="21"/>
  <c r="G2389" i="21"/>
  <c r="G2385" i="21"/>
  <c r="G2381" i="21"/>
  <c r="G2377" i="21"/>
  <c r="G2373" i="21"/>
  <c r="G2369" i="21"/>
  <c r="G2365" i="21"/>
  <c r="G2361" i="21"/>
  <c r="G2357" i="21"/>
  <c r="G2353" i="21"/>
  <c r="G2349" i="21"/>
  <c r="G2345" i="21"/>
  <c r="G2341" i="21"/>
  <c r="G2337" i="21"/>
  <c r="G2333" i="21"/>
  <c r="G2329" i="21"/>
  <c r="G2325" i="21"/>
  <c r="G2321" i="21"/>
  <c r="G2317" i="21"/>
  <c r="G2313" i="21"/>
  <c r="G2309" i="21"/>
  <c r="G2305" i="21"/>
  <c r="G2301" i="21"/>
  <c r="G2297" i="21"/>
  <c r="G2293" i="21"/>
  <c r="G2289" i="21"/>
  <c r="G2285" i="21"/>
  <c r="G2281" i="21"/>
  <c r="G2277" i="21"/>
  <c r="G2273" i="21"/>
  <c r="G2269" i="21"/>
  <c r="G2265" i="21"/>
  <c r="G2261" i="21"/>
  <c r="G2257" i="21"/>
  <c r="G2253" i="21"/>
  <c r="G2249" i="21"/>
  <c r="G2245" i="21"/>
  <c r="G2241" i="21"/>
  <c r="G2237" i="21"/>
  <c r="G2233" i="21"/>
  <c r="G2229" i="21"/>
  <c r="G2225" i="21"/>
  <c r="G2221" i="21"/>
  <c r="G2217" i="21"/>
  <c r="G2213" i="21"/>
  <c r="G2209" i="21"/>
  <c r="G2205" i="21"/>
  <c r="G2201" i="21"/>
  <c r="G2197" i="21"/>
  <c r="G2193" i="21"/>
  <c r="G2189" i="21"/>
  <c r="G2185" i="21"/>
  <c r="G2181" i="21"/>
  <c r="G2177" i="21"/>
  <c r="G2173" i="21"/>
  <c r="G2169" i="21"/>
  <c r="G2165" i="21"/>
  <c r="G4940" i="21"/>
  <c r="G4827" i="21"/>
  <c r="G4713" i="21"/>
  <c r="G4626" i="21"/>
  <c r="G4568" i="21"/>
  <c r="G4512" i="21"/>
  <c r="G4456" i="21"/>
  <c r="G4414" i="21"/>
  <c r="G4371" i="21"/>
  <c r="G4328" i="21"/>
  <c r="G4286" i="21"/>
  <c r="G4243" i="21"/>
  <c r="G4211" i="21"/>
  <c r="G4179" i="21"/>
  <c r="G4147" i="21"/>
  <c r="G4115" i="21"/>
  <c r="G4083" i="21"/>
  <c r="G4051" i="21"/>
  <c r="G4019" i="21"/>
  <c r="G3987" i="21"/>
  <c r="G3955" i="21"/>
  <c r="G3926" i="21"/>
  <c r="G3904" i="21"/>
  <c r="G3883" i="21"/>
  <c r="G3862" i="21"/>
  <c r="G3840" i="21"/>
  <c r="G3819" i="21"/>
  <c r="G3798" i="21"/>
  <c r="G3776" i="21"/>
  <c r="G3755" i="21"/>
  <c r="G3734" i="21"/>
  <c r="G3712" i="21"/>
  <c r="G3691" i="21"/>
  <c r="G3670" i="21"/>
  <c r="G3648" i="21"/>
  <c r="G3627" i="21"/>
  <c r="G3606" i="21"/>
  <c r="G3584" i="21"/>
  <c r="G3563" i="21"/>
  <c r="G3542" i="21"/>
  <c r="G3520" i="21"/>
  <c r="G3499" i="21"/>
  <c r="G3478" i="21"/>
  <c r="G3456" i="21"/>
  <c r="G3435" i="21"/>
  <c r="G3414" i="21"/>
  <c r="G3392" i="21"/>
  <c r="G3371" i="21"/>
  <c r="G3354" i="21"/>
  <c r="G3338" i="21"/>
  <c r="G3322" i="21"/>
  <c r="G3306" i="21"/>
  <c r="G3290" i="21"/>
  <c r="G3274" i="21"/>
  <c r="G3258" i="21"/>
  <c r="G3242" i="21"/>
  <c r="G3226" i="21"/>
  <c r="G3210" i="21"/>
  <c r="G3194" i="21"/>
  <c r="G3178" i="21"/>
  <c r="G3162" i="21"/>
  <c r="G3146" i="21"/>
  <c r="G3130" i="21"/>
  <c r="G3114" i="21"/>
  <c r="G3098" i="21"/>
  <c r="G3083" i="21"/>
  <c r="G3073" i="21"/>
  <c r="G3062" i="21"/>
  <c r="G3051" i="21"/>
  <c r="G3041" i="21"/>
  <c r="G3030" i="21"/>
  <c r="G3019" i="21"/>
  <c r="G3009" i="21"/>
  <c r="G2998" i="21"/>
  <c r="G2987" i="21"/>
  <c r="G2977" i="21"/>
  <c r="G2966" i="21"/>
  <c r="G2955" i="21"/>
  <c r="G2945" i="21"/>
  <c r="G2934" i="21"/>
  <c r="G2923" i="21"/>
  <c r="G2913" i="21"/>
  <c r="G2902" i="21"/>
  <c r="G2891" i="21"/>
  <c r="G2881" i="21"/>
  <c r="G2870" i="21"/>
  <c r="G2859" i="21"/>
  <c r="G2849" i="21"/>
  <c r="G2838" i="21"/>
  <c r="G2827" i="21"/>
  <c r="G2817" i="21"/>
  <c r="G2806" i="21"/>
  <c r="G2795" i="21"/>
  <c r="G2785" i="21"/>
  <c r="G2774" i="21"/>
  <c r="G2764" i="21"/>
  <c r="G2756" i="21"/>
  <c r="G2748" i="21"/>
  <c r="G2740" i="21"/>
  <c r="G2732" i="21"/>
  <c r="G2724" i="21"/>
  <c r="G2716" i="21"/>
  <c r="G2708" i="21"/>
  <c r="G2700" i="21"/>
  <c r="G2692" i="21"/>
  <c r="G2684" i="21"/>
  <c r="G2676" i="21"/>
  <c r="G2668" i="21"/>
  <c r="G2660" i="21"/>
  <c r="G2652" i="21"/>
  <c r="G2644" i="21"/>
  <c r="G2636" i="21"/>
  <c r="G2628" i="21"/>
  <c r="G2620" i="21"/>
  <c r="G2612" i="21"/>
  <c r="G2604" i="21"/>
  <c r="G2596" i="21"/>
  <c r="G2588" i="21"/>
  <c r="G2580" i="21"/>
  <c r="G2572" i="21"/>
  <c r="G2564" i="21"/>
  <c r="G2556" i="21"/>
  <c r="G2548" i="21"/>
  <c r="G2540" i="21"/>
  <c r="G2532" i="21"/>
  <c r="G2524" i="21"/>
  <c r="G2516" i="21"/>
  <c r="G2508" i="21"/>
  <c r="G2500" i="21"/>
  <c r="G2492" i="21"/>
  <c r="G2484" i="21"/>
  <c r="G2476" i="21"/>
  <c r="G2468" i="21"/>
  <c r="G2460" i="21"/>
  <c r="G2452" i="21"/>
  <c r="G2444" i="21"/>
  <c r="G2436" i="21"/>
  <c r="G2428" i="21"/>
  <c r="G2420" i="21"/>
  <c r="G2412" i="21"/>
  <c r="G2404" i="21"/>
  <c r="G2396" i="21"/>
  <c r="G2388" i="21"/>
  <c r="G2380" i="21"/>
  <c r="G2372" i="21"/>
  <c r="G2364" i="21"/>
  <c r="G2356" i="21"/>
  <c r="G2348" i="21"/>
  <c r="G2340" i="21"/>
  <c r="G2332" i="21"/>
  <c r="G2324" i="21"/>
  <c r="G2316" i="21"/>
  <c r="G2308" i="21"/>
  <c r="G2300" i="21"/>
  <c r="G2292" i="21"/>
  <c r="G2284" i="21"/>
  <c r="G2276" i="21"/>
  <c r="G2268" i="21"/>
  <c r="G2260" i="21"/>
  <c r="G2252" i="21"/>
  <c r="G2244" i="21"/>
  <c r="G2236" i="21"/>
  <c r="G2228" i="21"/>
  <c r="G2220" i="21"/>
  <c r="G2212" i="21"/>
  <c r="G2204" i="21"/>
  <c r="G2196" i="21"/>
  <c r="G2188" i="21"/>
  <c r="G2180" i="21"/>
  <c r="G2172" i="21"/>
  <c r="G2164" i="21"/>
  <c r="G2159" i="21"/>
  <c r="G2153" i="21"/>
  <c r="G2148" i="21"/>
  <c r="G2143" i="21"/>
  <c r="G2137" i="21"/>
  <c r="G2132" i="21"/>
  <c r="G2127" i="21"/>
  <c r="G2121" i="21"/>
  <c r="G2116" i="21"/>
  <c r="G2111" i="21"/>
  <c r="G2105" i="21"/>
  <c r="G2100" i="21"/>
  <c r="G2095" i="21"/>
  <c r="G2089" i="21"/>
  <c r="G2084" i="21"/>
  <c r="G2079" i="21"/>
  <c r="G2073" i="21"/>
  <c r="G2068" i="21"/>
  <c r="G2063" i="21"/>
  <c r="G2057" i="21"/>
  <c r="G2052" i="21"/>
  <c r="G2047" i="21"/>
  <c r="G2041" i="21"/>
  <c r="G2036" i="21"/>
  <c r="G2031" i="21"/>
  <c r="G2025" i="21"/>
  <c r="G2020" i="21"/>
  <c r="G2015" i="21"/>
  <c r="G2009" i="21"/>
  <c r="G2004" i="21"/>
  <c r="G1999" i="21"/>
  <c r="G1993" i="21"/>
  <c r="G1988" i="21"/>
  <c r="G1983" i="21"/>
  <c r="G1977" i="21"/>
  <c r="G1972" i="21"/>
  <c r="G1967" i="21"/>
  <c r="G1961" i="21"/>
  <c r="G1956" i="21"/>
  <c r="G1951" i="21"/>
  <c r="G1945" i="21"/>
  <c r="G1940" i="21"/>
  <c r="G1935" i="21"/>
  <c r="G1929" i="21"/>
  <c r="G1924" i="21"/>
  <c r="G1919" i="21"/>
  <c r="G1913" i="21"/>
  <c r="G1908" i="21"/>
  <c r="G1903" i="21"/>
  <c r="G1899" i="21"/>
  <c r="G1895" i="21"/>
  <c r="G1891" i="21"/>
  <c r="G1887" i="21"/>
  <c r="G1883" i="21"/>
  <c r="G1879" i="21"/>
  <c r="G1875" i="21"/>
  <c r="G1871" i="21"/>
  <c r="G1867" i="21"/>
  <c r="G1863" i="21"/>
  <c r="G1859" i="21"/>
  <c r="G1855" i="21"/>
  <c r="G1851" i="21"/>
  <c r="G1847" i="21"/>
  <c r="G1843" i="21"/>
  <c r="G1839" i="21"/>
  <c r="G1835" i="21"/>
  <c r="G1831" i="21"/>
  <c r="G1827" i="21"/>
  <c r="G1823" i="21"/>
  <c r="G1819" i="21"/>
  <c r="G1815" i="21"/>
  <c r="G1811" i="21"/>
  <c r="G1807" i="21"/>
  <c r="G1803" i="21"/>
  <c r="G1799" i="21"/>
  <c r="G1795" i="21"/>
  <c r="G1791" i="21"/>
  <c r="G1787" i="21"/>
  <c r="G1783" i="21"/>
  <c r="G1779" i="21"/>
  <c r="G1775" i="21"/>
  <c r="G1771" i="21"/>
  <c r="G1767" i="21"/>
  <c r="G1763" i="21"/>
  <c r="G1759" i="21"/>
  <c r="G1755" i="21"/>
  <c r="G1751" i="21"/>
  <c r="G1747" i="21"/>
  <c r="G1743" i="21"/>
  <c r="G1739" i="21"/>
  <c r="G1735" i="21"/>
  <c r="G1731" i="21"/>
  <c r="G1727" i="21"/>
  <c r="G1723" i="21"/>
  <c r="G1719" i="21"/>
  <c r="G1715" i="21"/>
  <c r="G1711" i="21"/>
  <c r="G1707" i="21"/>
  <c r="G1703" i="21"/>
  <c r="G1699" i="21"/>
  <c r="G1695" i="21"/>
  <c r="G1691" i="21"/>
  <c r="G1687" i="21"/>
  <c r="G1683" i="21"/>
  <c r="G1679" i="21"/>
  <c r="G1675" i="21"/>
  <c r="G1671" i="21"/>
  <c r="G1667" i="21"/>
  <c r="G1663" i="21"/>
  <c r="G1659" i="21"/>
  <c r="G1655" i="21"/>
  <c r="G1651" i="21"/>
  <c r="G1647" i="21"/>
  <c r="G1643" i="21"/>
  <c r="G1639" i="21"/>
  <c r="G1635" i="21"/>
  <c r="G1631" i="21"/>
  <c r="G1627" i="21"/>
  <c r="G1623" i="21"/>
  <c r="G1619" i="21"/>
  <c r="G1615" i="21"/>
  <c r="G1611" i="21"/>
  <c r="G1607" i="21"/>
  <c r="G1603" i="21"/>
  <c r="G1599" i="21"/>
  <c r="G1595" i="21"/>
  <c r="G1591" i="21"/>
  <c r="G1587" i="21"/>
  <c r="G1583" i="21"/>
  <c r="G1579" i="21"/>
  <c r="G1575" i="21"/>
  <c r="G1571" i="21"/>
  <c r="G1567" i="21"/>
  <c r="G1563" i="21"/>
  <c r="G1559" i="21"/>
  <c r="G1555" i="21"/>
  <c r="G1551" i="21"/>
  <c r="G1547" i="21"/>
  <c r="G1543" i="21"/>
  <c r="G1539" i="21"/>
  <c r="G1535" i="21"/>
  <c r="G1531" i="21"/>
  <c r="G1527" i="21"/>
  <c r="G1523" i="21"/>
  <c r="G1519" i="21"/>
  <c r="G1515" i="21"/>
  <c r="G1511" i="21"/>
  <c r="G1507" i="21"/>
  <c r="G1503" i="21"/>
  <c r="G1499" i="21"/>
  <c r="G1495" i="21"/>
  <c r="G1491" i="21"/>
  <c r="G1487" i="21"/>
  <c r="G1483" i="21"/>
  <c r="G1479" i="21"/>
  <c r="G1475" i="21"/>
  <c r="G1471" i="21"/>
  <c r="G1467" i="21"/>
  <c r="G1463" i="21"/>
  <c r="G1459" i="21"/>
  <c r="G1455" i="21"/>
  <c r="G1451" i="21"/>
  <c r="G1447" i="21"/>
  <c r="G1443" i="21"/>
  <c r="G1439" i="21"/>
  <c r="G1435" i="21"/>
  <c r="G1431" i="21"/>
  <c r="G1427" i="21"/>
  <c r="G1423" i="21"/>
  <c r="G1419" i="21"/>
  <c r="G1415" i="21"/>
  <c r="G1411" i="21"/>
  <c r="G1407" i="21"/>
  <c r="G1403" i="21"/>
  <c r="G1399" i="21"/>
  <c r="G1395" i="21"/>
  <c r="G1391" i="21"/>
  <c r="G1387" i="21"/>
  <c r="G1383" i="21"/>
  <c r="G1379" i="21"/>
  <c r="G1375" i="21"/>
  <c r="G1371" i="21"/>
  <c r="G1367" i="21"/>
  <c r="G1363" i="21"/>
  <c r="G1359" i="21"/>
  <c r="G1355" i="21"/>
  <c r="G1351" i="21"/>
  <c r="G1347" i="21"/>
  <c r="G1343" i="21"/>
  <c r="G1339" i="21"/>
  <c r="G1335" i="21"/>
  <c r="G1331" i="21"/>
  <c r="G1327" i="21"/>
  <c r="G1323" i="21"/>
  <c r="G1319" i="21"/>
  <c r="G1315" i="21"/>
  <c r="G1311" i="21"/>
  <c r="G1307" i="21"/>
  <c r="G1303" i="21"/>
  <c r="G1299" i="21"/>
  <c r="G1295" i="21"/>
  <c r="G1291" i="21"/>
  <c r="G1287" i="21"/>
  <c r="G1283" i="21"/>
  <c r="G1279" i="21"/>
  <c r="G1275" i="21"/>
  <c r="G1271" i="21"/>
  <c r="G1267" i="21"/>
  <c r="G1263" i="21"/>
  <c r="G1259" i="21"/>
  <c r="G1255" i="21"/>
  <c r="G1251" i="21"/>
  <c r="G1247" i="21"/>
  <c r="G1243" i="21"/>
  <c r="G1239" i="21"/>
  <c r="G1235" i="21"/>
  <c r="G1231" i="21"/>
  <c r="G1227" i="21"/>
  <c r="G1223" i="21"/>
  <c r="G1219" i="21"/>
  <c r="G1215" i="21"/>
  <c r="G1211" i="21"/>
  <c r="G1207" i="21"/>
  <c r="G1203" i="21"/>
  <c r="G1199" i="21"/>
  <c r="G1195" i="21"/>
  <c r="G1191" i="21"/>
  <c r="G1187" i="21"/>
  <c r="G1183" i="21"/>
  <c r="G1179" i="21"/>
  <c r="G1175" i="21"/>
  <c r="G1171" i="21"/>
  <c r="G1167" i="21"/>
  <c r="G1163" i="21"/>
  <c r="G1159" i="21"/>
  <c r="G1155" i="21"/>
  <c r="G1151" i="21"/>
  <c r="G1147" i="21"/>
  <c r="G1143" i="21"/>
  <c r="G1139" i="21"/>
  <c r="G1135" i="21"/>
  <c r="G1131" i="21"/>
  <c r="G1127" i="21"/>
  <c r="G1123" i="21"/>
  <c r="G1119" i="21"/>
  <c r="G1115" i="21"/>
  <c r="G1111" i="21"/>
  <c r="G1107" i="21"/>
  <c r="G1103" i="21"/>
  <c r="G1099" i="21"/>
  <c r="G1095" i="21"/>
  <c r="G1091" i="21"/>
  <c r="G1087" i="21"/>
  <c r="G1083" i="21"/>
  <c r="G1079" i="21"/>
  <c r="G1075" i="21"/>
  <c r="G1071" i="21"/>
  <c r="G1067" i="21"/>
  <c r="G1063" i="21"/>
  <c r="G1059" i="21"/>
  <c r="G1055" i="21"/>
  <c r="G1051" i="21"/>
  <c r="G1047" i="21"/>
  <c r="G1043" i="21"/>
  <c r="G1039" i="21"/>
  <c r="G1035" i="21"/>
  <c r="G1031" i="21"/>
  <c r="G1027" i="21"/>
  <c r="G1023" i="21"/>
  <c r="G1019" i="21"/>
  <c r="G1015" i="21"/>
  <c r="G1011" i="21"/>
  <c r="G1007" i="21"/>
  <c r="G1003" i="21"/>
  <c r="G999" i="21"/>
  <c r="G995" i="21"/>
  <c r="G991" i="21"/>
  <c r="G987" i="21"/>
  <c r="G983" i="21"/>
  <c r="G979" i="21"/>
  <c r="G975" i="21"/>
  <c r="G971" i="21"/>
  <c r="G967" i="21"/>
  <c r="G963" i="21"/>
  <c r="G959" i="21"/>
  <c r="G955" i="21"/>
  <c r="G951" i="21"/>
  <c r="G947" i="21"/>
  <c r="G943" i="21"/>
  <c r="G939" i="21"/>
  <c r="G935" i="21"/>
  <c r="G931" i="21"/>
  <c r="G927" i="21"/>
  <c r="G923" i="21"/>
  <c r="G919" i="21"/>
  <c r="G915" i="21"/>
  <c r="G911" i="21"/>
  <c r="G907" i="21"/>
  <c r="G903" i="21"/>
  <c r="G899" i="21"/>
  <c r="G895" i="21"/>
  <c r="G891" i="21"/>
  <c r="G887" i="21"/>
  <c r="G883" i="21"/>
  <c r="G879" i="21"/>
  <c r="G875" i="21"/>
  <c r="G871" i="21"/>
  <c r="G867" i="21"/>
  <c r="G863" i="21"/>
  <c r="G859" i="21"/>
  <c r="G855" i="21"/>
  <c r="G851" i="21"/>
  <c r="G847" i="21"/>
  <c r="G843" i="21"/>
  <c r="G839" i="21"/>
  <c r="G835" i="21"/>
  <c r="G831" i="21"/>
  <c r="G827" i="21"/>
  <c r="G823" i="21"/>
  <c r="G819" i="21"/>
  <c r="G815" i="21"/>
  <c r="G811" i="21"/>
  <c r="G807" i="21"/>
  <c r="G803" i="21"/>
  <c r="G799" i="21"/>
  <c r="G795" i="21"/>
  <c r="G791" i="21"/>
  <c r="G787" i="21"/>
  <c r="G783" i="21"/>
  <c r="G779" i="21"/>
  <c r="G775" i="21"/>
  <c r="G771" i="21"/>
  <c r="G767" i="21"/>
  <c r="G763" i="21"/>
  <c r="G759" i="21"/>
  <c r="G755" i="21"/>
  <c r="G751" i="21"/>
  <c r="G747" i="21"/>
  <c r="G743" i="21"/>
  <c r="G739" i="21"/>
  <c r="G735" i="21"/>
  <c r="G731" i="21"/>
  <c r="G727" i="21"/>
  <c r="G723" i="21"/>
  <c r="G719" i="21"/>
  <c r="G715" i="21"/>
  <c r="G711" i="21"/>
  <c r="G707" i="21"/>
  <c r="G703" i="21"/>
  <c r="G699" i="21"/>
  <c r="G695" i="21"/>
  <c r="G691" i="21"/>
  <c r="G687" i="21"/>
  <c r="G683" i="21"/>
  <c r="G679" i="21"/>
  <c r="G675" i="21"/>
  <c r="G671" i="21"/>
  <c r="G667" i="21"/>
  <c r="G663" i="21"/>
  <c r="G659" i="21"/>
  <c r="G655" i="21"/>
  <c r="G651" i="21"/>
  <c r="G647" i="21"/>
  <c r="G643" i="21"/>
  <c r="G639" i="21"/>
  <c r="G635" i="21"/>
  <c r="G631" i="21"/>
  <c r="G627" i="21"/>
  <c r="G623" i="21"/>
  <c r="G619" i="21"/>
  <c r="G615" i="21"/>
  <c r="G611" i="21"/>
  <c r="G607" i="21"/>
  <c r="G603" i="21"/>
  <c r="G599" i="21"/>
  <c r="G595" i="21"/>
  <c r="G591" i="21"/>
  <c r="G587" i="21"/>
  <c r="G583" i="21"/>
  <c r="G579" i="21"/>
  <c r="G575" i="21"/>
  <c r="G571" i="21"/>
  <c r="G567" i="21"/>
  <c r="G563" i="21"/>
  <c r="G559" i="21"/>
  <c r="G555" i="21"/>
  <c r="G551" i="21"/>
  <c r="G547" i="21"/>
  <c r="G543" i="21"/>
  <c r="G539" i="21"/>
  <c r="G535" i="21"/>
  <c r="G531" i="21"/>
  <c r="G527" i="21"/>
  <c r="G523" i="21"/>
  <c r="G519" i="21"/>
  <c r="G515" i="21"/>
  <c r="G511" i="21"/>
  <c r="G507" i="21"/>
  <c r="G503" i="21"/>
  <c r="G499" i="21"/>
  <c r="G495" i="21"/>
  <c r="G491" i="21"/>
  <c r="G487" i="21"/>
  <c r="G483" i="21"/>
  <c r="G479" i="21"/>
  <c r="G475" i="21"/>
  <c r="G471" i="21"/>
  <c r="G467" i="21"/>
  <c r="G463" i="21"/>
  <c r="G459" i="21"/>
  <c r="G455" i="21"/>
  <c r="G451" i="21"/>
  <c r="G447" i="21"/>
  <c r="G443" i="21"/>
  <c r="G439" i="21"/>
  <c r="G435" i="21"/>
  <c r="G431" i="21"/>
  <c r="G427" i="21"/>
  <c r="G423" i="21"/>
  <c r="G419" i="21"/>
  <c r="G415" i="21"/>
  <c r="G411" i="21"/>
  <c r="G407" i="21"/>
  <c r="G403" i="21"/>
  <c r="G399" i="21"/>
  <c r="G395" i="21"/>
  <c r="G391" i="21"/>
  <c r="G387" i="21"/>
  <c r="G383" i="21"/>
  <c r="G379" i="21"/>
  <c r="G375" i="21"/>
  <c r="G371" i="21"/>
  <c r="G367" i="21"/>
  <c r="G363" i="21"/>
  <c r="G359" i="21"/>
  <c r="G355" i="21"/>
  <c r="G351" i="21"/>
  <c r="G347" i="21"/>
  <c r="G343" i="21"/>
  <c r="G339" i="21"/>
  <c r="G335" i="21"/>
  <c r="G331" i="21"/>
  <c r="G327" i="21"/>
  <c r="G323" i="21"/>
  <c r="G319" i="21"/>
  <c r="G315" i="21"/>
  <c r="G311" i="21"/>
  <c r="G307" i="21"/>
  <c r="G303" i="21"/>
  <c r="G299" i="21"/>
  <c r="G295" i="21"/>
  <c r="G291" i="21"/>
  <c r="G287" i="21"/>
  <c r="G283" i="21"/>
  <c r="G279" i="21"/>
  <c r="G275" i="21"/>
  <c r="G271" i="21"/>
  <c r="G267" i="21"/>
  <c r="G263" i="21"/>
  <c r="G259" i="21"/>
  <c r="G255" i="21"/>
  <c r="G251" i="21"/>
  <c r="G247" i="21"/>
  <c r="G243" i="21"/>
  <c r="G239" i="21"/>
  <c r="G235" i="21"/>
  <c r="G231" i="21"/>
  <c r="G227" i="21"/>
  <c r="G223" i="21"/>
  <c r="G219" i="21"/>
  <c r="G215" i="21"/>
  <c r="G211" i="21"/>
  <c r="G207" i="21"/>
  <c r="G203" i="21"/>
  <c r="G199" i="21"/>
  <c r="G195" i="21"/>
  <c r="G191" i="21"/>
  <c r="G187" i="21"/>
  <c r="G183" i="21"/>
  <c r="G179" i="21"/>
  <c r="G175" i="21"/>
  <c r="G171" i="21"/>
  <c r="G167" i="21"/>
  <c r="G163" i="21"/>
  <c r="G159" i="21"/>
  <c r="G155" i="21"/>
  <c r="G151" i="21"/>
  <c r="G147" i="21"/>
  <c r="G143" i="21"/>
  <c r="G139" i="21"/>
  <c r="G135" i="21"/>
  <c r="G131" i="21"/>
  <c r="G127" i="21"/>
  <c r="G123" i="21"/>
  <c r="G119" i="21"/>
  <c r="G115" i="21"/>
  <c r="G111" i="21"/>
  <c r="G107" i="21"/>
  <c r="G103" i="21"/>
  <c r="G99" i="21"/>
  <c r="G95" i="21"/>
  <c r="G91" i="21"/>
  <c r="G87" i="21"/>
  <c r="G83" i="21"/>
  <c r="G79" i="21"/>
  <c r="G75" i="21"/>
  <c r="G71" i="21"/>
  <c r="G67" i="21"/>
  <c r="G63" i="21"/>
  <c r="G59" i="21"/>
  <c r="G55" i="21"/>
  <c r="G4939" i="21"/>
  <c r="G4825" i="21"/>
  <c r="G4711" i="21"/>
  <c r="G4624" i="21"/>
  <c r="G4567" i="21"/>
  <c r="G4510" i="21"/>
  <c r="G4455" i="21"/>
  <c r="G4412" i="21"/>
  <c r="G4370" i="21"/>
  <c r="G4327" i="21"/>
  <c r="G4284" i="21"/>
  <c r="G4242" i="21"/>
  <c r="G4210" i="21"/>
  <c r="G4178" i="21"/>
  <c r="G4146" i="21"/>
  <c r="G4114" i="21"/>
  <c r="G4082" i="21"/>
  <c r="G4050" i="21"/>
  <c r="G4018" i="21"/>
  <c r="G3986" i="21"/>
  <c r="G3954" i="21"/>
  <c r="G3924" i="21"/>
  <c r="G3903" i="21"/>
  <c r="G3882" i="21"/>
  <c r="G3860" i="21"/>
  <c r="G3839" i="21"/>
  <c r="G3818" i="21"/>
  <c r="G3796" i="21"/>
  <c r="G3775" i="21"/>
  <c r="G3754" i="21"/>
  <c r="G3732" i="21"/>
  <c r="G3711" i="21"/>
  <c r="G3690" i="21"/>
  <c r="G3668" i="21"/>
  <c r="G3647" i="21"/>
  <c r="G3626" i="21"/>
  <c r="G3604" i="21"/>
  <c r="G3583" i="21"/>
  <c r="G3562" i="21"/>
  <c r="G3540" i="21"/>
  <c r="G3519" i="21"/>
  <c r="G3498" i="21"/>
  <c r="G3476" i="21"/>
  <c r="G3455" i="21"/>
  <c r="G3434" i="21"/>
  <c r="G3412" i="21"/>
  <c r="G3391" i="21"/>
  <c r="G3370" i="21"/>
  <c r="G3353" i="21"/>
  <c r="G3337" i="21"/>
  <c r="G3321" i="21"/>
  <c r="G3305" i="21"/>
  <c r="G3289" i="21"/>
  <c r="G3273" i="21"/>
  <c r="G3257" i="21"/>
  <c r="G3241" i="21"/>
  <c r="G3225" i="21"/>
  <c r="G3209" i="21"/>
  <c r="G3193" i="21"/>
  <c r="G3177" i="21"/>
  <c r="G3161" i="21"/>
  <c r="G3145" i="21"/>
  <c r="G3129" i="21"/>
  <c r="G3113" i="21"/>
  <c r="G3097" i="21"/>
  <c r="G3082" i="21"/>
  <c r="G3071" i="21"/>
  <c r="G3061" i="21"/>
  <c r="G3050" i="21"/>
  <c r="G3039" i="21"/>
  <c r="G3029" i="21"/>
  <c r="G3018" i="21"/>
  <c r="G3007" i="21"/>
  <c r="G2997" i="21"/>
  <c r="G2986" i="21"/>
  <c r="G2975" i="21"/>
  <c r="G2965" i="21"/>
  <c r="G2954" i="21"/>
  <c r="G2943" i="21"/>
  <c r="G2933" i="21"/>
  <c r="G2922" i="21"/>
  <c r="G2911" i="21"/>
  <c r="G2901" i="21"/>
  <c r="G2890" i="21"/>
  <c r="G2879" i="21"/>
  <c r="G2869" i="21"/>
  <c r="G2858" i="21"/>
  <c r="G2847" i="21"/>
  <c r="G2837" i="21"/>
  <c r="G2826" i="21"/>
  <c r="G2815" i="21"/>
  <c r="G2805" i="21"/>
  <c r="G2794" i="21"/>
  <c r="G2783" i="21"/>
  <c r="G2773" i="21"/>
  <c r="G2763" i="21"/>
  <c r="G2755" i="21"/>
  <c r="G2747" i="21"/>
  <c r="G2739" i="21"/>
  <c r="G2731" i="21"/>
  <c r="G2723" i="21"/>
  <c r="G2715" i="21"/>
  <c r="G2707" i="21"/>
  <c r="G2699" i="21"/>
  <c r="G2691" i="21"/>
  <c r="G2683" i="21"/>
  <c r="G2675" i="21"/>
  <c r="G2667" i="21"/>
  <c r="G2659" i="21"/>
  <c r="G2651" i="21"/>
  <c r="G2643" i="21"/>
  <c r="G2635" i="21"/>
  <c r="G2627" i="21"/>
  <c r="G2619" i="21"/>
  <c r="G2611" i="21"/>
  <c r="G2603" i="21"/>
  <c r="G2595" i="21"/>
  <c r="G2587" i="21"/>
  <c r="G2579" i="21"/>
  <c r="G2571" i="21"/>
  <c r="G2563" i="21"/>
  <c r="G2555" i="21"/>
  <c r="G2547" i="21"/>
  <c r="G2539" i="21"/>
  <c r="G2531" i="21"/>
  <c r="G2523" i="21"/>
  <c r="G2515" i="21"/>
  <c r="G2507" i="21"/>
  <c r="G2499" i="21"/>
  <c r="G2491" i="21"/>
  <c r="G2483" i="21"/>
  <c r="G2475" i="21"/>
  <c r="G2467" i="21"/>
  <c r="G2459" i="21"/>
  <c r="G2451" i="21"/>
  <c r="G2443" i="21"/>
  <c r="G2435" i="21"/>
  <c r="G2427" i="21"/>
  <c r="G2419" i="21"/>
  <c r="G2411" i="21"/>
  <c r="G2403" i="21"/>
  <c r="G2395" i="21"/>
  <c r="G2387" i="21"/>
  <c r="G2379" i="21"/>
  <c r="G2371" i="21"/>
  <c r="G2363" i="21"/>
  <c r="G2355" i="21"/>
  <c r="G2347" i="21"/>
  <c r="G2339" i="21"/>
  <c r="G2331" i="21"/>
  <c r="G2323" i="21"/>
  <c r="G2315" i="21"/>
  <c r="G2307" i="21"/>
  <c r="G2299" i="21"/>
  <c r="G2291" i="21"/>
  <c r="G2283" i="21"/>
  <c r="G2275" i="21"/>
  <c r="G2267" i="21"/>
  <c r="G2259" i="21"/>
  <c r="G2251" i="21"/>
  <c r="G2243" i="21"/>
  <c r="G2235" i="21"/>
  <c r="G2227" i="21"/>
  <c r="G2219" i="21"/>
  <c r="G2211" i="21"/>
  <c r="G2203" i="21"/>
  <c r="G2195" i="21"/>
  <c r="G2187" i="21"/>
  <c r="G2179" i="21"/>
  <c r="G2171" i="21"/>
  <c r="G2163" i="21"/>
  <c r="G2157" i="21"/>
  <c r="G2152" i="21"/>
  <c r="G2147" i="21"/>
  <c r="G2141" i="21"/>
  <c r="G2136" i="21"/>
  <c r="G2131" i="21"/>
  <c r="G2125" i="21"/>
  <c r="G2120" i="21"/>
  <c r="G2115" i="21"/>
  <c r="G2109" i="21"/>
  <c r="G2104" i="21"/>
  <c r="G2099" i="21"/>
  <c r="G2093" i="21"/>
  <c r="G2088" i="21"/>
  <c r="G2083" i="21"/>
  <c r="G2077" i="21"/>
  <c r="G2072" i="21"/>
  <c r="G2067" i="21"/>
  <c r="G2061" i="21"/>
  <c r="G2056" i="21"/>
  <c r="G2051" i="21"/>
  <c r="G2045" i="21"/>
  <c r="G2040" i="21"/>
  <c r="G2035" i="21"/>
  <c r="G2029" i="21"/>
  <c r="G2024" i="21"/>
  <c r="G2019" i="21"/>
  <c r="G2013" i="21"/>
  <c r="G2008" i="21"/>
  <c r="G2003" i="21"/>
  <c r="G1997" i="21"/>
  <c r="G1992" i="21"/>
  <c r="G1987" i="21"/>
  <c r="G1981" i="21"/>
  <c r="G1976" i="21"/>
  <c r="G1971" i="21"/>
  <c r="G1965" i="21"/>
  <c r="G1960" i="21"/>
  <c r="G1955" i="21"/>
  <c r="G1949" i="21"/>
  <c r="G1944" i="21"/>
  <c r="G1939" i="21"/>
  <c r="G1933" i="21"/>
  <c r="G1928" i="21"/>
  <c r="G1923" i="21"/>
  <c r="G1917" i="21"/>
  <c r="G1912" i="21"/>
  <c r="G1907" i="21"/>
  <c r="G1902" i="21"/>
  <c r="G1898" i="21"/>
  <c r="G1894" i="21"/>
  <c r="G1890" i="21"/>
  <c r="G1886" i="21"/>
  <c r="G1882" i="21"/>
  <c r="G1878" i="21"/>
  <c r="G1874" i="21"/>
  <c r="G1870" i="21"/>
  <c r="G1866" i="21"/>
  <c r="G1862" i="21"/>
  <c r="G1858" i="21"/>
  <c r="G1854" i="21"/>
  <c r="G1850" i="21"/>
  <c r="G1846" i="21"/>
  <c r="G1842" i="21"/>
  <c r="G1838" i="21"/>
  <c r="G1834" i="21"/>
  <c r="G1830" i="21"/>
  <c r="G1826" i="21"/>
  <c r="G1822" i="21"/>
  <c r="G1818" i="21"/>
  <c r="G1814" i="21"/>
  <c r="G1810" i="21"/>
  <c r="G1806" i="21"/>
  <c r="G1802" i="21"/>
  <c r="G1798" i="21"/>
  <c r="G1794" i="21"/>
  <c r="G1790" i="21"/>
  <c r="G1786" i="21"/>
  <c r="G1782" i="21"/>
  <c r="G1778" i="21"/>
  <c r="G1774" i="21"/>
  <c r="G1770" i="21"/>
  <c r="G1766" i="21"/>
  <c r="G1762" i="21"/>
  <c r="G1758" i="21"/>
  <c r="G1754" i="21"/>
  <c r="G1750" i="21"/>
  <c r="G1746" i="21"/>
  <c r="G1742" i="21"/>
  <c r="G1738" i="21"/>
  <c r="G1734" i="21"/>
  <c r="G1730" i="21"/>
  <c r="G1726" i="21"/>
  <c r="G1722" i="21"/>
  <c r="G1718" i="21"/>
  <c r="G1714" i="21"/>
  <c r="G1710" i="21"/>
  <c r="G1706" i="21"/>
  <c r="G1702" i="21"/>
  <c r="G1698" i="21"/>
  <c r="G1694" i="21"/>
  <c r="G1690" i="21"/>
  <c r="G1686" i="21"/>
  <c r="G1682" i="21"/>
  <c r="G1678" i="21"/>
  <c r="G1674" i="21"/>
  <c r="G1670" i="21"/>
  <c r="G1666" i="21"/>
  <c r="G1662" i="21"/>
  <c r="G1658" i="21"/>
  <c r="G1654" i="21"/>
  <c r="G1650" i="21"/>
  <c r="G1646" i="21"/>
  <c r="G1642" i="21"/>
  <c r="G1638" i="21"/>
  <c r="G1634" i="21"/>
  <c r="G1630" i="21"/>
  <c r="G1626" i="21"/>
  <c r="G1622" i="21"/>
  <c r="G1618" i="21"/>
  <c r="G1614" i="21"/>
  <c r="G1610" i="21"/>
  <c r="G1606" i="21"/>
  <c r="G1602" i="21"/>
  <c r="G1598" i="21"/>
  <c r="G1594" i="21"/>
  <c r="G1590" i="21"/>
  <c r="G1586" i="21"/>
  <c r="G1582" i="21"/>
  <c r="G1578" i="21"/>
  <c r="G1574" i="21"/>
  <c r="G1570" i="21"/>
  <c r="G1566" i="21"/>
  <c r="G1562" i="21"/>
  <c r="G1558" i="21"/>
  <c r="G1554" i="21"/>
  <c r="G1550" i="21"/>
  <c r="G1546" i="21"/>
  <c r="G1542" i="21"/>
  <c r="G1538" i="21"/>
  <c r="G1534" i="21"/>
  <c r="G1530" i="21"/>
  <c r="G1526" i="21"/>
  <c r="G1522" i="21"/>
  <c r="G1518" i="21"/>
  <c r="G1514" i="21"/>
  <c r="G1510" i="21"/>
  <c r="G1506" i="21"/>
  <c r="G1502" i="21"/>
  <c r="G1498" i="21"/>
  <c r="G1494" i="21"/>
  <c r="G1490" i="21"/>
  <c r="G1486" i="21"/>
  <c r="G1482" i="21"/>
  <c r="G1478" i="21"/>
  <c r="G1474" i="21"/>
  <c r="G1470" i="21"/>
  <c r="G1466" i="21"/>
  <c r="G1462" i="21"/>
  <c r="G1458" i="21"/>
  <c r="G1454" i="21"/>
  <c r="G1450" i="21"/>
  <c r="G1446" i="21"/>
  <c r="G1442" i="21"/>
  <c r="G1438" i="21"/>
  <c r="G1434" i="21"/>
  <c r="G1430" i="21"/>
  <c r="G1426" i="21"/>
  <c r="G1422" i="21"/>
  <c r="G1418" i="21"/>
  <c r="G1414" i="21"/>
  <c r="G1410" i="21"/>
  <c r="G1406" i="21"/>
  <c r="G1402" i="21"/>
  <c r="G1398" i="21"/>
  <c r="G1394" i="21"/>
  <c r="G1390" i="21"/>
  <c r="G1386" i="21"/>
  <c r="G1382" i="21"/>
  <c r="G1378" i="21"/>
  <c r="G1374" i="21"/>
  <c r="G1370" i="21"/>
  <c r="G1366" i="21"/>
  <c r="G1362" i="21"/>
  <c r="G1358" i="21"/>
  <c r="G1354" i="21"/>
  <c r="G1350" i="21"/>
  <c r="G1346" i="21"/>
  <c r="G1342" i="21"/>
  <c r="G1338" i="21"/>
  <c r="G1334" i="21"/>
  <c r="G1330" i="21"/>
  <c r="G1326" i="21"/>
  <c r="G1322" i="21"/>
  <c r="G1318" i="21"/>
  <c r="G1314" i="21"/>
  <c r="G1310" i="21"/>
  <c r="G1306" i="21"/>
  <c r="G1302" i="21"/>
  <c r="G1298" i="21"/>
  <c r="G1294" i="21"/>
  <c r="G1290" i="21"/>
  <c r="G1286" i="21"/>
  <c r="G1282" i="21"/>
  <c r="G1278" i="21"/>
  <c r="G1274" i="21"/>
  <c r="G1270" i="21"/>
  <c r="G1266" i="21"/>
  <c r="G1262" i="21"/>
  <c r="G1258" i="21"/>
  <c r="G1254" i="21"/>
  <c r="G1250" i="21"/>
  <c r="G1246" i="21"/>
  <c r="G1242" i="21"/>
  <c r="G1238" i="21"/>
  <c r="G1234" i="21"/>
  <c r="G1230" i="21"/>
  <c r="G1226" i="21"/>
  <c r="G1222" i="21"/>
  <c r="G1218" i="21"/>
  <c r="G1214" i="21"/>
  <c r="G1210" i="21"/>
  <c r="G1206" i="21"/>
  <c r="G1202" i="21"/>
  <c r="G1198" i="21"/>
  <c r="G1194" i="21"/>
  <c r="G1190" i="21"/>
  <c r="G1186" i="21"/>
  <c r="G1182" i="21"/>
  <c r="G1178" i="21"/>
  <c r="G1174" i="21"/>
  <c r="G1170" i="21"/>
  <c r="G1166" i="21"/>
  <c r="G1162" i="21"/>
  <c r="G1158" i="21"/>
  <c r="G1154" i="21"/>
  <c r="G1150" i="21"/>
  <c r="G1146" i="21"/>
  <c r="G1142" i="21"/>
  <c r="G1138" i="21"/>
  <c r="G1134" i="21"/>
  <c r="G1130" i="21"/>
  <c r="G1126" i="21"/>
  <c r="G1122" i="21"/>
  <c r="G1118" i="21"/>
  <c r="G1114" i="21"/>
  <c r="G1110" i="21"/>
  <c r="G1106" i="21"/>
  <c r="G1102" i="21"/>
  <c r="G1098" i="21"/>
  <c r="G1094" i="21"/>
  <c r="G1090" i="21"/>
  <c r="G1086" i="21"/>
  <c r="G1082" i="21"/>
  <c r="G1078" i="21"/>
  <c r="G1074" i="21"/>
  <c r="G1070" i="21"/>
  <c r="G1066" i="21"/>
  <c r="G1062" i="21"/>
  <c r="G1058" i="21"/>
  <c r="G1054" i="21"/>
  <c r="G1050" i="21"/>
  <c r="G1046" i="21"/>
  <c r="G1042" i="21"/>
  <c r="G1038" i="21"/>
  <c r="G1034" i="21"/>
  <c r="G1030" i="21"/>
  <c r="G1026" i="21"/>
  <c r="G1022" i="21"/>
  <c r="G1018" i="21"/>
  <c r="G1014" i="21"/>
  <c r="G1010" i="21"/>
  <c r="G1006" i="21"/>
  <c r="G1002" i="21"/>
  <c r="G998" i="21"/>
  <c r="G994" i="21"/>
  <c r="G990" i="21"/>
  <c r="G986" i="21"/>
  <c r="G982" i="21"/>
  <c r="G978" i="21"/>
  <c r="G974" i="21"/>
  <c r="G970" i="21"/>
  <c r="G966" i="21"/>
  <c r="G962" i="21"/>
  <c r="G958" i="21"/>
  <c r="G954" i="21"/>
  <c r="G950" i="21"/>
  <c r="G946" i="21"/>
  <c r="G942" i="21"/>
  <c r="G938" i="21"/>
  <c r="G934" i="21"/>
  <c r="G930" i="21"/>
  <c r="G926" i="21"/>
  <c r="G922" i="21"/>
  <c r="G918" i="21"/>
  <c r="G914" i="21"/>
  <c r="G910" i="21"/>
  <c r="G906" i="21"/>
  <c r="G902" i="21"/>
  <c r="G898" i="21"/>
  <c r="G894" i="21"/>
  <c r="G890" i="21"/>
  <c r="G886" i="21"/>
  <c r="G882" i="21"/>
  <c r="G878" i="21"/>
  <c r="G874" i="21"/>
  <c r="G870" i="21"/>
  <c r="G866" i="21"/>
  <c r="G862" i="21"/>
  <c r="G858" i="21"/>
  <c r="G854" i="21"/>
  <c r="G850" i="21"/>
  <c r="G846" i="21"/>
  <c r="G842" i="21"/>
  <c r="G838" i="21"/>
  <c r="G834" i="21"/>
  <c r="G830" i="21"/>
  <c r="G826" i="21"/>
  <c r="G822" i="21"/>
  <c r="G818" i="21"/>
  <c r="G814" i="21"/>
  <c r="G810" i="21"/>
  <c r="G806" i="21"/>
  <c r="G802" i="21"/>
  <c r="G798" i="21"/>
  <c r="G794" i="21"/>
  <c r="G790" i="21"/>
  <c r="G786" i="21"/>
  <c r="G782" i="21"/>
  <c r="G778" i="21"/>
  <c r="G774" i="21"/>
  <c r="G770" i="21"/>
  <c r="G766" i="21"/>
  <c r="G762" i="21"/>
  <c r="G758" i="21"/>
  <c r="G754" i="21"/>
  <c r="G750" i="21"/>
  <c r="G746" i="21"/>
  <c r="G742" i="21"/>
  <c r="G738" i="21"/>
  <c r="G734" i="21"/>
  <c r="G730" i="21"/>
  <c r="G726" i="21"/>
  <c r="G722" i="21"/>
  <c r="G718" i="21"/>
  <c r="G714" i="21"/>
  <c r="G710" i="21"/>
  <c r="G706" i="21"/>
  <c r="G702" i="21"/>
  <c r="G698" i="21"/>
  <c r="G694" i="21"/>
  <c r="G690" i="21"/>
  <c r="G686" i="21"/>
  <c r="G682" i="21"/>
  <c r="G678" i="21"/>
  <c r="G674" i="21"/>
  <c r="G670" i="21"/>
  <c r="G666" i="21"/>
  <c r="G662" i="21"/>
  <c r="G658" i="21"/>
  <c r="G654" i="21"/>
  <c r="G650" i="21"/>
  <c r="G646" i="21"/>
  <c r="G642" i="21"/>
  <c r="G638" i="21"/>
  <c r="G634" i="21"/>
  <c r="G630" i="21"/>
  <c r="G626" i="21"/>
  <c r="G622" i="21"/>
  <c r="G618" i="21"/>
  <c r="G614" i="21"/>
  <c r="G610" i="21"/>
  <c r="G606" i="21"/>
  <c r="G602" i="21"/>
  <c r="G598" i="21"/>
  <c r="G594" i="21"/>
  <c r="G590" i="21"/>
  <c r="G586" i="21"/>
  <c r="G582" i="21"/>
  <c r="G578" i="21"/>
  <c r="G574" i="21"/>
  <c r="G570" i="21"/>
  <c r="G566" i="21"/>
  <c r="G562" i="21"/>
  <c r="G558" i="21"/>
  <c r="G554" i="21"/>
  <c r="G550" i="21"/>
  <c r="G546" i="21"/>
  <c r="G542" i="21"/>
  <c r="G538" i="21"/>
  <c r="G534" i="21"/>
  <c r="G530" i="21"/>
  <c r="G526" i="21"/>
  <c r="G522" i="21"/>
  <c r="G518" i="21"/>
  <c r="G514" i="21"/>
  <c r="G510" i="21"/>
  <c r="G506" i="21"/>
  <c r="G502" i="21"/>
  <c r="G498" i="21"/>
  <c r="G494" i="21"/>
  <c r="G490" i="21"/>
  <c r="G486" i="21"/>
  <c r="G482" i="21"/>
  <c r="G478" i="21"/>
  <c r="G474" i="21"/>
  <c r="G470" i="21"/>
  <c r="G466" i="21"/>
  <c r="G462" i="21"/>
  <c r="G458" i="21"/>
  <c r="G454" i="21"/>
  <c r="G450" i="21"/>
  <c r="G446" i="21"/>
  <c r="G442" i="21"/>
  <c r="G438" i="21"/>
  <c r="G434" i="21"/>
  <c r="G430" i="21"/>
  <c r="G426" i="21"/>
  <c r="G422" i="21"/>
  <c r="G418" i="21"/>
  <c r="G414" i="21"/>
  <c r="G410" i="21"/>
  <c r="G406" i="21"/>
  <c r="G402" i="21"/>
  <c r="G398" i="21"/>
  <c r="G394" i="21"/>
  <c r="G390" i="21"/>
  <c r="G386" i="21"/>
  <c r="G382" i="21"/>
  <c r="G378" i="21"/>
  <c r="G374" i="21"/>
  <c r="G370" i="21"/>
  <c r="G366" i="21"/>
  <c r="G362" i="21"/>
  <c r="G358" i="21"/>
  <c r="G354" i="21"/>
  <c r="G350" i="21"/>
  <c r="G346" i="21"/>
  <c r="G342" i="21"/>
  <c r="G338" i="21"/>
  <c r="G334" i="21"/>
  <c r="G330" i="21"/>
  <c r="G326" i="21"/>
  <c r="G322" i="21"/>
  <c r="G318" i="21"/>
  <c r="G314" i="21"/>
  <c r="G310" i="21"/>
  <c r="G306" i="21"/>
  <c r="G302" i="21"/>
  <c r="G298" i="21"/>
  <c r="G294" i="21"/>
  <c r="G290" i="21"/>
  <c r="G286" i="21"/>
  <c r="G282" i="21"/>
  <c r="G278" i="21"/>
  <c r="G274" i="21"/>
  <c r="G270" i="21"/>
  <c r="G266" i="21"/>
  <c r="G262" i="21"/>
  <c r="G258" i="21"/>
  <c r="G254" i="21"/>
  <c r="G250" i="21"/>
  <c r="G246" i="21"/>
  <c r="G242" i="21"/>
  <c r="G238" i="21"/>
  <c r="G234" i="21"/>
  <c r="G230" i="21"/>
  <c r="G226" i="21"/>
  <c r="G222" i="21"/>
  <c r="G218" i="21"/>
  <c r="G214" i="21"/>
  <c r="G210" i="21"/>
  <c r="G206" i="21"/>
  <c r="G202" i="21"/>
  <c r="G198" i="21"/>
  <c r="G194" i="21"/>
  <c r="G190" i="21"/>
  <c r="G8" i="21"/>
  <c r="G12" i="21"/>
  <c r="G16" i="21"/>
  <c r="G20" i="21"/>
  <c r="G24" i="21"/>
  <c r="G28" i="21"/>
  <c r="G32" i="21"/>
  <c r="G36" i="21"/>
  <c r="G40" i="21"/>
  <c r="G44" i="21"/>
  <c r="G48" i="21"/>
  <c r="G52" i="21"/>
  <c r="G57" i="21"/>
  <c r="G62" i="21"/>
  <c r="G68" i="21"/>
  <c r="G73" i="21"/>
  <c r="G78" i="21"/>
  <c r="G84" i="21"/>
  <c r="G89" i="21"/>
  <c r="G94" i="21"/>
  <c r="G100" i="21"/>
  <c r="G105" i="21"/>
  <c r="G110" i="21"/>
  <c r="G116" i="21"/>
  <c r="G121" i="21"/>
  <c r="G126" i="21"/>
  <c r="G132" i="21"/>
  <c r="G137" i="21"/>
  <c r="G142" i="21"/>
  <c r="G148" i="21"/>
  <c r="G153" i="21"/>
  <c r="G158" i="21"/>
  <c r="G164" i="21"/>
  <c r="G169" i="21"/>
  <c r="G174" i="21"/>
  <c r="G180" i="21"/>
  <c r="G185" i="21"/>
  <c r="G192" i="21"/>
  <c r="G200" i="21"/>
  <c r="G208" i="21"/>
  <c r="G216" i="21"/>
  <c r="G224" i="21"/>
  <c r="G232" i="21"/>
  <c r="G240" i="21"/>
  <c r="G248" i="21"/>
  <c r="G256" i="21"/>
  <c r="G264" i="21"/>
  <c r="G272" i="21"/>
  <c r="G280" i="21"/>
  <c r="G288" i="21"/>
  <c r="G296" i="21"/>
  <c r="G304" i="21"/>
  <c r="G312" i="21"/>
  <c r="G320" i="21"/>
  <c r="G328" i="21"/>
  <c r="G336" i="21"/>
  <c r="G344" i="21"/>
  <c r="G352" i="21"/>
  <c r="G360" i="21"/>
  <c r="G368" i="21"/>
  <c r="G376" i="21"/>
  <c r="G384" i="21"/>
  <c r="G392" i="21"/>
  <c r="G400" i="21"/>
  <c r="G408" i="21"/>
  <c r="G416" i="21"/>
  <c r="G424" i="21"/>
  <c r="G432" i="21"/>
  <c r="G440" i="21"/>
  <c r="G448" i="21"/>
  <c r="G456" i="21"/>
  <c r="G464" i="21"/>
  <c r="G472" i="21"/>
  <c r="G480" i="21"/>
  <c r="G488" i="21"/>
  <c r="G496" i="21"/>
  <c r="G504" i="21"/>
  <c r="G512" i="21"/>
  <c r="G520" i="21"/>
  <c r="G528" i="21"/>
  <c r="G536" i="21"/>
  <c r="G544" i="21"/>
  <c r="G552" i="21"/>
  <c r="G560" i="21"/>
  <c r="G568" i="21"/>
  <c r="G576" i="21"/>
  <c r="G584" i="21"/>
  <c r="G592" i="21"/>
  <c r="G600" i="21"/>
  <c r="G608" i="21"/>
  <c r="G616" i="21"/>
  <c r="G624" i="21"/>
  <c r="G632" i="21"/>
  <c r="G640" i="21"/>
  <c r="G648" i="21"/>
  <c r="G656" i="21"/>
  <c r="G664" i="21"/>
  <c r="G672" i="21"/>
  <c r="G680" i="21"/>
  <c r="G688" i="21"/>
  <c r="G696" i="21"/>
  <c r="G704" i="21"/>
  <c r="G712" i="21"/>
  <c r="G720" i="21"/>
  <c r="G728" i="21"/>
  <c r="G736" i="21"/>
  <c r="G744" i="21"/>
  <c r="G752" i="21"/>
  <c r="G760" i="21"/>
  <c r="G768" i="21"/>
  <c r="G776" i="21"/>
  <c r="G784" i="21"/>
  <c r="G792" i="21"/>
  <c r="G800" i="21"/>
  <c r="G808" i="21"/>
  <c r="G816" i="21"/>
  <c r="G824" i="21"/>
  <c r="G832" i="21"/>
  <c r="G840" i="21"/>
  <c r="G848" i="21"/>
  <c r="G856" i="21"/>
  <c r="G864" i="21"/>
  <c r="G872" i="21"/>
  <c r="G880" i="21"/>
  <c r="G888" i="21"/>
  <c r="G896" i="21"/>
  <c r="G904" i="21"/>
  <c r="G912" i="21"/>
  <c r="G920" i="21"/>
  <c r="G928" i="21"/>
  <c r="G936" i="21"/>
  <c r="G944" i="21"/>
  <c r="G952" i="21"/>
  <c r="G960" i="21"/>
  <c r="G968" i="21"/>
  <c r="G976" i="21"/>
  <c r="G984" i="21"/>
  <c r="G992" i="21"/>
  <c r="G1000" i="21"/>
  <c r="G1008" i="21"/>
  <c r="G1016" i="21"/>
  <c r="G1024" i="21"/>
  <c r="G1032" i="21"/>
  <c r="G1040" i="21"/>
  <c r="G1048" i="21"/>
  <c r="G1056" i="21"/>
  <c r="G1064" i="21"/>
  <c r="G1072" i="21"/>
  <c r="G1080" i="21"/>
  <c r="G1088" i="21"/>
  <c r="G1096" i="21"/>
  <c r="G1104" i="21"/>
  <c r="G1112" i="21"/>
  <c r="G1120" i="21"/>
  <c r="G1128" i="21"/>
  <c r="G1136" i="21"/>
  <c r="G1144" i="21"/>
  <c r="G1152" i="21"/>
  <c r="G1160" i="21"/>
  <c r="G1168" i="21"/>
  <c r="G1176" i="21"/>
  <c r="G1184" i="21"/>
  <c r="G1192" i="21"/>
  <c r="G1200" i="21"/>
  <c r="G1208" i="21"/>
  <c r="G1216" i="21"/>
  <c r="G1224" i="21"/>
  <c r="G1232" i="21"/>
  <c r="G1240" i="21"/>
  <c r="G1248" i="21"/>
  <c r="G1256" i="21"/>
  <c r="G1264" i="21"/>
  <c r="G1272" i="21"/>
  <c r="G1280" i="21"/>
  <c r="G1288" i="21"/>
  <c r="G1296" i="21"/>
  <c r="G1304" i="21"/>
  <c r="G1312" i="21"/>
  <c r="G1320" i="21"/>
  <c r="G1328" i="21"/>
  <c r="G1336" i="21"/>
  <c r="G1344" i="21"/>
  <c r="G1352" i="21"/>
  <c r="G1360" i="21"/>
  <c r="G1368" i="21"/>
  <c r="G1376" i="21"/>
  <c r="G1384" i="21"/>
  <c r="G1392" i="21"/>
  <c r="G1400" i="21"/>
  <c r="G1408" i="21"/>
  <c r="G1416" i="21"/>
  <c r="G1424" i="21"/>
  <c r="G1432" i="21"/>
  <c r="G1440" i="21"/>
  <c r="G1448" i="21"/>
  <c r="G1456" i="21"/>
  <c r="G1464" i="21"/>
  <c r="G1472" i="21"/>
  <c r="G1480" i="21"/>
  <c r="G1488" i="21"/>
  <c r="G1496" i="21"/>
  <c r="G1504" i="21"/>
  <c r="G1512" i="21"/>
  <c r="G1520" i="21"/>
  <c r="G1528" i="21"/>
  <c r="G1536" i="21"/>
  <c r="G1544" i="21"/>
  <c r="G1552" i="21"/>
  <c r="G1560" i="21"/>
  <c r="G1568" i="21"/>
  <c r="G1576" i="21"/>
  <c r="G1584" i="21"/>
  <c r="G1592" i="21"/>
  <c r="G1600" i="21"/>
  <c r="G1608" i="21"/>
  <c r="G1616" i="21"/>
  <c r="G1624" i="21"/>
  <c r="G1632" i="21"/>
  <c r="G1640" i="21"/>
  <c r="G1648" i="21"/>
  <c r="G1656" i="21"/>
  <c r="G1664" i="21"/>
  <c r="G1672" i="21"/>
  <c r="G1680" i="21"/>
  <c r="G1688" i="21"/>
  <c r="G1696" i="21"/>
  <c r="G1704" i="21"/>
  <c r="G1712" i="21"/>
  <c r="G1720" i="21"/>
  <c r="G1728" i="21"/>
  <c r="G1736" i="21"/>
  <c r="G1744" i="21"/>
  <c r="G1752" i="21"/>
  <c r="G1760" i="21"/>
  <c r="G1768" i="21"/>
  <c r="G1776" i="21"/>
  <c r="G1784" i="21"/>
  <c r="G1792" i="21"/>
  <c r="G1800" i="21"/>
  <c r="G1808" i="21"/>
  <c r="G1816" i="21"/>
  <c r="G1824" i="21"/>
  <c r="G1832" i="21"/>
  <c r="G1840" i="21"/>
  <c r="G1848" i="21"/>
  <c r="G1856" i="21"/>
  <c r="G1864" i="21"/>
  <c r="G1872" i="21"/>
  <c r="G1880" i="21"/>
  <c r="G1888" i="21"/>
  <c r="G1896" i="21"/>
  <c r="G1904" i="21"/>
  <c r="G1915" i="21"/>
  <c r="G1925" i="21"/>
  <c r="G1936" i="21"/>
  <c r="G1947" i="21"/>
  <c r="G1957" i="21"/>
  <c r="G1968" i="21"/>
  <c r="G1979" i="21"/>
  <c r="G1989" i="21"/>
  <c r="G2000" i="21"/>
  <c r="G2011" i="21"/>
  <c r="G2021" i="21"/>
  <c r="G2032" i="21"/>
  <c r="G2043" i="21"/>
  <c r="G2053" i="21"/>
  <c r="G2064" i="21"/>
  <c r="G2075" i="21"/>
  <c r="G2085" i="21"/>
  <c r="G2096" i="21"/>
  <c r="G2107" i="21"/>
  <c r="G2117" i="21"/>
  <c r="G2128" i="21"/>
  <c r="G2139" i="21"/>
  <c r="G2149" i="21"/>
  <c r="G2160" i="21"/>
  <c r="G2175" i="21"/>
  <c r="G2191" i="21"/>
  <c r="G2207" i="21"/>
  <c r="G2223" i="21"/>
  <c r="G2239" i="21"/>
  <c r="G2255" i="21"/>
  <c r="G2271" i="21"/>
  <c r="G2287" i="21"/>
  <c r="G2303" i="21"/>
  <c r="G2319" i="21"/>
  <c r="G2335" i="21"/>
  <c r="G2351" i="21"/>
  <c r="G2367" i="21"/>
  <c r="G2383" i="21"/>
  <c r="G2399" i="21"/>
  <c r="G2415" i="21"/>
  <c r="G2431" i="21"/>
  <c r="G2447" i="21"/>
  <c r="G2463" i="21"/>
  <c r="G2479" i="21"/>
  <c r="G2495" i="21"/>
  <c r="G2511" i="21"/>
  <c r="G2527" i="21"/>
  <c r="G2543" i="21"/>
  <c r="G2559" i="21"/>
  <c r="G2575" i="21"/>
  <c r="G2591" i="21"/>
  <c r="G2607" i="21"/>
  <c r="G2623" i="21"/>
  <c r="G2639" i="21"/>
  <c r="G2655" i="21"/>
  <c r="G2671" i="21"/>
  <c r="G2687" i="21"/>
  <c r="G2703" i="21"/>
  <c r="G2719" i="21"/>
  <c r="G2735" i="21"/>
  <c r="G2751" i="21"/>
  <c r="G2767" i="21"/>
  <c r="G2789" i="21"/>
  <c r="G2810" i="21"/>
  <c r="G2831" i="21"/>
  <c r="G2853" i="21"/>
  <c r="G2874" i="21"/>
  <c r="G2895" i="21"/>
  <c r="G2917" i="21"/>
  <c r="G2938" i="21"/>
  <c r="G2959" i="21"/>
  <c r="G2981" i="21"/>
  <c r="G3002" i="21"/>
  <c r="G3023" i="21"/>
  <c r="G3045" i="21"/>
  <c r="G3066" i="21"/>
  <c r="G3089" i="21"/>
  <c r="G3121" i="21"/>
  <c r="G3153" i="21"/>
  <c r="G3185" i="21"/>
  <c r="G3217" i="21"/>
  <c r="G3249" i="21"/>
  <c r="G3281" i="21"/>
  <c r="G3313" i="21"/>
  <c r="G3345" i="21"/>
  <c r="G3380" i="21"/>
  <c r="G3423" i="21"/>
  <c r="G3466" i="21"/>
  <c r="G3508" i="21"/>
  <c r="G3551" i="21"/>
  <c r="G3594" i="21"/>
  <c r="G3636" i="21"/>
  <c r="G3679" i="21"/>
  <c r="G3722" i="21"/>
  <c r="G3764" i="21"/>
  <c r="G3807" i="21"/>
  <c r="G3850" i="21"/>
  <c r="G3892" i="21"/>
  <c r="G3938" i="21"/>
  <c r="G4002" i="21"/>
  <c r="G4066" i="21"/>
  <c r="G4130" i="21"/>
  <c r="G4194" i="21"/>
  <c r="G4263" i="21"/>
  <c r="G4348" i="21"/>
  <c r="G4434" i="21"/>
  <c r="G4539" i="21"/>
  <c r="G4658" i="21"/>
  <c r="G4881" i="21"/>
  <c r="G9" i="21"/>
  <c r="G13" i="21"/>
  <c r="G17" i="21"/>
  <c r="G21" i="21"/>
  <c r="G25" i="21"/>
  <c r="G29" i="21"/>
  <c r="G33" i="21"/>
  <c r="G37" i="21"/>
  <c r="G41" i="21"/>
  <c r="G45" i="21"/>
  <c r="G49" i="21"/>
  <c r="G53" i="21"/>
  <c r="G58" i="21"/>
  <c r="G64" i="21"/>
  <c r="G69" i="21"/>
  <c r="G74" i="21"/>
  <c r="G80" i="21"/>
  <c r="G85" i="21"/>
  <c r="G90" i="21"/>
  <c r="G96" i="21"/>
  <c r="G101" i="21"/>
  <c r="G106" i="21"/>
  <c r="G112" i="21"/>
  <c r="G117" i="21"/>
  <c r="G122" i="21"/>
  <c r="G128" i="21"/>
  <c r="G133" i="21"/>
  <c r="G138" i="21"/>
  <c r="G144" i="21"/>
  <c r="G149" i="21"/>
  <c r="G154" i="21"/>
  <c r="G160" i="21"/>
  <c r="G165" i="21"/>
  <c r="G170" i="21"/>
  <c r="G176" i="21"/>
  <c r="G181" i="21"/>
  <c r="G186" i="21"/>
  <c r="G193" i="21"/>
  <c r="G201" i="21"/>
  <c r="G209" i="21"/>
  <c r="G217" i="21"/>
  <c r="G225" i="21"/>
  <c r="G233" i="21"/>
  <c r="G241" i="21"/>
  <c r="G249" i="21"/>
  <c r="G257" i="21"/>
  <c r="G265" i="21"/>
  <c r="G273" i="21"/>
  <c r="G281" i="21"/>
  <c r="G289" i="21"/>
  <c r="G297" i="21"/>
  <c r="G305" i="21"/>
  <c r="G313" i="21"/>
  <c r="G321" i="21"/>
  <c r="G329" i="21"/>
  <c r="G337" i="21"/>
  <c r="G345" i="21"/>
  <c r="G353" i="21"/>
  <c r="G361" i="21"/>
  <c r="G369" i="21"/>
  <c r="G377" i="21"/>
  <c r="G385" i="21"/>
  <c r="G393" i="21"/>
  <c r="G401" i="21"/>
  <c r="G409" i="21"/>
  <c r="G417" i="21"/>
  <c r="G425" i="21"/>
  <c r="G433" i="21"/>
  <c r="G441" i="21"/>
  <c r="G449" i="21"/>
  <c r="G457" i="21"/>
  <c r="G465" i="21"/>
  <c r="G473" i="21"/>
  <c r="G481" i="21"/>
  <c r="G489" i="21"/>
  <c r="G497" i="21"/>
  <c r="G505" i="21"/>
  <c r="G513" i="21"/>
  <c r="G521" i="21"/>
  <c r="G529" i="21"/>
  <c r="G537" i="21"/>
  <c r="G545" i="21"/>
  <c r="G553" i="21"/>
  <c r="G561" i="21"/>
  <c r="G569" i="21"/>
  <c r="G577" i="21"/>
  <c r="G585" i="21"/>
  <c r="G593" i="21"/>
  <c r="G601" i="21"/>
  <c r="G609" i="21"/>
  <c r="G617" i="21"/>
  <c r="G625" i="21"/>
  <c r="G633" i="21"/>
  <c r="G641" i="21"/>
  <c r="G649" i="21"/>
  <c r="G657" i="21"/>
  <c r="G665" i="21"/>
  <c r="G673" i="21"/>
  <c r="G681" i="21"/>
  <c r="G689" i="21"/>
  <c r="G697" i="21"/>
  <c r="G705" i="21"/>
  <c r="G713" i="21"/>
  <c r="G721" i="21"/>
  <c r="G729" i="21"/>
  <c r="G737" i="21"/>
  <c r="G745" i="21"/>
  <c r="G753" i="21"/>
  <c r="G761" i="21"/>
  <c r="G769" i="21"/>
  <c r="G777" i="21"/>
  <c r="G785" i="21"/>
  <c r="G793" i="21"/>
  <c r="G801" i="21"/>
  <c r="G809" i="21"/>
  <c r="G817" i="21"/>
  <c r="G825" i="21"/>
  <c r="G833" i="21"/>
  <c r="G841" i="21"/>
  <c r="G849" i="21"/>
  <c r="G857" i="21"/>
  <c r="G865" i="21"/>
  <c r="G873" i="21"/>
  <c r="G881" i="21"/>
  <c r="G889" i="21"/>
  <c r="G897" i="21"/>
  <c r="G905" i="21"/>
  <c r="G913" i="21"/>
  <c r="G921" i="21"/>
  <c r="G929" i="21"/>
  <c r="G937" i="21"/>
  <c r="G945" i="21"/>
  <c r="G953" i="21"/>
  <c r="G961" i="21"/>
  <c r="G969" i="21"/>
  <c r="G977" i="21"/>
  <c r="G985" i="21"/>
  <c r="G993" i="21"/>
  <c r="G1001" i="21"/>
  <c r="G1009" i="21"/>
  <c r="G1017" i="21"/>
  <c r="G1025" i="21"/>
  <c r="G1033" i="21"/>
  <c r="G1041" i="21"/>
  <c r="G1049" i="21"/>
  <c r="G1057" i="21"/>
  <c r="G1065" i="21"/>
  <c r="G1073" i="21"/>
  <c r="G1081" i="21"/>
  <c r="G1089" i="21"/>
  <c r="G1097" i="21"/>
  <c r="G1105" i="21"/>
  <c r="G1113" i="21"/>
  <c r="G1121" i="21"/>
  <c r="G1129" i="21"/>
  <c r="G1137" i="21"/>
  <c r="G1145" i="21"/>
  <c r="G1153" i="21"/>
  <c r="G1161" i="21"/>
  <c r="G1169" i="21"/>
  <c r="G1177" i="21"/>
  <c r="G1185" i="21"/>
  <c r="G1193" i="21"/>
  <c r="G1201" i="21"/>
  <c r="G1209" i="21"/>
  <c r="G1217" i="21"/>
  <c r="G1225" i="21"/>
  <c r="G1233" i="21"/>
  <c r="G1241" i="21"/>
  <c r="G1249" i="21"/>
  <c r="G1257" i="21"/>
  <c r="G1265" i="21"/>
  <c r="G1273" i="21"/>
  <c r="G1281" i="21"/>
  <c r="G1289" i="21"/>
  <c r="G1297" i="21"/>
  <c r="G1305" i="21"/>
  <c r="G1313" i="21"/>
  <c r="G1321" i="21"/>
  <c r="G1329" i="21"/>
  <c r="G1337" i="21"/>
  <c r="G1345" i="21"/>
  <c r="G1353" i="21"/>
  <c r="G1361" i="21"/>
  <c r="G1369" i="21"/>
  <c r="G1377" i="21"/>
  <c r="G1385" i="21"/>
  <c r="G1393" i="21"/>
  <c r="G1401" i="21"/>
  <c r="G1409" i="21"/>
  <c r="G1417" i="21"/>
  <c r="G1425" i="21"/>
  <c r="G1433" i="21"/>
  <c r="G1441" i="21"/>
  <c r="G1449" i="21"/>
  <c r="G1457" i="21"/>
  <c r="G1465" i="21"/>
  <c r="G1473" i="21"/>
  <c r="G1481" i="21"/>
  <c r="G1489" i="21"/>
  <c r="G1497" i="21"/>
  <c r="G1505" i="21"/>
  <c r="G1513" i="21"/>
  <c r="G1521" i="21"/>
  <c r="G1529" i="21"/>
  <c r="G1537" i="21"/>
  <c r="G1545" i="21"/>
  <c r="G1553" i="21"/>
  <c r="G1561" i="21"/>
  <c r="G1569" i="21"/>
  <c r="G1577" i="21"/>
  <c r="G1585" i="21"/>
  <c r="G1593" i="21"/>
  <c r="G1601" i="21"/>
  <c r="G1609" i="21"/>
  <c r="G1617" i="21"/>
  <c r="G1625" i="21"/>
  <c r="G1633" i="21"/>
  <c r="G1641" i="21"/>
  <c r="G1649" i="21"/>
  <c r="G1657" i="21"/>
  <c r="G1665" i="21"/>
  <c r="G1673" i="21"/>
  <c r="G1681" i="21"/>
  <c r="G1689" i="21"/>
  <c r="G1697" i="21"/>
  <c r="G1705" i="21"/>
  <c r="G1713" i="21"/>
  <c r="G1721" i="21"/>
  <c r="G1729" i="21"/>
  <c r="G1737" i="21"/>
  <c r="G1745" i="21"/>
  <c r="G1753" i="21"/>
  <c r="G1761" i="21"/>
  <c r="G1769" i="21"/>
  <c r="G1777" i="21"/>
  <c r="G1785" i="21"/>
  <c r="G1793" i="21"/>
  <c r="G1801" i="21"/>
  <c r="G1809" i="21"/>
  <c r="G1817" i="21"/>
  <c r="G1825" i="21"/>
  <c r="G1833" i="21"/>
  <c r="G1841" i="21"/>
  <c r="G1849" i="21"/>
  <c r="G1857" i="21"/>
  <c r="G1865" i="21"/>
  <c r="G1873" i="21"/>
  <c r="G1881" i="21"/>
  <c r="G1889" i="21"/>
  <c r="G1897" i="21"/>
  <c r="G1905" i="21"/>
  <c r="G1916" i="21"/>
  <c r="G1927" i="21"/>
  <c r="G1937" i="21"/>
  <c r="G1948" i="21"/>
  <c r="G1959" i="21"/>
  <c r="G1969" i="21"/>
  <c r="G1980" i="21"/>
  <c r="G1991" i="21"/>
  <c r="G2001" i="21"/>
  <c r="G2012" i="21"/>
  <c r="G2023" i="21"/>
  <c r="G2033" i="21"/>
  <c r="G2044" i="21"/>
  <c r="G2055" i="21"/>
  <c r="G2065" i="21"/>
  <c r="G2076" i="21"/>
  <c r="G2087" i="21"/>
  <c r="G2097" i="21"/>
  <c r="G2108" i="21"/>
  <c r="G2119" i="21"/>
  <c r="G2129" i="21"/>
  <c r="G2140" i="21"/>
  <c r="G2151" i="21"/>
  <c r="G2161" i="21"/>
  <c r="G2176" i="21"/>
  <c r="G2192" i="21"/>
  <c r="G2208" i="21"/>
  <c r="G2224" i="21"/>
  <c r="G2240" i="21"/>
  <c r="G2256" i="21"/>
  <c r="G2272" i="21"/>
  <c r="G2288" i="21"/>
  <c r="G2304" i="21"/>
  <c r="G2320" i="21"/>
  <c r="G2336" i="21"/>
  <c r="G2352" i="21"/>
  <c r="G2368" i="21"/>
  <c r="G2384" i="21"/>
  <c r="G2400" i="21"/>
  <c r="G2416" i="21"/>
  <c r="G2432" i="21"/>
  <c r="G2448" i="21"/>
  <c r="G2464" i="21"/>
  <c r="G2480" i="21"/>
  <c r="G2496" i="21"/>
  <c r="G2512" i="21"/>
  <c r="G2528" i="21"/>
  <c r="G2544" i="21"/>
  <c r="G2560" i="21"/>
  <c r="G2576" i="21"/>
  <c r="G2592" i="21"/>
  <c r="G2608" i="21"/>
  <c r="G2624" i="21"/>
  <c r="G2640" i="21"/>
  <c r="G2656" i="21"/>
  <c r="G2672" i="21"/>
  <c r="G2688" i="21"/>
  <c r="G2704" i="21"/>
  <c r="G2720" i="21"/>
  <c r="G2736" i="21"/>
  <c r="G2752" i="21"/>
  <c r="G2769" i="21"/>
  <c r="G2790" i="21"/>
  <c r="G2811" i="21"/>
  <c r="G2833" i="21"/>
  <c r="G2854" i="21"/>
  <c r="G2875" i="21"/>
  <c r="G2897" i="21"/>
  <c r="G2918" i="21"/>
  <c r="G2939" i="21"/>
  <c r="G2961" i="21"/>
  <c r="G2982" i="21"/>
  <c r="G3003" i="21"/>
  <c r="G3025" i="21"/>
  <c r="G3046" i="21"/>
  <c r="G3067" i="21"/>
  <c r="G3090" i="21"/>
  <c r="G3122" i="21"/>
  <c r="G3154" i="21"/>
  <c r="G3186" i="21"/>
  <c r="G3218" i="21"/>
  <c r="G3250" i="21"/>
  <c r="G3282" i="21"/>
  <c r="G3314" i="21"/>
  <c r="G3346" i="21"/>
  <c r="G3382" i="21"/>
  <c r="G3424" i="21"/>
  <c r="G3467" i="21"/>
  <c r="G3510" i="21"/>
  <c r="G3552" i="21"/>
  <c r="G3595" i="21"/>
  <c r="G3638" i="21"/>
  <c r="G3680" i="21"/>
  <c r="G3723" i="21"/>
  <c r="G3766" i="21"/>
  <c r="G3808" i="21"/>
  <c r="G3851" i="21"/>
  <c r="G3894" i="21"/>
  <c r="G3939" i="21"/>
  <c r="G4003" i="21"/>
  <c r="G4067" i="21"/>
  <c r="G4131" i="21"/>
  <c r="G4195" i="21"/>
  <c r="G4264" i="21"/>
  <c r="G4350" i="21"/>
  <c r="G4435" i="21"/>
  <c r="G4540" i="21"/>
  <c r="G4659" i="21"/>
  <c r="G4884" i="21"/>
  <c r="L19" i="21"/>
  <c r="M19" i="21" s="1"/>
  <c r="L17" i="21"/>
  <c r="M17" i="21" s="1"/>
  <c r="L18" i="21"/>
  <c r="M18" i="21" s="1"/>
  <c r="J20" i="19"/>
  <c r="F34" i="19" s="1"/>
  <c r="F35" i="19" s="1"/>
  <c r="L42" i="19" s="1"/>
  <c r="L20" i="19"/>
  <c r="L33" i="19" s="1"/>
  <c r="L19" i="19"/>
  <c r="I19" i="19"/>
  <c r="J19" i="19"/>
  <c r="I20" i="19"/>
  <c r="D36" i="19"/>
  <c r="F12" i="18"/>
  <c r="P12" i="18" s="1"/>
  <c r="F14" i="18"/>
  <c r="P14" i="18" s="1"/>
  <c r="F16" i="18"/>
  <c r="P16" i="18" s="1"/>
  <c r="F18" i="18"/>
  <c r="P18" i="18" s="1"/>
  <c r="F10" i="18"/>
  <c r="N12" i="18"/>
  <c r="N16" i="18"/>
  <c r="O10" i="18"/>
  <c r="O14" i="18"/>
  <c r="O18" i="18"/>
  <c r="N31" i="18"/>
  <c r="O31" i="18"/>
  <c r="N33" i="18"/>
  <c r="F13" i="18"/>
  <c r="P13" i="18" s="1"/>
  <c r="F17" i="18"/>
  <c r="P17" i="18" s="1"/>
  <c r="O33" i="18"/>
  <c r="J34" i="16"/>
  <c r="I34" i="16"/>
  <c r="H34" i="16"/>
  <c r="G34" i="16"/>
  <c r="F34" i="16"/>
  <c r="J32" i="16"/>
  <c r="I32" i="16"/>
  <c r="H32" i="16"/>
  <c r="G32" i="16"/>
  <c r="F32" i="16"/>
  <c r="J31" i="16"/>
  <c r="I31" i="16"/>
  <c r="H31" i="16"/>
  <c r="G31" i="16"/>
  <c r="F31" i="16"/>
  <c r="J30" i="16"/>
  <c r="I30" i="16"/>
  <c r="H30" i="16"/>
  <c r="G30" i="16"/>
  <c r="F30" i="16"/>
  <c r="J29" i="16"/>
  <c r="I29" i="16"/>
  <c r="H29" i="16"/>
  <c r="G29" i="16"/>
  <c r="F29" i="16"/>
  <c r="J28" i="16"/>
  <c r="I28" i="16"/>
  <c r="H28" i="16"/>
  <c r="G28" i="16"/>
  <c r="F28" i="16"/>
  <c r="J27" i="16"/>
  <c r="I27" i="16"/>
  <c r="H27" i="16"/>
  <c r="G27" i="16"/>
  <c r="F27" i="16"/>
  <c r="J26" i="16"/>
  <c r="I26" i="16"/>
  <c r="H26" i="16"/>
  <c r="G26" i="16"/>
  <c r="F26" i="16"/>
  <c r="J25" i="16"/>
  <c r="I25" i="16"/>
  <c r="H25" i="16"/>
  <c r="G25" i="16"/>
  <c r="F25" i="16"/>
  <c r="J19" i="16"/>
  <c r="I19" i="16"/>
  <c r="H19" i="16"/>
  <c r="G19" i="16"/>
  <c r="F19" i="16"/>
  <c r="J18" i="16"/>
  <c r="I18" i="16"/>
  <c r="H18" i="16"/>
  <c r="G18" i="16"/>
  <c r="F18" i="16"/>
  <c r="J17" i="16"/>
  <c r="I17" i="16"/>
  <c r="H17" i="16"/>
  <c r="G17" i="16"/>
  <c r="F17" i="16"/>
  <c r="J13" i="16"/>
  <c r="I13" i="16"/>
  <c r="H13" i="16"/>
  <c r="G13" i="16"/>
  <c r="F13" i="16"/>
  <c r="J12" i="16"/>
  <c r="I12" i="16"/>
  <c r="H12" i="16"/>
  <c r="G12" i="16"/>
  <c r="F12" i="16"/>
  <c r="J11" i="16"/>
  <c r="I11" i="16"/>
  <c r="H11" i="16"/>
  <c r="G11" i="16"/>
  <c r="F11" i="16"/>
  <c r="J10" i="16"/>
  <c r="I10" i="16"/>
  <c r="H10" i="16"/>
  <c r="G10" i="16"/>
  <c r="F10" i="16"/>
  <c r="N58" i="14"/>
  <c r="M58" i="14"/>
  <c r="L58" i="14"/>
  <c r="K58" i="14"/>
  <c r="J58" i="14"/>
  <c r="I58" i="14"/>
  <c r="H58" i="14"/>
  <c r="G58" i="14"/>
  <c r="F58" i="14"/>
  <c r="E58" i="14"/>
  <c r="N49" i="14"/>
  <c r="M49" i="14"/>
  <c r="L49" i="14"/>
  <c r="K49" i="14"/>
  <c r="J49" i="14"/>
  <c r="I49" i="14"/>
  <c r="H49" i="14"/>
  <c r="G49" i="14"/>
  <c r="F49" i="14"/>
  <c r="E49" i="14"/>
  <c r="L15" i="14"/>
  <c r="L36" i="14" s="1"/>
  <c r="K15" i="14"/>
  <c r="K36" i="14" s="1"/>
  <c r="J15" i="14"/>
  <c r="J36" i="14" s="1"/>
  <c r="I15" i="14"/>
  <c r="I36" i="14" s="1"/>
  <c r="H15" i="14"/>
  <c r="H36" i="14" s="1"/>
  <c r="G15" i="14"/>
  <c r="G36" i="14" s="1"/>
  <c r="F15" i="14"/>
  <c r="F36" i="14" s="1"/>
  <c r="E15" i="14"/>
  <c r="E36" i="14" s="1"/>
  <c r="D15" i="14"/>
  <c r="D36" i="14" s="1"/>
  <c r="C15" i="14"/>
  <c r="C36" i="14" s="1"/>
  <c r="D26" i="17"/>
  <c r="H13" i="17"/>
  <c r="I13" i="17" s="1"/>
  <c r="G9" i="17"/>
  <c r="H9" i="17" s="1"/>
  <c r="I9" i="17" s="1"/>
  <c r="J9" i="17" s="1"/>
  <c r="K9" i="17" s="1"/>
  <c r="F46" i="16"/>
  <c r="J46" i="16"/>
  <c r="I46" i="16"/>
  <c r="H46" i="16"/>
  <c r="G46" i="16"/>
  <c r="K75" i="6"/>
  <c r="L29" i="13" s="1"/>
  <c r="J44" i="16"/>
  <c r="I44" i="16"/>
  <c r="H44" i="16"/>
  <c r="G44" i="16"/>
  <c r="F44" i="16"/>
  <c r="F8" i="17"/>
  <c r="F10" i="17" s="1"/>
  <c r="B19" i="16"/>
  <c r="B17" i="16"/>
  <c r="B6" i="16"/>
  <c r="J7" i="16"/>
  <c r="F6" i="17" s="1"/>
  <c r="G6" i="17" s="1"/>
  <c r="H6" i="17" s="1"/>
  <c r="I6" i="17" s="1"/>
  <c r="J6" i="17" s="1"/>
  <c r="K6" i="17" s="1"/>
  <c r="I7" i="16"/>
  <c r="H7" i="16"/>
  <c r="G7" i="16"/>
  <c r="F7" i="16"/>
  <c r="B22" i="13"/>
  <c r="B6" i="13"/>
  <c r="L38" i="13"/>
  <c r="K38" i="13"/>
  <c r="J38" i="13"/>
  <c r="I38" i="13"/>
  <c r="H38" i="13"/>
  <c r="G38" i="13"/>
  <c r="F38" i="13"/>
  <c r="E38" i="13"/>
  <c r="D38" i="13"/>
  <c r="C38" i="13"/>
  <c r="L37" i="13"/>
  <c r="K37" i="13"/>
  <c r="J37" i="13"/>
  <c r="I37" i="13"/>
  <c r="H37" i="13"/>
  <c r="G37" i="13"/>
  <c r="F37" i="13"/>
  <c r="E37" i="13"/>
  <c r="D37" i="13"/>
  <c r="C37" i="13"/>
  <c r="L36" i="13"/>
  <c r="K36" i="13"/>
  <c r="J36" i="13"/>
  <c r="I36" i="13"/>
  <c r="H36" i="13"/>
  <c r="G36" i="13"/>
  <c r="F36" i="13"/>
  <c r="E36" i="13"/>
  <c r="D36" i="13"/>
  <c r="C36" i="13"/>
  <c r="L35" i="13"/>
  <c r="K35" i="13"/>
  <c r="J35" i="13"/>
  <c r="I35" i="13"/>
  <c r="H35" i="13"/>
  <c r="G35" i="13"/>
  <c r="F35" i="13"/>
  <c r="E35" i="13"/>
  <c r="D35" i="13"/>
  <c r="C35" i="13"/>
  <c r="L34" i="13"/>
  <c r="K34" i="13"/>
  <c r="J34" i="13"/>
  <c r="I34" i="13"/>
  <c r="H34" i="13"/>
  <c r="G34" i="13"/>
  <c r="F34" i="13"/>
  <c r="E34" i="13"/>
  <c r="D34" i="13"/>
  <c r="C34" i="13"/>
  <c r="L32" i="13"/>
  <c r="K32" i="13"/>
  <c r="J32" i="13"/>
  <c r="I32" i="13"/>
  <c r="H32" i="13"/>
  <c r="G32" i="13"/>
  <c r="F32" i="13"/>
  <c r="E32" i="13"/>
  <c r="D32" i="13"/>
  <c r="C32" i="13"/>
  <c r="L31" i="13"/>
  <c r="K31" i="13"/>
  <c r="J31" i="13"/>
  <c r="I31" i="13"/>
  <c r="H31" i="13"/>
  <c r="G31" i="13"/>
  <c r="F31" i="13"/>
  <c r="E31" i="13"/>
  <c r="D31" i="13"/>
  <c r="C31" i="13"/>
  <c r="L30" i="13"/>
  <c r="K30" i="13"/>
  <c r="J30" i="13"/>
  <c r="I30" i="13"/>
  <c r="H30" i="13"/>
  <c r="G30" i="13"/>
  <c r="F30" i="13"/>
  <c r="E30" i="13"/>
  <c r="D30" i="13"/>
  <c r="C30" i="13"/>
  <c r="J75" i="6"/>
  <c r="K29" i="13" s="1"/>
  <c r="I75" i="6"/>
  <c r="J29" i="13" s="1"/>
  <c r="H75" i="6"/>
  <c r="I29" i="13" s="1"/>
  <c r="G75" i="6"/>
  <c r="H29" i="13" s="1"/>
  <c r="F75" i="6"/>
  <c r="G29" i="13" s="1"/>
  <c r="E75" i="6"/>
  <c r="F29" i="13" s="1"/>
  <c r="D75" i="6"/>
  <c r="E29" i="13" s="1"/>
  <c r="C75" i="6"/>
  <c r="D29" i="13" s="1"/>
  <c r="B75" i="6"/>
  <c r="C29" i="13" s="1"/>
  <c r="L28" i="13"/>
  <c r="K28" i="13"/>
  <c r="J28" i="13"/>
  <c r="I28" i="13"/>
  <c r="H28" i="13"/>
  <c r="G28" i="13"/>
  <c r="F28" i="13"/>
  <c r="E28" i="13"/>
  <c r="D28" i="13"/>
  <c r="C28" i="13"/>
  <c r="L27" i="13"/>
  <c r="K27" i="13"/>
  <c r="J27" i="13"/>
  <c r="I27" i="13"/>
  <c r="H27" i="13"/>
  <c r="G27" i="13"/>
  <c r="F27" i="13"/>
  <c r="E27" i="13"/>
  <c r="D27" i="13"/>
  <c r="C27" i="13"/>
  <c r="L26" i="13"/>
  <c r="K26" i="13"/>
  <c r="J26" i="13"/>
  <c r="I26" i="13"/>
  <c r="H26" i="13"/>
  <c r="G26" i="13"/>
  <c r="F26" i="13"/>
  <c r="E26" i="13"/>
  <c r="D26" i="13"/>
  <c r="C26" i="13"/>
  <c r="L25" i="13"/>
  <c r="K25" i="13"/>
  <c r="J25" i="13"/>
  <c r="I25" i="13"/>
  <c r="H25" i="13"/>
  <c r="G25" i="13"/>
  <c r="F25" i="13"/>
  <c r="E25" i="13"/>
  <c r="D25" i="13"/>
  <c r="C25" i="13"/>
  <c r="D9" i="13"/>
  <c r="E9" i="13"/>
  <c r="F9" i="13"/>
  <c r="G9" i="13"/>
  <c r="H9" i="13"/>
  <c r="I9" i="13"/>
  <c r="J9" i="13"/>
  <c r="K9" i="13"/>
  <c r="L9" i="13"/>
  <c r="D10" i="13"/>
  <c r="E10" i="13"/>
  <c r="F10" i="13"/>
  <c r="G10" i="13"/>
  <c r="H10" i="13"/>
  <c r="I10" i="13"/>
  <c r="J10" i="13"/>
  <c r="K10" i="13"/>
  <c r="L10" i="13"/>
  <c r="D11" i="13"/>
  <c r="E11" i="13"/>
  <c r="F11" i="13"/>
  <c r="G11" i="13"/>
  <c r="H11" i="13"/>
  <c r="I11" i="13"/>
  <c r="J11" i="13"/>
  <c r="K11" i="13"/>
  <c r="L11" i="13"/>
  <c r="D12" i="13"/>
  <c r="E12" i="13"/>
  <c r="F12" i="13"/>
  <c r="G12" i="13"/>
  <c r="H12" i="13"/>
  <c r="I12" i="13"/>
  <c r="J12" i="13"/>
  <c r="K12" i="13"/>
  <c r="L12" i="13"/>
  <c r="D13" i="13"/>
  <c r="E13" i="13"/>
  <c r="F13" i="13"/>
  <c r="G13" i="13"/>
  <c r="H13" i="13"/>
  <c r="I13" i="13"/>
  <c r="J13" i="13"/>
  <c r="K13" i="13"/>
  <c r="L13" i="13"/>
  <c r="D14" i="13"/>
  <c r="E14" i="13"/>
  <c r="F14" i="13"/>
  <c r="G14" i="13"/>
  <c r="H14" i="13"/>
  <c r="I14" i="13"/>
  <c r="J14" i="13"/>
  <c r="K14" i="13"/>
  <c r="L14" i="13"/>
  <c r="D15" i="13"/>
  <c r="E15" i="13"/>
  <c r="F15" i="13"/>
  <c r="G15" i="13"/>
  <c r="H15" i="13"/>
  <c r="I15" i="13"/>
  <c r="J15" i="13"/>
  <c r="K15" i="13"/>
  <c r="L15" i="13"/>
  <c r="D16" i="13"/>
  <c r="E16" i="13"/>
  <c r="F16" i="13"/>
  <c r="G16" i="13"/>
  <c r="H16" i="13"/>
  <c r="I16" i="13"/>
  <c r="J16" i="13"/>
  <c r="K16" i="13"/>
  <c r="L16" i="13"/>
  <c r="D17" i="13"/>
  <c r="E17" i="13"/>
  <c r="F17" i="13"/>
  <c r="G17" i="13"/>
  <c r="H17" i="13"/>
  <c r="I17" i="13"/>
  <c r="J17" i="13"/>
  <c r="K17" i="13"/>
  <c r="L17" i="13"/>
  <c r="D18" i="13"/>
  <c r="E18" i="13"/>
  <c r="F18" i="13"/>
  <c r="G18" i="13"/>
  <c r="H18" i="13"/>
  <c r="I18" i="13"/>
  <c r="J18" i="13"/>
  <c r="K18" i="13"/>
  <c r="L18" i="13"/>
  <c r="D19" i="13"/>
  <c r="E19" i="13"/>
  <c r="F19" i="13"/>
  <c r="G19" i="13"/>
  <c r="H19" i="13"/>
  <c r="I19" i="13"/>
  <c r="J19" i="13"/>
  <c r="K19" i="13"/>
  <c r="L19" i="13"/>
  <c r="D20" i="13"/>
  <c r="E20" i="13"/>
  <c r="F20" i="13"/>
  <c r="G20" i="13"/>
  <c r="H20" i="13"/>
  <c r="I20" i="13"/>
  <c r="J20" i="13"/>
  <c r="K20" i="13"/>
  <c r="L20" i="13"/>
  <c r="C10" i="13"/>
  <c r="C11" i="13"/>
  <c r="C12" i="13"/>
  <c r="C13" i="13"/>
  <c r="C14" i="13"/>
  <c r="C15" i="13"/>
  <c r="C16" i="13"/>
  <c r="C17" i="13"/>
  <c r="C18" i="13"/>
  <c r="C19" i="13"/>
  <c r="C20" i="13"/>
  <c r="C9" i="13"/>
  <c r="B10" i="13"/>
  <c r="B11" i="13"/>
  <c r="B12" i="13"/>
  <c r="B13" i="13"/>
  <c r="B14" i="13"/>
  <c r="B15" i="13"/>
  <c r="B16" i="13"/>
  <c r="B17" i="13"/>
  <c r="B18" i="13"/>
  <c r="B19" i="13"/>
  <c r="B20" i="13"/>
  <c r="B9" i="13"/>
  <c r="J7" i="13"/>
  <c r="J23" i="13" s="1"/>
  <c r="K7" i="13"/>
  <c r="K23" i="13" s="1"/>
  <c r="L7" i="13"/>
  <c r="L23" i="13" s="1"/>
  <c r="D7" i="13"/>
  <c r="D23" i="13" s="1"/>
  <c r="E7" i="13"/>
  <c r="E23" i="13" s="1"/>
  <c r="F7" i="13"/>
  <c r="F23" i="13" s="1"/>
  <c r="G7" i="13"/>
  <c r="G23" i="13" s="1"/>
  <c r="H7" i="13"/>
  <c r="H23" i="13" s="1"/>
  <c r="I7" i="13"/>
  <c r="I23" i="13" s="1"/>
  <c r="C7" i="13"/>
  <c r="C23" i="13" s="1"/>
  <c r="D8" i="12" a="1"/>
  <c r="D8" i="12" s="1"/>
  <c r="C8" i="12"/>
  <c r="C9" i="12" s="1"/>
  <c r="C10" i="12" s="1"/>
  <c r="C11" i="12" s="1"/>
  <c r="C12" i="12" s="1"/>
  <c r="C13" i="12" s="1"/>
  <c r="C14" i="12" s="1"/>
  <c r="C15" i="12" s="1"/>
  <c r="C16" i="12" s="1"/>
  <c r="C17" i="12" s="1"/>
  <c r="C18" i="12" s="1"/>
  <c r="C19" i="12" s="1"/>
  <c r="C20" i="12" s="1"/>
  <c r="C21" i="12" s="1"/>
  <c r="B9" i="12"/>
  <c r="B10" i="12" s="1"/>
  <c r="B11" i="12" s="1"/>
  <c r="B12" i="12" s="1"/>
  <c r="B13" i="12" s="1"/>
  <c r="B14" i="12" s="1"/>
  <c r="B15" i="12" s="1"/>
  <c r="B16" i="12" s="1"/>
  <c r="B17" i="12" s="1"/>
  <c r="B18" i="12" s="1"/>
  <c r="H92" i="23" l="1"/>
  <c r="I62" i="24"/>
  <c r="I92" i="23"/>
  <c r="J62" i="24"/>
  <c r="E92" i="23"/>
  <c r="F62" i="24"/>
  <c r="D92" i="23"/>
  <c r="E62" i="24"/>
  <c r="G51" i="24"/>
  <c r="G58" i="24"/>
  <c r="H64" i="24"/>
  <c r="H58" i="24"/>
  <c r="K64" i="24"/>
  <c r="K58" i="24"/>
  <c r="L20" i="12"/>
  <c r="G20" i="12"/>
  <c r="F34" i="17"/>
  <c r="F26" i="17"/>
  <c r="N22" i="18"/>
  <c r="G20" i="16"/>
  <c r="J33" i="16"/>
  <c r="J35" i="16" s="1"/>
  <c r="N23" i="18"/>
  <c r="N24" i="18"/>
  <c r="N30" i="18" s="1"/>
  <c r="N32" i="18" s="1"/>
  <c r="N34" i="18" s="1"/>
  <c r="N36" i="18" s="1"/>
  <c r="E34" i="19"/>
  <c r="E36" i="19"/>
  <c r="E35" i="19"/>
  <c r="L41" i="19"/>
  <c r="N21" i="18"/>
  <c r="M23" i="21"/>
  <c r="M24" i="21"/>
  <c r="M26" i="21"/>
  <c r="K31" i="21"/>
  <c r="L31" i="21" s="1"/>
  <c r="M31" i="21" s="1"/>
  <c r="K32" i="21"/>
  <c r="L32" i="21" s="1"/>
  <c r="M32" i="21" s="1"/>
  <c r="K33" i="21"/>
  <c r="L33" i="21" s="1"/>
  <c r="M33" i="21" s="1"/>
  <c r="M25" i="21"/>
  <c r="F38" i="19"/>
  <c r="L34" i="19" s="1"/>
  <c r="L36" i="19" s="1"/>
  <c r="L27" i="19" s="1"/>
  <c r="L28" i="19" s="1"/>
  <c r="K42" i="19" s="1"/>
  <c r="P10" i="18"/>
  <c r="N26" i="18"/>
  <c r="N25" i="18"/>
  <c r="O26" i="18"/>
  <c r="O24" i="18"/>
  <c r="O30" i="18" s="1"/>
  <c r="O32" i="18" s="1"/>
  <c r="O34" i="18" s="1"/>
  <c r="O36" i="18" s="1"/>
  <c r="O22" i="18"/>
  <c r="O25" i="18"/>
  <c r="O23" i="18"/>
  <c r="O21" i="18"/>
  <c r="G14" i="16"/>
  <c r="I20" i="16"/>
  <c r="H20" i="16"/>
  <c r="F33" i="16"/>
  <c r="F35" i="16" s="1"/>
  <c r="I33" i="16"/>
  <c r="I35" i="16" s="1"/>
  <c r="H33" i="16"/>
  <c r="H35" i="16" s="1"/>
  <c r="G33" i="16"/>
  <c r="G35" i="16" s="1"/>
  <c r="J14" i="16"/>
  <c r="J20" i="16"/>
  <c r="F20" i="16"/>
  <c r="H14" i="16"/>
  <c r="I14" i="16"/>
  <c r="F14" i="16"/>
  <c r="J13" i="17"/>
  <c r="K13" i="17" s="1"/>
  <c r="G10" i="17"/>
  <c r="G8" i="17"/>
  <c r="H8" i="17" s="1"/>
  <c r="I8" i="17" s="1"/>
  <c r="J8" i="17" s="1"/>
  <c r="K8" i="17" s="1"/>
  <c r="B19" i="12"/>
  <c r="D14" i="12"/>
  <c r="D10" i="12"/>
  <c r="D15" i="12"/>
  <c r="D11" i="12"/>
  <c r="D17" i="12"/>
  <c r="D13" i="12"/>
  <c r="D9" i="12"/>
  <c r="E9" i="12" s="1"/>
  <c r="D16" i="12"/>
  <c r="D12" i="12"/>
  <c r="L7" i="11"/>
  <c r="K7" i="11"/>
  <c r="J7" i="11"/>
  <c r="I7" i="11"/>
  <c r="H7" i="11"/>
  <c r="G7" i="11"/>
  <c r="F7" i="11"/>
  <c r="E7" i="11"/>
  <c r="D7" i="11"/>
  <c r="C7" i="11"/>
  <c r="B6" i="11"/>
  <c r="L76" i="9"/>
  <c r="K76" i="9"/>
  <c r="J76" i="9"/>
  <c r="I76" i="9"/>
  <c r="H76" i="9"/>
  <c r="G76" i="9"/>
  <c r="F76" i="9"/>
  <c r="E76" i="9"/>
  <c r="D76" i="9"/>
  <c r="C76" i="9"/>
  <c r="L75" i="9"/>
  <c r="K75" i="9"/>
  <c r="J75" i="9"/>
  <c r="I75" i="9"/>
  <c r="H75" i="9"/>
  <c r="G75" i="9"/>
  <c r="F75" i="9"/>
  <c r="E75" i="9"/>
  <c r="D75" i="9"/>
  <c r="C75" i="9"/>
  <c r="L74" i="9"/>
  <c r="K74" i="9"/>
  <c r="J74" i="9"/>
  <c r="I74" i="9"/>
  <c r="H74" i="9"/>
  <c r="G74" i="9"/>
  <c r="F74" i="9"/>
  <c r="E74" i="9"/>
  <c r="D74" i="9"/>
  <c r="C74" i="9"/>
  <c r="L65" i="9"/>
  <c r="K65" i="9"/>
  <c r="J65" i="9"/>
  <c r="I65" i="9"/>
  <c r="H65" i="9"/>
  <c r="G65" i="9"/>
  <c r="F65" i="9"/>
  <c r="E65" i="9"/>
  <c r="D65" i="9"/>
  <c r="C65" i="9"/>
  <c r="L64" i="9"/>
  <c r="K64" i="9"/>
  <c r="J64" i="9"/>
  <c r="I64" i="9"/>
  <c r="H64" i="9"/>
  <c r="G64" i="9"/>
  <c r="F64" i="9"/>
  <c r="E64" i="9"/>
  <c r="D64" i="9"/>
  <c r="C64" i="9"/>
  <c r="L63" i="9"/>
  <c r="K63" i="9"/>
  <c r="J63" i="9"/>
  <c r="I63" i="9"/>
  <c r="H63" i="9"/>
  <c r="G63" i="9"/>
  <c r="F63" i="9"/>
  <c r="E63" i="9"/>
  <c r="D63" i="9"/>
  <c r="C63" i="9"/>
  <c r="L60" i="9"/>
  <c r="K60" i="9"/>
  <c r="J60" i="9"/>
  <c r="I60" i="9"/>
  <c r="H60" i="9"/>
  <c r="G60" i="9"/>
  <c r="F60" i="9"/>
  <c r="E60" i="9"/>
  <c r="D60" i="9"/>
  <c r="C60" i="9"/>
  <c r="D57" i="9"/>
  <c r="E57" i="9"/>
  <c r="F57" i="9"/>
  <c r="G57" i="9"/>
  <c r="H57" i="9"/>
  <c r="I57" i="9"/>
  <c r="J57" i="9"/>
  <c r="K57" i="9"/>
  <c r="L57" i="9"/>
  <c r="D58" i="9"/>
  <c r="E58" i="9"/>
  <c r="F58" i="9"/>
  <c r="G58" i="9"/>
  <c r="H58" i="9"/>
  <c r="I58" i="9"/>
  <c r="J58" i="9"/>
  <c r="K58" i="9"/>
  <c r="L58" i="9"/>
  <c r="D59" i="9"/>
  <c r="E59" i="9"/>
  <c r="F59" i="9"/>
  <c r="G59" i="9"/>
  <c r="H59" i="9"/>
  <c r="I59" i="9"/>
  <c r="J59" i="9"/>
  <c r="K59" i="9"/>
  <c r="L59" i="9"/>
  <c r="C58" i="9"/>
  <c r="C59" i="9"/>
  <c r="C57" i="9"/>
  <c r="L55" i="9"/>
  <c r="K55" i="9"/>
  <c r="J55" i="9"/>
  <c r="I55" i="9"/>
  <c r="H55" i="9"/>
  <c r="G55" i="9"/>
  <c r="F55" i="9"/>
  <c r="E55" i="9"/>
  <c r="D55" i="9"/>
  <c r="C55" i="9"/>
  <c r="L54" i="9"/>
  <c r="K54" i="9"/>
  <c r="J54" i="9"/>
  <c r="I54" i="9"/>
  <c r="H54" i="9"/>
  <c r="G54" i="9"/>
  <c r="F54" i="9"/>
  <c r="E54" i="9"/>
  <c r="D54" i="9"/>
  <c r="C54" i="9"/>
  <c r="L53" i="9"/>
  <c r="K53" i="9"/>
  <c r="J53" i="9"/>
  <c r="I53" i="9"/>
  <c r="H53" i="9"/>
  <c r="G53" i="9"/>
  <c r="F53" i="9"/>
  <c r="E53" i="9"/>
  <c r="D53" i="9"/>
  <c r="C53" i="9"/>
  <c r="L52" i="9"/>
  <c r="K52" i="9"/>
  <c r="J52" i="9"/>
  <c r="I52" i="9"/>
  <c r="H52" i="9"/>
  <c r="G52" i="9"/>
  <c r="F52" i="9"/>
  <c r="E52" i="9"/>
  <c r="D52" i="9"/>
  <c r="C52" i="9"/>
  <c r="L51" i="9"/>
  <c r="K51" i="9"/>
  <c r="J51" i="9"/>
  <c r="I51" i="9"/>
  <c r="H51" i="9"/>
  <c r="G51" i="9"/>
  <c r="F51" i="9"/>
  <c r="E51" i="9"/>
  <c r="D51" i="9"/>
  <c r="C51" i="9"/>
  <c r="L45" i="9"/>
  <c r="I19" i="25" s="1"/>
  <c r="K45" i="9"/>
  <c r="H19" i="25" s="1"/>
  <c r="J45" i="9"/>
  <c r="G19" i="25" s="1"/>
  <c r="I45" i="9"/>
  <c r="F19" i="25" s="1"/>
  <c r="H45" i="9"/>
  <c r="E19" i="25" s="1"/>
  <c r="E20" i="25" s="1"/>
  <c r="F45" i="9"/>
  <c r="E45" i="9"/>
  <c r="D45" i="9"/>
  <c r="C45" i="9"/>
  <c r="L40" i="9"/>
  <c r="K40" i="9"/>
  <c r="J40" i="9"/>
  <c r="I40" i="9"/>
  <c r="H40" i="9"/>
  <c r="G40" i="9"/>
  <c r="F40" i="9"/>
  <c r="E40" i="9"/>
  <c r="D40" i="9"/>
  <c r="C40" i="9"/>
  <c r="L34" i="9"/>
  <c r="K34" i="9"/>
  <c r="J34" i="9"/>
  <c r="I34" i="9"/>
  <c r="H34" i="9"/>
  <c r="G34" i="9"/>
  <c r="F34" i="9"/>
  <c r="E34" i="9"/>
  <c r="D34" i="9"/>
  <c r="C34" i="9"/>
  <c r="L28" i="9"/>
  <c r="K28" i="9"/>
  <c r="J28" i="9"/>
  <c r="I28" i="9"/>
  <c r="H28" i="9"/>
  <c r="G28" i="9"/>
  <c r="F28" i="9"/>
  <c r="E28" i="9"/>
  <c r="D28" i="9"/>
  <c r="C28" i="9"/>
  <c r="L25" i="9"/>
  <c r="K25" i="9"/>
  <c r="J25" i="9"/>
  <c r="I25" i="9"/>
  <c r="H25" i="9"/>
  <c r="G25" i="9"/>
  <c r="F25" i="9"/>
  <c r="E25" i="9"/>
  <c r="D25" i="9"/>
  <c r="C25" i="9"/>
  <c r="L19" i="9"/>
  <c r="K19" i="9"/>
  <c r="J19" i="9"/>
  <c r="I19" i="9"/>
  <c r="H19" i="9"/>
  <c r="G19" i="9"/>
  <c r="F19" i="9"/>
  <c r="E19" i="9"/>
  <c r="D19" i="9"/>
  <c r="C19" i="9"/>
  <c r="L13" i="9"/>
  <c r="K13" i="9"/>
  <c r="J13" i="9"/>
  <c r="I13" i="9"/>
  <c r="H13" i="9"/>
  <c r="G13" i="9"/>
  <c r="F13" i="9"/>
  <c r="E13" i="9"/>
  <c r="D13" i="9"/>
  <c r="C13" i="9"/>
  <c r="L10" i="9"/>
  <c r="K10" i="9"/>
  <c r="J10" i="9"/>
  <c r="I10" i="9"/>
  <c r="H10" i="9"/>
  <c r="G10" i="9"/>
  <c r="F10" i="9"/>
  <c r="E10" i="9"/>
  <c r="D10" i="9"/>
  <c r="C10" i="9"/>
  <c r="L7" i="9"/>
  <c r="K7" i="9"/>
  <c r="J7" i="9"/>
  <c r="I7" i="9"/>
  <c r="H7" i="9"/>
  <c r="G7" i="9"/>
  <c r="E59" i="23" s="1"/>
  <c r="E65" i="23" s="1"/>
  <c r="E81" i="23" s="1"/>
  <c r="F7" i="9"/>
  <c r="D59" i="23" s="1"/>
  <c r="D65" i="23" s="1"/>
  <c r="D81" i="23" s="1"/>
  <c r="E7" i="9"/>
  <c r="D7" i="9"/>
  <c r="C7" i="9"/>
  <c r="B6" i="9"/>
  <c r="C6" i="3"/>
  <c r="D6" i="3"/>
  <c r="E6" i="3"/>
  <c r="F6" i="3"/>
  <c r="G6" i="3"/>
  <c r="H6" i="3"/>
  <c r="I6" i="3"/>
  <c r="J6" i="3"/>
  <c r="K6" i="3"/>
  <c r="B6" i="3"/>
  <c r="C5" i="1"/>
  <c r="D5" i="1"/>
  <c r="E5" i="1"/>
  <c r="F5" i="1"/>
  <c r="G5" i="1"/>
  <c r="H5" i="1"/>
  <c r="I5" i="1"/>
  <c r="J5" i="1"/>
  <c r="K5" i="1"/>
  <c r="B5" i="1"/>
  <c r="B6" i="6"/>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F13" i="2"/>
  <c r="G13" i="2"/>
  <c r="H13" i="2"/>
  <c r="I13" i="2"/>
  <c r="J13" i="2"/>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D4" i="3"/>
  <c r="E4" i="3"/>
  <c r="F4" i="3"/>
  <c r="G4" i="3"/>
  <c r="H4" i="3"/>
  <c r="I4" i="3"/>
  <c r="J4" i="3"/>
  <c r="K4" i="3"/>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F12" i="1"/>
  <c r="F13" i="1" s="1"/>
  <c r="G12" i="1"/>
  <c r="H12" i="1"/>
  <c r="H13" i="1" s="1"/>
  <c r="I12" i="1"/>
  <c r="I13" i="1" s="1"/>
  <c r="J12" i="1"/>
  <c r="J13" i="1" s="1"/>
  <c r="K12" i="1"/>
  <c r="K13" i="1" s="1"/>
  <c r="C15" i="1"/>
  <c r="D15" i="1"/>
  <c r="E15" i="1"/>
  <c r="F15" i="1"/>
  <c r="G15" i="1"/>
  <c r="H15" i="1"/>
  <c r="I15" i="1"/>
  <c r="J15" i="1"/>
  <c r="K15" i="1"/>
  <c r="B15" i="1"/>
  <c r="B7" i="1"/>
  <c r="B4" i="1"/>
  <c r="A1" i="1"/>
  <c r="A1" i="3" s="1"/>
  <c r="E1" i="6"/>
  <c r="H1"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B18" i="2"/>
  <c r="B21" i="2" s="1"/>
  <c r="B13" i="2"/>
  <c r="B12" i="2"/>
  <c r="B11" i="2"/>
  <c r="B10" i="2"/>
  <c r="B8" i="2"/>
  <c r="B7" i="2"/>
  <c r="B6" i="2"/>
  <c r="B3" i="2"/>
  <c r="B12" i="3"/>
  <c r="B11" i="3"/>
  <c r="B10" i="3"/>
  <c r="B9" i="3"/>
  <c r="B8" i="3"/>
  <c r="B7" i="3"/>
  <c r="B4" i="3"/>
  <c r="B14" i="3" s="1"/>
  <c r="B3" i="3"/>
  <c r="L15" i="1"/>
  <c r="B12" i="1"/>
  <c r="B13" i="1" s="1"/>
  <c r="B11" i="1"/>
  <c r="B10" i="1"/>
  <c r="B9" i="1"/>
  <c r="B8" i="1"/>
  <c r="B3" i="1"/>
  <c r="D38" i="17" l="1"/>
  <c r="N47" i="25"/>
  <c r="N48" i="25" s="1"/>
  <c r="N52" i="25" s="1"/>
  <c r="H20" i="25"/>
  <c r="I20" i="25"/>
  <c r="F20" i="25"/>
  <c r="G20" i="25"/>
  <c r="D87" i="23"/>
  <c r="E37" i="24"/>
  <c r="E43" i="24" s="1"/>
  <c r="E87" i="23"/>
  <c r="F37" i="24"/>
  <c r="F43" i="24" s="1"/>
  <c r="G64" i="24"/>
  <c r="J58" i="24"/>
  <c r="J64" i="24"/>
  <c r="F58" i="24"/>
  <c r="F64" i="24"/>
  <c r="E58" i="24"/>
  <c r="E64" i="24"/>
  <c r="I58" i="24"/>
  <c r="I64" i="24"/>
  <c r="D61" i="23"/>
  <c r="D75" i="23" s="1"/>
  <c r="H61" i="23"/>
  <c r="H75" i="23" s="1"/>
  <c r="H42" i="16"/>
  <c r="H58" i="16" s="1"/>
  <c r="H59" i="23"/>
  <c r="H65" i="23" s="1"/>
  <c r="H81" i="23" s="1"/>
  <c r="F61" i="23"/>
  <c r="F75" i="23" s="1"/>
  <c r="J61" i="23"/>
  <c r="J75" i="23" s="1"/>
  <c r="F42" i="16"/>
  <c r="F58" i="16" s="1"/>
  <c r="F59" i="23"/>
  <c r="F65" i="23" s="1"/>
  <c r="F81" i="23" s="1"/>
  <c r="J42" i="16"/>
  <c r="J58" i="16" s="1"/>
  <c r="J59" i="23"/>
  <c r="J65" i="23" s="1"/>
  <c r="J81" i="23" s="1"/>
  <c r="G42" i="16"/>
  <c r="G58" i="16" s="1"/>
  <c r="G59" i="23"/>
  <c r="G65" i="23" s="1"/>
  <c r="G81" i="23" s="1"/>
  <c r="E61" i="23"/>
  <c r="E75" i="23" s="1"/>
  <c r="I61" i="23"/>
  <c r="I75" i="23" s="1"/>
  <c r="I42" i="16"/>
  <c r="I58" i="16" s="1"/>
  <c r="I59" i="23"/>
  <c r="I65" i="23" s="1"/>
  <c r="I81" i="23" s="1"/>
  <c r="G61" i="23"/>
  <c r="G75" i="23" s="1"/>
  <c r="K20" i="2"/>
  <c r="C20" i="2"/>
  <c r="B16" i="2"/>
  <c r="L21" i="12"/>
  <c r="G21" i="12"/>
  <c r="J14" i="3"/>
  <c r="D20" i="2"/>
  <c r="K14" i="3"/>
  <c r="G14" i="3"/>
  <c r="C14" i="3"/>
  <c r="H16" i="2"/>
  <c r="D16" i="2"/>
  <c r="G20" i="2"/>
  <c r="A1" i="2"/>
  <c r="A1" i="4" s="1"/>
  <c r="D23" i="2"/>
  <c r="J6" i="1"/>
  <c r="J19" i="1" s="1"/>
  <c r="F20" i="2"/>
  <c r="F13" i="11"/>
  <c r="J13" i="11"/>
  <c r="I23" i="1"/>
  <c r="F14" i="1"/>
  <c r="I21" i="2"/>
  <c r="E6" i="1"/>
  <c r="E19" i="1" s="1"/>
  <c r="H14" i="3"/>
  <c r="D14" i="3"/>
  <c r="E16" i="2"/>
  <c r="K21" i="2"/>
  <c r="K6" i="1"/>
  <c r="K19" i="1" s="1"/>
  <c r="G6" i="1"/>
  <c r="G19" i="1" s="1"/>
  <c r="H13" i="11"/>
  <c r="L43" i="19"/>
  <c r="E19" i="17" s="1"/>
  <c r="J14" i="17" s="1"/>
  <c r="E38" i="19"/>
  <c r="E21" i="2"/>
  <c r="D78" i="9"/>
  <c r="H78" i="9"/>
  <c r="L78" i="9"/>
  <c r="E13" i="11"/>
  <c r="I13" i="11"/>
  <c r="E78" i="9"/>
  <c r="I78" i="9"/>
  <c r="E13" i="12"/>
  <c r="K14" i="1"/>
  <c r="C14" i="1"/>
  <c r="L11" i="1"/>
  <c r="L10" i="1"/>
  <c r="L5" i="1"/>
  <c r="I14" i="3"/>
  <c r="E14" i="3"/>
  <c r="J16" i="2"/>
  <c r="F16" i="2"/>
  <c r="P25" i="18"/>
  <c r="P23" i="18"/>
  <c r="P21" i="18"/>
  <c r="P26" i="18"/>
  <c r="P24" i="18"/>
  <c r="P32" i="18" s="1"/>
  <c r="P22" i="18"/>
  <c r="F22" i="16"/>
  <c r="F37" i="16" s="1"/>
  <c r="D13" i="11"/>
  <c r="J22" i="16"/>
  <c r="C78" i="9"/>
  <c r="G78" i="9"/>
  <c r="K78" i="9"/>
  <c r="I22" i="16"/>
  <c r="I37" i="16" s="1"/>
  <c r="B23" i="2"/>
  <c r="K16" i="2"/>
  <c r="G16" i="2"/>
  <c r="C16" i="2"/>
  <c r="K23" i="2"/>
  <c r="H21" i="2"/>
  <c r="D21" i="2"/>
  <c r="D6" i="1"/>
  <c r="D19" i="1" s="1"/>
  <c r="F14" i="3"/>
  <c r="F66" i="9"/>
  <c r="J66" i="9"/>
  <c r="D66" i="9"/>
  <c r="H66" i="9"/>
  <c r="L66" i="9"/>
  <c r="G13" i="11"/>
  <c r="H22" i="16"/>
  <c r="H37" i="16" s="1"/>
  <c r="F23" i="2"/>
  <c r="G21" i="2"/>
  <c r="C21" i="2"/>
  <c r="C6" i="1"/>
  <c r="C19" i="1" s="1"/>
  <c r="L6" i="1"/>
  <c r="L13" i="11"/>
  <c r="K13" i="11"/>
  <c r="G22" i="16"/>
  <c r="H10" i="17"/>
  <c r="L12" i="1"/>
  <c r="L13" i="1" s="1"/>
  <c r="L14" i="1" s="1"/>
  <c r="L25" i="1" s="1"/>
  <c r="F42" i="11"/>
  <c r="F44" i="11"/>
  <c r="J42" i="11"/>
  <c r="J44" i="11"/>
  <c r="F78" i="9"/>
  <c r="J78" i="9"/>
  <c r="J23" i="1"/>
  <c r="B20" i="2"/>
  <c r="B6" i="1"/>
  <c r="B19" i="1" s="1"/>
  <c r="H23" i="1"/>
  <c r="D32" i="11"/>
  <c r="D38" i="11" s="1"/>
  <c r="D34" i="11"/>
  <c r="D33" i="11"/>
  <c r="D39" i="11" s="1"/>
  <c r="D35" i="11"/>
  <c r="D31" i="11"/>
  <c r="D37" i="11" s="1"/>
  <c r="H33" i="11"/>
  <c r="H39" i="11" s="1"/>
  <c r="H35" i="11"/>
  <c r="H31" i="11"/>
  <c r="H37" i="11" s="1"/>
  <c r="H32" i="11"/>
  <c r="H38" i="11" s="1"/>
  <c r="H34" i="11"/>
  <c r="L31" i="11"/>
  <c r="L37" i="11" s="1"/>
  <c r="L32" i="11"/>
  <c r="L38" i="11" s="1"/>
  <c r="L35" i="11"/>
  <c r="L34" i="11"/>
  <c r="L33" i="11"/>
  <c r="L39" i="11" s="1"/>
  <c r="G23" i="2"/>
  <c r="E34" i="11"/>
  <c r="E35" i="11"/>
  <c r="E31" i="11"/>
  <c r="E37" i="11" s="1"/>
  <c r="E33" i="11"/>
  <c r="E39" i="11" s="1"/>
  <c r="E32" i="11"/>
  <c r="E38" i="11" s="1"/>
  <c r="I32" i="11"/>
  <c r="I38" i="11" s="1"/>
  <c r="I35" i="11"/>
  <c r="I31" i="11"/>
  <c r="I37" i="11" s="1"/>
  <c r="I34" i="11"/>
  <c r="I33" i="11"/>
  <c r="I39" i="11" s="1"/>
  <c r="G42" i="11"/>
  <c r="G44" i="11"/>
  <c r="K44" i="11"/>
  <c r="K42" i="11"/>
  <c r="C23" i="2"/>
  <c r="J14" i="1"/>
  <c r="F33" i="11"/>
  <c r="F39" i="11" s="1"/>
  <c r="F34" i="11"/>
  <c r="F32" i="11"/>
  <c r="F38" i="11" s="1"/>
  <c r="F35" i="11"/>
  <c r="F31" i="11"/>
  <c r="F37" i="11" s="1"/>
  <c r="J35" i="11"/>
  <c r="J31" i="11"/>
  <c r="J37" i="11" s="1"/>
  <c r="J34" i="11"/>
  <c r="J33" i="11"/>
  <c r="J39" i="11" s="1"/>
  <c r="J32" i="11"/>
  <c r="J38" i="11" s="1"/>
  <c r="D44" i="11"/>
  <c r="D42" i="11"/>
  <c r="H44" i="11"/>
  <c r="H42" i="11"/>
  <c r="L44" i="11"/>
  <c r="L42" i="11"/>
  <c r="E12" i="12"/>
  <c r="E17" i="12"/>
  <c r="C44" i="11"/>
  <c r="C42" i="11"/>
  <c r="E10" i="12"/>
  <c r="L4" i="1"/>
  <c r="L23" i="1" s="1"/>
  <c r="E20" i="2"/>
  <c r="E23" i="2"/>
  <c r="C34" i="11"/>
  <c r="C33" i="11"/>
  <c r="C32" i="11"/>
  <c r="C35" i="11"/>
  <c r="C31" i="11"/>
  <c r="G34" i="11"/>
  <c r="G33" i="11"/>
  <c r="G39" i="11" s="1"/>
  <c r="G32" i="11"/>
  <c r="G38" i="11" s="1"/>
  <c r="G35" i="11"/>
  <c r="G31" i="11"/>
  <c r="G37" i="11" s="1"/>
  <c r="K20" i="9"/>
  <c r="K21" i="11" s="1"/>
  <c r="K33" i="11"/>
  <c r="K39" i="11" s="1"/>
  <c r="K35" i="11"/>
  <c r="K31" i="11"/>
  <c r="K37" i="11" s="1"/>
  <c r="K34" i="11"/>
  <c r="K32" i="11"/>
  <c r="K38" i="11" s="1"/>
  <c r="E66" i="9"/>
  <c r="I66" i="9"/>
  <c r="C66" i="9"/>
  <c r="G66" i="9"/>
  <c r="K66" i="9"/>
  <c r="E44" i="11"/>
  <c r="E42" i="11"/>
  <c r="I44" i="11"/>
  <c r="I42" i="11"/>
  <c r="E14" i="12"/>
  <c r="E16" i="12"/>
  <c r="E11" i="12"/>
  <c r="B20" i="12"/>
  <c r="D19" i="12"/>
  <c r="E15" i="12"/>
  <c r="D18" i="12"/>
  <c r="E18" i="12" s="1"/>
  <c r="J61" i="9"/>
  <c r="F61" i="9"/>
  <c r="C61" i="9"/>
  <c r="K61" i="9"/>
  <c r="G61" i="9"/>
  <c r="I61" i="9"/>
  <c r="E61" i="9"/>
  <c r="D26" i="9"/>
  <c r="L26" i="9"/>
  <c r="L61" i="9"/>
  <c r="H61" i="9"/>
  <c r="D61" i="9"/>
  <c r="E26" i="9"/>
  <c r="I26" i="9"/>
  <c r="I29" i="9"/>
  <c r="I22" i="11" s="1"/>
  <c r="H26" i="9"/>
  <c r="F26" i="9"/>
  <c r="J26" i="9"/>
  <c r="F29" i="9"/>
  <c r="F22" i="11" s="1"/>
  <c r="J29" i="9"/>
  <c r="J22" i="11" s="1"/>
  <c r="C29" i="9"/>
  <c r="C22" i="11" s="1"/>
  <c r="G29" i="9"/>
  <c r="G22" i="11" s="1"/>
  <c r="K29" i="9"/>
  <c r="K22" i="11" s="1"/>
  <c r="C26" i="9"/>
  <c r="G26" i="9"/>
  <c r="K26" i="9"/>
  <c r="D29" i="9"/>
  <c r="D22" i="11" s="1"/>
  <c r="H29" i="9"/>
  <c r="H22" i="11" s="1"/>
  <c r="L29" i="9"/>
  <c r="L22" i="11" s="1"/>
  <c r="E29" i="9"/>
  <c r="E22" i="11" s="1"/>
  <c r="G20" i="9"/>
  <c r="G21" i="11" s="1"/>
  <c r="H11" i="9"/>
  <c r="C14" i="9"/>
  <c r="K11" i="9"/>
  <c r="H14" i="9"/>
  <c r="D14" i="9"/>
  <c r="L14" i="9"/>
  <c r="F14" i="9"/>
  <c r="J14" i="9"/>
  <c r="I20" i="9"/>
  <c r="I21" i="11" s="1"/>
  <c r="F20" i="9"/>
  <c r="F21" i="11" s="1"/>
  <c r="J20" i="9"/>
  <c r="J21" i="11" s="1"/>
  <c r="E11" i="9"/>
  <c r="E9" i="11" s="1"/>
  <c r="I11" i="9"/>
  <c r="L11" i="9"/>
  <c r="C20" i="9"/>
  <c r="C21" i="11" s="1"/>
  <c r="D11" i="9"/>
  <c r="D9" i="11" s="1"/>
  <c r="G14" i="9"/>
  <c r="K16" i="9"/>
  <c r="K22" i="9" s="1"/>
  <c r="H25" i="25" s="1"/>
  <c r="L16" i="9"/>
  <c r="L22" i="9" s="1"/>
  <c r="I25" i="25" s="1"/>
  <c r="D20" i="9"/>
  <c r="D21" i="11" s="1"/>
  <c r="H20" i="9"/>
  <c r="H21" i="11" s="1"/>
  <c r="L20" i="9"/>
  <c r="L21" i="11" s="1"/>
  <c r="E20" i="9"/>
  <c r="E21" i="11" s="1"/>
  <c r="F11" i="9"/>
  <c r="F9" i="11" s="1"/>
  <c r="J11" i="9"/>
  <c r="G16" i="9"/>
  <c r="G22" i="9" s="1"/>
  <c r="C16" i="9"/>
  <c r="C22" i="9" s="1"/>
  <c r="F16" i="9"/>
  <c r="F22" i="9" s="1"/>
  <c r="G11" i="9"/>
  <c r="G9" i="11" s="1"/>
  <c r="K14" i="9"/>
  <c r="J16" i="9"/>
  <c r="J22" i="9" s="1"/>
  <c r="G25" i="25" s="1"/>
  <c r="D16" i="9"/>
  <c r="D22" i="9" s="1"/>
  <c r="H16" i="9"/>
  <c r="H22" i="9" s="1"/>
  <c r="E25" i="25" s="1"/>
  <c r="E16" i="9"/>
  <c r="E22" i="9" s="1"/>
  <c r="I16" i="9"/>
  <c r="I22" i="9" s="1"/>
  <c r="F25" i="25" s="1"/>
  <c r="E14" i="9"/>
  <c r="I14" i="9"/>
  <c r="H14" i="1"/>
  <c r="G24" i="2"/>
  <c r="E24" i="2"/>
  <c r="G13" i="1"/>
  <c r="G14" i="1" s="1"/>
  <c r="D13" i="1"/>
  <c r="E13" i="1" s="1"/>
  <c r="E14" i="1" s="1"/>
  <c r="H23" i="2"/>
  <c r="L9" i="1"/>
  <c r="N9" i="1" s="1"/>
  <c r="L8" i="1"/>
  <c r="M8" i="1" s="1"/>
  <c r="L7" i="1"/>
  <c r="J23" i="2"/>
  <c r="J24" i="2"/>
  <c r="D24" i="2"/>
  <c r="J20" i="2"/>
  <c r="F21" i="2"/>
  <c r="J21" i="2"/>
  <c r="E1" i="3"/>
  <c r="B14" i="1"/>
  <c r="I16" i="2"/>
  <c r="K24" i="2"/>
  <c r="I24" i="2"/>
  <c r="I6" i="1"/>
  <c r="I19" i="1" s="1"/>
  <c r="K24" i="1" s="1"/>
  <c r="E1" i="2"/>
  <c r="I14" i="1"/>
  <c r="K25" i="1" s="1"/>
  <c r="M25" i="1" s="1"/>
  <c r="M14" i="1" s="1"/>
  <c r="C24" i="2"/>
  <c r="I23" i="2"/>
  <c r="H24" i="2"/>
  <c r="F24" i="2"/>
  <c r="N8" i="1"/>
  <c r="I20" i="2"/>
  <c r="H20" i="2"/>
  <c r="K23" i="1"/>
  <c r="H6" i="1"/>
  <c r="H19" i="1" s="1"/>
  <c r="F6" i="1"/>
  <c r="F19" i="1" s="1"/>
  <c r="E1" i="4"/>
  <c r="J9" i="11" l="1"/>
  <c r="G12" i="25"/>
  <c r="I9" i="11"/>
  <c r="F12" i="25"/>
  <c r="H9" i="11"/>
  <c r="E12" i="25"/>
  <c r="K9" i="11"/>
  <c r="O9" i="11" s="1"/>
  <c r="H12" i="25"/>
  <c r="L9" i="11"/>
  <c r="I12" i="25"/>
  <c r="I87" i="23"/>
  <c r="J37" i="24"/>
  <c r="J43" i="24" s="1"/>
  <c r="G87" i="23"/>
  <c r="H37" i="24"/>
  <c r="H43" i="24" s="1"/>
  <c r="F87" i="23"/>
  <c r="G37" i="24"/>
  <c r="G43" i="24" s="1"/>
  <c r="H87" i="23"/>
  <c r="I37" i="24"/>
  <c r="I43" i="24" s="1"/>
  <c r="F55" i="24"/>
  <c r="F61" i="24" s="1"/>
  <c r="F67" i="24" s="1"/>
  <c r="F49" i="24"/>
  <c r="J87" i="23"/>
  <c r="K37" i="24"/>
  <c r="K43" i="24" s="1"/>
  <c r="E55" i="24"/>
  <c r="E61" i="24" s="1"/>
  <c r="E67" i="24" s="1"/>
  <c r="E49" i="24"/>
  <c r="C68" i="9"/>
  <c r="C70" i="9" s="1"/>
  <c r="N11" i="1"/>
  <c r="I8" i="12" a="1"/>
  <c r="J68" i="9"/>
  <c r="H68" i="9"/>
  <c r="M11" i="1"/>
  <c r="K68" i="9"/>
  <c r="D14" i="1"/>
  <c r="H25" i="1" s="1"/>
  <c r="L68" i="9"/>
  <c r="F68" i="9"/>
  <c r="N13" i="11"/>
  <c r="D25" i="17"/>
  <c r="H14" i="17"/>
  <c r="I14" i="17"/>
  <c r="G14" i="17"/>
  <c r="K14" i="17"/>
  <c r="I25" i="1"/>
  <c r="D68" i="9"/>
  <c r="D70" i="9" s="1"/>
  <c r="E68" i="9"/>
  <c r="E70" i="9" s="1"/>
  <c r="P34" i="18"/>
  <c r="P36" i="18" s="1"/>
  <c r="P30" i="18"/>
  <c r="J37" i="16"/>
  <c r="J45" i="16"/>
  <c r="J52" i="16" s="1"/>
  <c r="G45" i="16"/>
  <c r="G52" i="16" s="1"/>
  <c r="I45" i="16"/>
  <c r="I52" i="16" s="1"/>
  <c r="G37" i="16"/>
  <c r="M9" i="1"/>
  <c r="O13" i="11"/>
  <c r="H45" i="16"/>
  <c r="H52" i="16" s="1"/>
  <c r="M23" i="1"/>
  <c r="M4" i="1" s="1"/>
  <c r="G68" i="9"/>
  <c r="E71" i="23" s="1"/>
  <c r="L40" i="11"/>
  <c r="J40" i="11"/>
  <c r="I10" i="17"/>
  <c r="N44" i="11"/>
  <c r="O44" i="11"/>
  <c r="J25" i="1"/>
  <c r="D29" i="11"/>
  <c r="D25" i="11"/>
  <c r="D17" i="11"/>
  <c r="D23" i="11" s="1"/>
  <c r="D10" i="11"/>
  <c r="F25" i="11"/>
  <c r="F29" i="11"/>
  <c r="F10" i="11"/>
  <c r="F17" i="11"/>
  <c r="F23" i="11" s="1"/>
  <c r="O31" i="11"/>
  <c r="C37" i="11"/>
  <c r="N31" i="11"/>
  <c r="O34" i="11"/>
  <c r="N34" i="11"/>
  <c r="I25" i="11"/>
  <c r="F29" i="25" s="1"/>
  <c r="I29" i="11"/>
  <c r="I10" i="11"/>
  <c r="I17" i="11"/>
  <c r="I23" i="11" s="1"/>
  <c r="J25" i="11"/>
  <c r="G29" i="25" s="1"/>
  <c r="J29" i="11"/>
  <c r="J10" i="11"/>
  <c r="J17" i="11"/>
  <c r="J23" i="11" s="1"/>
  <c r="C29" i="11"/>
  <c r="C25" i="11"/>
  <c r="C17" i="11"/>
  <c r="L29" i="11"/>
  <c r="L25" i="11"/>
  <c r="I29" i="25" s="1"/>
  <c r="L17" i="11"/>
  <c r="L23" i="11" s="1"/>
  <c r="L10" i="11"/>
  <c r="O21" i="11"/>
  <c r="N21" i="11"/>
  <c r="I68" i="9"/>
  <c r="K40" i="11"/>
  <c r="O35" i="11"/>
  <c r="N35" i="11"/>
  <c r="N42" i="11"/>
  <c r="O42" i="11"/>
  <c r="I40" i="11"/>
  <c r="L19" i="1"/>
  <c r="L24" i="1" s="1"/>
  <c r="M24" i="1" s="1"/>
  <c r="H29" i="11"/>
  <c r="H25" i="11"/>
  <c r="E29" i="25" s="1"/>
  <c r="H17" i="11"/>
  <c r="H23" i="11" s="1"/>
  <c r="H10" i="11"/>
  <c r="N33" i="11"/>
  <c r="O33" i="11"/>
  <c r="C39" i="11"/>
  <c r="H24" i="1"/>
  <c r="J24" i="1"/>
  <c r="E25" i="11"/>
  <c r="E29" i="11"/>
  <c r="E10" i="11"/>
  <c r="E17" i="11"/>
  <c r="E23" i="11" s="1"/>
  <c r="G29" i="11"/>
  <c r="G25" i="11"/>
  <c r="G17" i="11"/>
  <c r="G23" i="11" s="1"/>
  <c r="G10" i="11"/>
  <c r="K29" i="11"/>
  <c r="K25" i="11"/>
  <c r="H29" i="25" s="1"/>
  <c r="K17" i="11"/>
  <c r="K23" i="11" s="1"/>
  <c r="K10" i="11"/>
  <c r="N22" i="11"/>
  <c r="O22" i="11"/>
  <c r="G40" i="11"/>
  <c r="N32" i="11"/>
  <c r="O32" i="11"/>
  <c r="C38" i="11"/>
  <c r="C43" i="11"/>
  <c r="F40" i="11"/>
  <c r="E40" i="11"/>
  <c r="H40" i="11"/>
  <c r="D40" i="11"/>
  <c r="B21" i="12"/>
  <c r="D21" i="12" s="1"/>
  <c r="D20" i="12"/>
  <c r="E20" i="12" s="1"/>
  <c r="E19" i="12"/>
  <c r="I17" i="9"/>
  <c r="J17" i="9"/>
  <c r="C17" i="9"/>
  <c r="C15" i="11" s="1"/>
  <c r="L17" i="9"/>
  <c r="E17" i="9"/>
  <c r="E15" i="11" s="1"/>
  <c r="G17" i="9"/>
  <c r="G15" i="11" s="1"/>
  <c r="K17" i="9"/>
  <c r="H17" i="9"/>
  <c r="D17" i="9"/>
  <c r="D15" i="11" s="1"/>
  <c r="F17" i="9"/>
  <c r="F15" i="11" s="1"/>
  <c r="N23" i="1"/>
  <c r="N4" i="1" s="1"/>
  <c r="I24" i="1"/>
  <c r="N9" i="11" l="1"/>
  <c r="H15" i="11"/>
  <c r="E13" i="25"/>
  <c r="L15" i="11"/>
  <c r="I13" i="25"/>
  <c r="K15" i="11"/>
  <c r="H13" i="25"/>
  <c r="J15" i="11"/>
  <c r="G13" i="25"/>
  <c r="I15" i="11"/>
  <c r="F13" i="25"/>
  <c r="H55" i="24"/>
  <c r="H61" i="24" s="1"/>
  <c r="H67" i="24" s="1"/>
  <c r="F22" i="25" s="1"/>
  <c r="F9" i="25" s="1"/>
  <c r="H49" i="24"/>
  <c r="G55" i="24"/>
  <c r="G61" i="24" s="1"/>
  <c r="G67" i="24" s="1"/>
  <c r="E22" i="25" s="1"/>
  <c r="E9" i="25" s="1"/>
  <c r="G49" i="24"/>
  <c r="J55" i="24"/>
  <c r="J61" i="24" s="1"/>
  <c r="J67" i="24" s="1"/>
  <c r="H22" i="25" s="1"/>
  <c r="H9" i="25" s="1"/>
  <c r="J49" i="24"/>
  <c r="I55" i="24"/>
  <c r="I61" i="24" s="1"/>
  <c r="I67" i="24" s="1"/>
  <c r="G22" i="25" s="1"/>
  <c r="G9" i="25" s="1"/>
  <c r="I49" i="24"/>
  <c r="K55" i="24"/>
  <c r="K61" i="24" s="1"/>
  <c r="K67" i="24" s="1"/>
  <c r="I22" i="25" s="1"/>
  <c r="I9" i="25" s="1"/>
  <c r="K49" i="24"/>
  <c r="J70" i="9"/>
  <c r="H71" i="23"/>
  <c r="H70" i="9"/>
  <c r="F71" i="23"/>
  <c r="E74" i="23"/>
  <c r="E72" i="23"/>
  <c r="E83" i="23"/>
  <c r="K70" i="9"/>
  <c r="I71" i="23"/>
  <c r="L70" i="9"/>
  <c r="J71" i="23"/>
  <c r="G71" i="23"/>
  <c r="F70" i="9"/>
  <c r="D71" i="23"/>
  <c r="J43" i="11"/>
  <c r="I8" i="12"/>
  <c r="I10" i="12"/>
  <c r="I15" i="12"/>
  <c r="I11" i="12"/>
  <c r="I9" i="12"/>
  <c r="J9" i="12" s="1"/>
  <c r="I12" i="12"/>
  <c r="I17" i="12"/>
  <c r="I14" i="12"/>
  <c r="I13" i="12"/>
  <c r="I16" i="12"/>
  <c r="N25" i="1"/>
  <c r="N14" i="1" s="1"/>
  <c r="H43" i="11"/>
  <c r="F43" i="11"/>
  <c r="L43" i="11"/>
  <c r="I23" i="17"/>
  <c r="I31" i="17"/>
  <c r="K43" i="11"/>
  <c r="E43" i="11"/>
  <c r="D43" i="11"/>
  <c r="N24" i="1"/>
  <c r="N6" i="1" s="1"/>
  <c r="M6" i="1"/>
  <c r="M10" i="1" s="1"/>
  <c r="M12" i="1" s="1"/>
  <c r="M13" i="1" s="1"/>
  <c r="M15" i="1" s="1"/>
  <c r="G70" i="9"/>
  <c r="G43" i="11"/>
  <c r="J10" i="17"/>
  <c r="C40" i="11"/>
  <c r="N38" i="11"/>
  <c r="O38" i="11"/>
  <c r="E21" i="12"/>
  <c r="I70" i="9"/>
  <c r="I43" i="11"/>
  <c r="N25" i="11"/>
  <c r="O25" i="11"/>
  <c r="N37" i="11"/>
  <c r="O37" i="11"/>
  <c r="O10" i="11"/>
  <c r="N10" i="11"/>
  <c r="O39" i="11"/>
  <c r="N39" i="11"/>
  <c r="N17" i="11"/>
  <c r="O17" i="11"/>
  <c r="C23" i="11"/>
  <c r="O29" i="11"/>
  <c r="N29" i="11"/>
  <c r="F23" i="9"/>
  <c r="F16" i="11" s="1"/>
  <c r="F31" i="9"/>
  <c r="E50" i="24" s="1"/>
  <c r="E52" i="24" s="1"/>
  <c r="L23" i="9"/>
  <c r="L31" i="9"/>
  <c r="I15" i="25" s="1"/>
  <c r="H23" i="9"/>
  <c r="H31" i="9"/>
  <c r="E15" i="25" s="1"/>
  <c r="G23" i="9"/>
  <c r="G16" i="11" s="1"/>
  <c r="G31" i="9"/>
  <c r="F50" i="24" s="1"/>
  <c r="F52" i="24" s="1"/>
  <c r="J23" i="9"/>
  <c r="J31" i="9"/>
  <c r="G15" i="25" s="1"/>
  <c r="D23" i="9"/>
  <c r="D16" i="11" s="1"/>
  <c r="D31" i="9"/>
  <c r="K23" i="9"/>
  <c r="K31" i="9"/>
  <c r="H15" i="25" s="1"/>
  <c r="E23" i="9"/>
  <c r="E16" i="11" s="1"/>
  <c r="E31" i="9"/>
  <c r="C23" i="9"/>
  <c r="C16" i="11" s="1"/>
  <c r="C31" i="9"/>
  <c r="I23" i="9"/>
  <c r="I31" i="9"/>
  <c r="F15" i="25" s="1"/>
  <c r="N15" i="11" l="1"/>
  <c r="O15" i="11"/>
  <c r="I16" i="11"/>
  <c r="F14" i="25"/>
  <c r="L16" i="11"/>
  <c r="I14" i="25"/>
  <c r="K16" i="11"/>
  <c r="H14" i="25"/>
  <c r="J16" i="11"/>
  <c r="G14" i="25"/>
  <c r="H16" i="11"/>
  <c r="E14" i="25"/>
  <c r="H38" i="16"/>
  <c r="H40" i="16" s="1"/>
  <c r="H61" i="16" s="1"/>
  <c r="I50" i="24"/>
  <c r="I52" i="24" s="1"/>
  <c r="F38" i="16"/>
  <c r="F40" i="16" s="1"/>
  <c r="G50" i="24"/>
  <c r="G52" i="24" s="1"/>
  <c r="I38" i="16"/>
  <c r="J50" i="24"/>
  <c r="J52" i="24" s="1"/>
  <c r="G38" i="16"/>
  <c r="H50" i="24"/>
  <c r="H52" i="24" s="1"/>
  <c r="J38" i="16"/>
  <c r="K50" i="24"/>
  <c r="K52" i="24" s="1"/>
  <c r="G74" i="23"/>
  <c r="G72" i="23"/>
  <c r="G83" i="23"/>
  <c r="J83" i="23"/>
  <c r="J72" i="23"/>
  <c r="J74" i="23"/>
  <c r="F74" i="23"/>
  <c r="F72" i="23"/>
  <c r="F83" i="23"/>
  <c r="J17" i="12"/>
  <c r="J15" i="12"/>
  <c r="D83" i="23"/>
  <c r="D72" i="23"/>
  <c r="D74" i="23"/>
  <c r="H83" i="23"/>
  <c r="H74" i="23"/>
  <c r="H72" i="23"/>
  <c r="J12" i="12"/>
  <c r="J10" i="12"/>
  <c r="I74" i="23"/>
  <c r="I83" i="23"/>
  <c r="I72" i="23"/>
  <c r="E93" i="23"/>
  <c r="E94" i="23" s="1"/>
  <c r="E76" i="23"/>
  <c r="J14" i="12"/>
  <c r="J16" i="12"/>
  <c r="J13" i="12"/>
  <c r="I18" i="12"/>
  <c r="J18" i="12" s="1"/>
  <c r="I19" i="12"/>
  <c r="I20" i="12"/>
  <c r="I21" i="12"/>
  <c r="J11" i="12"/>
  <c r="E11" i="11"/>
  <c r="N43" i="11"/>
  <c r="M5" i="1"/>
  <c r="O43" i="11"/>
  <c r="K11" i="11"/>
  <c r="F48" i="16"/>
  <c r="F50" i="16" s="1"/>
  <c r="I11" i="11"/>
  <c r="D11" i="11"/>
  <c r="G11" i="11"/>
  <c r="L11" i="11"/>
  <c r="H48" i="16"/>
  <c r="H50" i="16" s="1"/>
  <c r="H53" i="16" s="1"/>
  <c r="H60" i="16" s="1"/>
  <c r="K10" i="17"/>
  <c r="K12" i="17" s="1"/>
  <c r="D24" i="17" s="1"/>
  <c r="D28" i="17" s="1"/>
  <c r="F23" i="17" s="1"/>
  <c r="O23" i="11"/>
  <c r="N23" i="11"/>
  <c r="J11" i="11"/>
  <c r="H11" i="11"/>
  <c r="F11" i="11"/>
  <c r="O40" i="11"/>
  <c r="N40" i="11"/>
  <c r="I32" i="9"/>
  <c r="I18" i="11" s="1"/>
  <c r="I37" i="9"/>
  <c r="G60" i="23" s="1"/>
  <c r="I35" i="9"/>
  <c r="E37" i="9"/>
  <c r="E32" i="9"/>
  <c r="E18" i="11" s="1"/>
  <c r="E35" i="9"/>
  <c r="D37" i="9"/>
  <c r="D32" i="9"/>
  <c r="D18" i="11" s="1"/>
  <c r="D35" i="9"/>
  <c r="L37" i="9"/>
  <c r="J60" i="23" s="1"/>
  <c r="L32" i="9"/>
  <c r="L18" i="11" s="1"/>
  <c r="L35" i="9"/>
  <c r="C37" i="9"/>
  <c r="C27" i="11" s="1"/>
  <c r="C35" i="9"/>
  <c r="C32" i="9"/>
  <c r="C18" i="11" s="1"/>
  <c r="K37" i="9"/>
  <c r="I60" i="23" s="1"/>
  <c r="K32" i="9"/>
  <c r="K18" i="11" s="1"/>
  <c r="K35" i="9"/>
  <c r="J35" i="9"/>
  <c r="J32" i="9"/>
  <c r="J18" i="11" s="1"/>
  <c r="J37" i="9"/>
  <c r="H60" i="23" s="1"/>
  <c r="H32" i="9"/>
  <c r="H18" i="11" s="1"/>
  <c r="H37" i="9"/>
  <c r="F60" i="23" s="1"/>
  <c r="H35" i="9"/>
  <c r="F35" i="9"/>
  <c r="F32" i="9"/>
  <c r="F18" i="11" s="1"/>
  <c r="F37" i="9"/>
  <c r="D60" i="23" s="1"/>
  <c r="G37" i="9"/>
  <c r="E60" i="23" s="1"/>
  <c r="G35" i="9"/>
  <c r="G32" i="9"/>
  <c r="G18" i="11" s="1"/>
  <c r="N10" i="1"/>
  <c r="N12" i="1" s="1"/>
  <c r="N13" i="1" s="1"/>
  <c r="N15" i="1" s="1"/>
  <c r="N5" i="1"/>
  <c r="N16" i="11" l="1"/>
  <c r="O16" i="11"/>
  <c r="J21" i="12"/>
  <c r="I76" i="23"/>
  <c r="I93" i="23"/>
  <c r="I94" i="23" s="1"/>
  <c r="H93" i="23"/>
  <c r="H94" i="23" s="1"/>
  <c r="H76" i="23"/>
  <c r="E66" i="23"/>
  <c r="E62" i="23"/>
  <c r="I66" i="23"/>
  <c r="I62" i="23"/>
  <c r="F93" i="23"/>
  <c r="F94" i="23" s="1"/>
  <c r="F76" i="23"/>
  <c r="D66" i="23"/>
  <c r="D62" i="23"/>
  <c r="F66" i="23"/>
  <c r="F62" i="23"/>
  <c r="D93" i="23"/>
  <c r="D94" i="23" s="1"/>
  <c r="D76" i="23"/>
  <c r="J76" i="23"/>
  <c r="J93" i="23"/>
  <c r="J94" i="23" s="1"/>
  <c r="H66" i="23"/>
  <c r="H62" i="23"/>
  <c r="J66" i="23"/>
  <c r="J62" i="23"/>
  <c r="G66" i="23"/>
  <c r="G62" i="23"/>
  <c r="G93" i="23"/>
  <c r="G94" i="23" s="1"/>
  <c r="G76" i="23"/>
  <c r="J19" i="12"/>
  <c r="J20" i="12"/>
  <c r="D32" i="17"/>
  <c r="O11" i="11"/>
  <c r="H63" i="16"/>
  <c r="J40" i="16"/>
  <c r="J61" i="16" s="1"/>
  <c r="J48" i="16"/>
  <c r="J50" i="16" s="1"/>
  <c r="J53" i="16" s="1"/>
  <c r="J60" i="16" s="1"/>
  <c r="G48" i="16"/>
  <c r="G50" i="16" s="1"/>
  <c r="G53" i="16" s="1"/>
  <c r="G40" i="16"/>
  <c r="G61" i="16" s="1"/>
  <c r="I48" i="16"/>
  <c r="I50" i="16" s="1"/>
  <c r="I40" i="16"/>
  <c r="I61" i="16" s="1"/>
  <c r="K15" i="17"/>
  <c r="N11" i="11"/>
  <c r="G27" i="11"/>
  <c r="G12" i="11"/>
  <c r="F27" i="11"/>
  <c r="F12" i="11"/>
  <c r="H27" i="11"/>
  <c r="E28" i="25" s="1"/>
  <c r="H12" i="11"/>
  <c r="N18" i="11"/>
  <c r="O18" i="11"/>
  <c r="D27" i="11"/>
  <c r="D12" i="11"/>
  <c r="J27" i="11"/>
  <c r="G28" i="25" s="1"/>
  <c r="J12" i="11"/>
  <c r="K27" i="11"/>
  <c r="H28" i="25" s="1"/>
  <c r="K12" i="11"/>
  <c r="E27" i="11"/>
  <c r="E12" i="11"/>
  <c r="L27" i="11"/>
  <c r="I28" i="25" s="1"/>
  <c r="L12" i="11"/>
  <c r="I27" i="11"/>
  <c r="F28" i="25" s="1"/>
  <c r="I12" i="11"/>
  <c r="G42" i="9"/>
  <c r="G38" i="9"/>
  <c r="G19" i="11" s="1"/>
  <c r="K42" i="9"/>
  <c r="K38" i="9"/>
  <c r="E42" i="9"/>
  <c r="E38" i="9"/>
  <c r="E19" i="11" s="1"/>
  <c r="F42" i="9"/>
  <c r="F38" i="9"/>
  <c r="F19" i="11" s="1"/>
  <c r="H42" i="9"/>
  <c r="H38" i="9"/>
  <c r="D42" i="9"/>
  <c r="D38" i="9"/>
  <c r="D19" i="11" s="1"/>
  <c r="L42" i="9"/>
  <c r="L38" i="9"/>
  <c r="I42" i="9"/>
  <c r="I38" i="9"/>
  <c r="J42" i="9"/>
  <c r="J38" i="9"/>
  <c r="C42" i="9"/>
  <c r="C38" i="9"/>
  <c r="C19" i="11" s="1"/>
  <c r="K19" i="11" l="1"/>
  <c r="H16" i="25"/>
  <c r="J19" i="11"/>
  <c r="G16" i="25"/>
  <c r="H19" i="11"/>
  <c r="E16" i="25"/>
  <c r="I19" i="11"/>
  <c r="F16" i="25"/>
  <c r="F17" i="25"/>
  <c r="F24" i="25"/>
  <c r="H24" i="25"/>
  <c r="H17" i="25"/>
  <c r="L19" i="11"/>
  <c r="I16" i="25"/>
  <c r="G24" i="25"/>
  <c r="G17" i="25"/>
  <c r="I24" i="25"/>
  <c r="I17" i="25"/>
  <c r="E17" i="25"/>
  <c r="E24" i="25"/>
  <c r="N8" i="12" a="1"/>
  <c r="N15" i="12" s="1"/>
  <c r="H68" i="23"/>
  <c r="H82" i="23"/>
  <c r="I82" i="23"/>
  <c r="I68" i="23"/>
  <c r="I78" i="23" s="1"/>
  <c r="G82" i="23"/>
  <c r="G68" i="23"/>
  <c r="G78" i="23" s="1"/>
  <c r="D68" i="23"/>
  <c r="D78" i="23" s="1"/>
  <c r="D82" i="23"/>
  <c r="H78" i="23"/>
  <c r="J82" i="23"/>
  <c r="J68" i="23"/>
  <c r="J78" i="23" s="1"/>
  <c r="F82" i="23"/>
  <c r="F68" i="23"/>
  <c r="F78" i="23" s="1"/>
  <c r="E82" i="23"/>
  <c r="E68" i="23"/>
  <c r="E78" i="23" s="1"/>
  <c r="J63" i="16"/>
  <c r="I53" i="16"/>
  <c r="I60" i="16" s="1"/>
  <c r="I63" i="16" s="1"/>
  <c r="G60" i="16"/>
  <c r="G63" i="16" s="1"/>
  <c r="N27" i="11"/>
  <c r="O27" i="11"/>
  <c r="N12" i="11"/>
  <c r="O12" i="11"/>
  <c r="C46" i="9"/>
  <c r="C48" i="9" s="1"/>
  <c r="C26" i="11" s="1"/>
  <c r="I43" i="9"/>
  <c r="F18" i="25" s="1"/>
  <c r="I46" i="9"/>
  <c r="I48" i="9" s="1"/>
  <c r="D43" i="9"/>
  <c r="D46" i="9"/>
  <c r="D48" i="9" s="1"/>
  <c r="D26" i="11" s="1"/>
  <c r="D28" i="11" s="1"/>
  <c r="F46" i="9"/>
  <c r="F48" i="9" s="1"/>
  <c r="F43" i="9"/>
  <c r="K43" i="9"/>
  <c r="H18" i="25" s="1"/>
  <c r="K46" i="9"/>
  <c r="K48" i="9" s="1"/>
  <c r="J43" i="9"/>
  <c r="G18" i="25" s="1"/>
  <c r="J46" i="9"/>
  <c r="J48" i="9" s="1"/>
  <c r="L43" i="9"/>
  <c r="I18" i="25" s="1"/>
  <c r="L46" i="9"/>
  <c r="H43" i="9"/>
  <c r="E18" i="25" s="1"/>
  <c r="H46" i="9"/>
  <c r="H48" i="9" s="1"/>
  <c r="E46" i="9"/>
  <c r="E48" i="9" s="1"/>
  <c r="E26" i="11" s="1"/>
  <c r="E28" i="11" s="1"/>
  <c r="E43" i="9"/>
  <c r="G43" i="9"/>
  <c r="G46" i="9"/>
  <c r="G48" i="9" s="1"/>
  <c r="O19" i="11" l="1"/>
  <c r="N8" i="12"/>
  <c r="N11" i="12"/>
  <c r="O12" i="12" s="1"/>
  <c r="N19" i="11"/>
  <c r="N13" i="12"/>
  <c r="O14" i="12" s="1"/>
  <c r="N12" i="12"/>
  <c r="N16" i="12"/>
  <c r="O16" i="12" s="1"/>
  <c r="N17" i="12"/>
  <c r="N9" i="12"/>
  <c r="N14" i="12"/>
  <c r="N10" i="12"/>
  <c r="O11" i="12" s="1"/>
  <c r="K26" i="11"/>
  <c r="K28" i="11" s="1"/>
  <c r="J44" i="24"/>
  <c r="J46" i="24" s="1"/>
  <c r="J68" i="24" s="1"/>
  <c r="J69" i="24" s="1"/>
  <c r="G26" i="11"/>
  <c r="G28" i="11" s="1"/>
  <c r="F44" i="24"/>
  <c r="F46" i="24" s="1"/>
  <c r="F68" i="24" s="1"/>
  <c r="F69" i="24" s="1"/>
  <c r="H26" i="11"/>
  <c r="H28" i="11" s="1"/>
  <c r="G44" i="24"/>
  <c r="G46" i="24" s="1"/>
  <c r="G68" i="24" s="1"/>
  <c r="G69" i="24" s="1"/>
  <c r="J26" i="11"/>
  <c r="J28" i="11" s="1"/>
  <c r="I44" i="24"/>
  <c r="I46" i="24" s="1"/>
  <c r="I68" i="24" s="1"/>
  <c r="I69" i="24" s="1"/>
  <c r="I26" i="11"/>
  <c r="I28" i="11" s="1"/>
  <c r="H44" i="24"/>
  <c r="H46" i="24" s="1"/>
  <c r="H68" i="24" s="1"/>
  <c r="H69" i="24" s="1"/>
  <c r="F26" i="11"/>
  <c r="F28" i="11" s="1"/>
  <c r="E44" i="24"/>
  <c r="E46" i="24" s="1"/>
  <c r="E68" i="24" s="1"/>
  <c r="E69" i="24" s="1"/>
  <c r="L48" i="9"/>
  <c r="K44" i="24" s="1"/>
  <c r="K46" i="24" s="1"/>
  <c r="K68" i="24" s="1"/>
  <c r="K69" i="24" s="1"/>
  <c r="O15" i="12"/>
  <c r="F88" i="23"/>
  <c r="F90" i="23" s="1"/>
  <c r="F96" i="23" s="1"/>
  <c r="F84" i="23"/>
  <c r="G88" i="23"/>
  <c r="G90" i="23" s="1"/>
  <c r="G96" i="23" s="1"/>
  <c r="G84" i="23"/>
  <c r="D88" i="23"/>
  <c r="D90" i="23" s="1"/>
  <c r="D96" i="23" s="1"/>
  <c r="D84" i="23"/>
  <c r="H88" i="23"/>
  <c r="H90" i="23" s="1"/>
  <c r="H96" i="23" s="1"/>
  <c r="H84" i="23"/>
  <c r="O13" i="12"/>
  <c r="E84" i="23"/>
  <c r="E88" i="23"/>
  <c r="E90" i="23" s="1"/>
  <c r="E96" i="23" s="1"/>
  <c r="J88" i="23"/>
  <c r="J90" i="23" s="1"/>
  <c r="J96" i="23" s="1"/>
  <c r="J84" i="23"/>
  <c r="I88" i="23"/>
  <c r="I90" i="23" s="1"/>
  <c r="I96" i="23" s="1"/>
  <c r="I84" i="23"/>
  <c r="J56" i="16"/>
  <c r="F11" i="17" s="1"/>
  <c r="G11" i="17" s="1"/>
  <c r="J55" i="16"/>
  <c r="J66" i="16"/>
  <c r="J65" i="16"/>
  <c r="C28" i="11"/>
  <c r="O17" i="12" l="1"/>
  <c r="N20" i="12"/>
  <c r="O10" i="12"/>
  <c r="O9" i="12"/>
  <c r="N19" i="12"/>
  <c r="O20" i="12" s="1"/>
  <c r="N18" i="12"/>
  <c r="O18" i="12" s="1"/>
  <c r="N21" i="12"/>
  <c r="O21" i="12" s="1"/>
  <c r="L26" i="11"/>
  <c r="L28" i="11" s="1"/>
  <c r="N28" i="11" s="1"/>
  <c r="F12" i="17"/>
  <c r="H11" i="17"/>
  <c r="G12" i="17"/>
  <c r="G15" i="17" s="1"/>
  <c r="O19" i="12" l="1"/>
  <c r="O28" i="11"/>
  <c r="O26" i="11"/>
  <c r="N26" i="11"/>
  <c r="I11" i="17"/>
  <c r="H12" i="17"/>
  <c r="H15" i="17" s="1"/>
  <c r="J11" i="17" l="1"/>
  <c r="J12" i="17" s="1"/>
  <c r="J15" i="17" s="1"/>
  <c r="I12" i="17"/>
  <c r="I15" i="17" s="1"/>
  <c r="D31" i="17" l="1"/>
  <c r="D33" i="17" s="1"/>
  <c r="D37" i="17" l="1"/>
  <c r="D39" i="17" l="1"/>
  <c r="D42" i="17" l="1"/>
  <c r="F31" i="17"/>
</calcChain>
</file>

<file path=xl/sharedStrings.xml><?xml version="1.0" encoding="utf-8"?>
<sst xmlns="http://schemas.openxmlformats.org/spreadsheetml/2006/main" count="2501" uniqueCount="1709">
  <si>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</si>
  <si>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</si>
  <si>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</si>
  <si>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</si>
  <si>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</si>
  <si>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</si>
  <si>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</si>
  <si>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</si>
  <si>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</si>
  <si>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</si>
  <si>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</si>
  <si>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</si>
  <si>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</si>
  <si>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</si>
  <si>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</si>
  <si>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</si>
  <si>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</si>
  <si>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</si>
  <si>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</si>
  <si>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</si>
  <si>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</si>
  <si>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</si>
  <si>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</si>
  <si>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</si>
  <si>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</si>
  <si>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</si>
  <si>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</si>
  <si>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</si>
  <si>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</si>
  <si>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</si>
  <si>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</si>
  <si>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</si>
  <si>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</si>
  <si>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</si>
  <si>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</si>
  <si>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</si>
  <si>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</si>
  <si>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</si>
  <si>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</si>
  <si>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</si>
  <si>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</si>
  <si>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</si>
  <si>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</si>
  <si>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</si>
  <si>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</si>
  <si>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</si>
  <si>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</si>
  <si>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</si>
  <si>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</si>
  <si>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</si>
  <si>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</si>
  <si>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</si>
  <si>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</si>
  <si>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</si>
  <si>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</si>
  <si>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</si>
  <si>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</si>
  <si>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</si>
  <si>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</si>
  <si>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</si>
  <si>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</si>
  <si>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</si>
  <si>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</si>
  <si>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DABUR INDIA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</si>
  <si>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</si>
  <si>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</si>
  <si>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</si>
  <si>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</si>
  <si>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</si>
  <si>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</si>
  <si>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</si>
  <si>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</si>
  <si>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</si>
  <si>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</si>
  <si>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</si>
  <si>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</si>
  <si>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</si>
  <si>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</si>
  <si>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</si>
  <si>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</si>
  <si>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</si>
  <si>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</si>
  <si>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</si>
  <si>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</si>
  <si>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</si>
  <si>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</si>
  <si>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</si>
  <si>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</si>
  <si>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</si>
  <si>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</si>
  <si>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</si>
  <si>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</si>
  <si>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</si>
  <si>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Years</t>
  </si>
  <si>
    <t>LTM</t>
  </si>
  <si>
    <t>#</t>
  </si>
  <si>
    <t>Income Statement</t>
  </si>
  <si>
    <t xml:space="preserve">Sales Growth </t>
  </si>
  <si>
    <t>-</t>
  </si>
  <si>
    <t>COGS</t>
  </si>
  <si>
    <t>COGS % Sales</t>
  </si>
  <si>
    <t>Gross Profit</t>
  </si>
  <si>
    <t>Selling &amp; General Expenses</t>
  </si>
  <si>
    <t>S&amp;G Expenses % Sales</t>
  </si>
  <si>
    <t>EBITDA</t>
  </si>
  <si>
    <t>EBITDA Margins</t>
  </si>
  <si>
    <t>Gross Profit % Sales</t>
  </si>
  <si>
    <t>Interest % Sales</t>
  </si>
  <si>
    <t>Depreciation % Sales</t>
  </si>
  <si>
    <t>Earning Before Tax</t>
  </si>
  <si>
    <t>EBT % Sales</t>
  </si>
  <si>
    <t>Effective Tax Rate</t>
  </si>
  <si>
    <t>Net Profit</t>
  </si>
  <si>
    <t>Net Margins</t>
  </si>
  <si>
    <t>Earning Per Share</t>
  </si>
  <si>
    <t>Dividend Per Share</t>
  </si>
  <si>
    <t>EPS Growth</t>
  </si>
  <si>
    <t>Dividend Payout Ratio</t>
  </si>
  <si>
    <t>Retained Earning</t>
  </si>
  <si>
    <t>Balance Sheet</t>
  </si>
  <si>
    <t>Total Liabilities</t>
  </si>
  <si>
    <t>Total Non-Current Assets</t>
  </si>
  <si>
    <t>Total Current Assets</t>
  </si>
  <si>
    <t>Check</t>
  </si>
  <si>
    <t>Total Assets</t>
  </si>
  <si>
    <t>Cash Flow Statement</t>
  </si>
  <si>
    <t>Cash Flow from Operating Activities</t>
  </si>
  <si>
    <t>Cash Flow from Investing Activities</t>
  </si>
  <si>
    <t>Cash Flow from Financing Activities</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</si>
  <si>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</si>
  <si>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</si>
  <si>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</si>
  <si>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</si>
  <si>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</si>
  <si>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</si>
  <si>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</si>
  <si>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</si>
  <si>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</si>
  <si>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</si>
  <si>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</si>
  <si>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</si>
  <si>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</si>
  <si>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</si>
  <si>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Interest Coverage Ratio</t>
  </si>
  <si>
    <t>Self Sustained Growth Rate</t>
  </si>
  <si>
    <t>Debtor Turnover Ratio</t>
  </si>
  <si>
    <t>Credit Turnover Ratio</t>
  </si>
  <si>
    <t>Inventory Turnover Ratio</t>
  </si>
  <si>
    <t>Fixed Assets Turnover Ratio</t>
  </si>
  <si>
    <t>Capital Turnover Ratio</t>
  </si>
  <si>
    <t>Debtors days</t>
  </si>
  <si>
    <t>Creditors days</t>
  </si>
  <si>
    <t>Inventory days</t>
  </si>
  <si>
    <t>Cash Conversion Cycle</t>
  </si>
  <si>
    <t>CFO/Sales</t>
  </si>
  <si>
    <t>CFO/Total Assets</t>
  </si>
  <si>
    <t>CFO/Total Debt</t>
  </si>
  <si>
    <t>Mean</t>
  </si>
  <si>
    <t>Median</t>
  </si>
  <si>
    <t>Trend</t>
  </si>
  <si>
    <t>Year</t>
  </si>
  <si>
    <t>Year Weight</t>
  </si>
  <si>
    <t>Particulars</t>
  </si>
  <si>
    <t xml:space="preserve"> Other Assets</t>
  </si>
  <si>
    <t>Equity Capital</t>
  </si>
  <si>
    <t>Borrowings -</t>
  </si>
  <si>
    <t>Other Borrowings</t>
  </si>
  <si>
    <t>Other Liabilities -</t>
  </si>
  <si>
    <t>Non controlling int</t>
  </si>
  <si>
    <t>Trade Payables</t>
  </si>
  <si>
    <t>Other liability items</t>
  </si>
  <si>
    <t>Fixed Assets -</t>
  </si>
  <si>
    <t>Building</t>
  </si>
  <si>
    <t>Other fixed assets</t>
  </si>
  <si>
    <t>Gross Block</t>
  </si>
  <si>
    <t>Accumulated Depreciation</t>
  </si>
  <si>
    <t>CWIP</t>
  </si>
  <si>
    <t>Other Assets -</t>
  </si>
  <si>
    <t>Cash Equivalents</t>
  </si>
  <si>
    <t>Other asset items</t>
  </si>
  <si>
    <t>Calculation of ROIC</t>
  </si>
  <si>
    <t>Current Assets</t>
  </si>
  <si>
    <t>Current Liabilities</t>
  </si>
  <si>
    <t>Total Current Liabilities</t>
  </si>
  <si>
    <t>Non-Current Assets</t>
  </si>
  <si>
    <t>Net Non-Current Assets</t>
  </si>
  <si>
    <t>Net Working Capital</t>
  </si>
  <si>
    <t xml:space="preserve">Invested Capital </t>
  </si>
  <si>
    <t>EBIT</t>
  </si>
  <si>
    <t>ROIC</t>
  </si>
  <si>
    <t>Net Capex</t>
  </si>
  <si>
    <t>Cash Flow Statements</t>
  </si>
  <si>
    <t>Profit from operations</t>
  </si>
  <si>
    <t>Other WC items</t>
  </si>
  <si>
    <t>Working capital changes</t>
  </si>
  <si>
    <t>Direct taxes</t>
  </si>
  <si>
    <t>Cash from Investing Activity -</t>
  </si>
  <si>
    <t>Fixed assets purchased</t>
  </si>
  <si>
    <t>Fixed assets sold</t>
  </si>
  <si>
    <t>Investments sold</t>
  </si>
  <si>
    <t>Invest in subsidiaries</t>
  </si>
  <si>
    <t>Other investing items</t>
  </si>
  <si>
    <t>Cash from Financing Activity -</t>
  </si>
  <si>
    <t>Proceeds from shares</t>
  </si>
  <si>
    <t>Proceeds from borrowings</t>
  </si>
  <si>
    <t>Repayment of borrowings</t>
  </si>
  <si>
    <t>Dividends paid</t>
  </si>
  <si>
    <t>Other financing items</t>
  </si>
  <si>
    <t xml:space="preserve">Change in Working Capital </t>
  </si>
  <si>
    <t>Marginal Tax Rate</t>
  </si>
  <si>
    <t>EBT</t>
  </si>
  <si>
    <t xml:space="preserve">Reinvestment </t>
  </si>
  <si>
    <t xml:space="preserve"> </t>
  </si>
  <si>
    <t xml:space="preserve">Reinvestment Rate </t>
  </si>
  <si>
    <t>Calculation of Reinvestment Rate</t>
  </si>
  <si>
    <t>4 Years Average</t>
  </si>
  <si>
    <t>4 Years Median</t>
  </si>
  <si>
    <t>Calculation of Growth Rate</t>
  </si>
  <si>
    <t>Reinvestment Rate</t>
  </si>
  <si>
    <t>Intrinsic Growth Rate</t>
  </si>
  <si>
    <t>Calculation of PV of FCFF</t>
  </si>
  <si>
    <t>Tax Rate</t>
  </si>
  <si>
    <t>EBIT(1-T)</t>
  </si>
  <si>
    <t>less: Reinvestment Rate</t>
  </si>
  <si>
    <t>Free Cash Flows to Firm</t>
  </si>
  <si>
    <t>Mid Year Convention</t>
  </si>
  <si>
    <t>PV of FCFF</t>
  </si>
  <si>
    <t xml:space="preserve">Expected Growth </t>
  </si>
  <si>
    <t xml:space="preserve">Terminal Growth </t>
  </si>
  <si>
    <t>WACC</t>
  </si>
  <si>
    <t>Discounting Factor</t>
  </si>
  <si>
    <t>FCFF (n+1)</t>
  </si>
  <si>
    <t>Terminal Growth Rate</t>
  </si>
  <si>
    <t>Terminal Value</t>
  </si>
  <si>
    <t>Calculation of Equity Value</t>
  </si>
  <si>
    <t>Calculation of Terminal Value</t>
  </si>
  <si>
    <t>PV of Terminal Value</t>
  </si>
  <si>
    <t>Value of Operating Activities</t>
  </si>
  <si>
    <t>Add : Cash</t>
  </si>
  <si>
    <t>Less : Debt</t>
  </si>
  <si>
    <t>Equity Value</t>
  </si>
  <si>
    <t>No. of Shares</t>
  </si>
  <si>
    <t>Equity Value per Share</t>
  </si>
  <si>
    <t>Share Price</t>
  </si>
  <si>
    <t>Discount/Premium</t>
  </si>
  <si>
    <t>Short Term Borrowing</t>
  </si>
  <si>
    <t>Long Term Borrowing</t>
  </si>
  <si>
    <t>Lease Liabilities</t>
  </si>
  <si>
    <t>Advance from Customers</t>
  </si>
  <si>
    <t>Land</t>
  </si>
  <si>
    <t>Plant Machinery</t>
  </si>
  <si>
    <t>Equipments</t>
  </si>
  <si>
    <t>Furniture n fittings</t>
  </si>
  <si>
    <t>Vehicles</t>
  </si>
  <si>
    <t>Intangible Assets</t>
  </si>
  <si>
    <t>`</t>
  </si>
  <si>
    <t>Inventories</t>
  </si>
  <si>
    <t>Short term loans</t>
  </si>
  <si>
    <t>Trade receivables</t>
  </si>
  <si>
    <t>Payables</t>
  </si>
  <si>
    <t>Cash from operating activities</t>
  </si>
  <si>
    <t>Investments purchased</t>
  </si>
  <si>
    <t>Interest received</t>
  </si>
  <si>
    <t>Interest paid fin</t>
  </si>
  <si>
    <t>Financial liabilities</t>
  </si>
  <si>
    <t>Comps Data</t>
  </si>
  <si>
    <t>Comparable Company Valuation</t>
  </si>
  <si>
    <t>Company</t>
  </si>
  <si>
    <t>Ticker</t>
  </si>
  <si>
    <t>Net Debt</t>
  </si>
  <si>
    <t>Enterprise Value</t>
  </si>
  <si>
    <t>Revenue</t>
  </si>
  <si>
    <t>Net Income</t>
  </si>
  <si>
    <t>Shares 
Outstanding</t>
  </si>
  <si>
    <t>Share 
Price</t>
  </si>
  <si>
    <t>Equity 
Value</t>
  </si>
  <si>
    <t>Market Data</t>
  </si>
  <si>
    <t>Financials</t>
  </si>
  <si>
    <t>Valuation</t>
  </si>
  <si>
    <t>Nestle India</t>
  </si>
  <si>
    <t>Varun Beverages</t>
  </si>
  <si>
    <t>Britannia Inds.</t>
  </si>
  <si>
    <t>Godrej Consumer</t>
  </si>
  <si>
    <t>Dabur India</t>
  </si>
  <si>
    <t>Colgate-Palmoliv</t>
  </si>
  <si>
    <t>P &amp; G Hygiene</t>
  </si>
  <si>
    <t>Emami</t>
  </si>
  <si>
    <t>Gillette India</t>
  </si>
  <si>
    <t>S.No.</t>
  </si>
  <si>
    <t>Name</t>
  </si>
  <si>
    <t>CMP Rs.</t>
  </si>
  <si>
    <t>No. Eq. Shares Cr.</t>
  </si>
  <si>
    <t>Debt Rs.Cr.</t>
  </si>
  <si>
    <t>Cash End Rs.Cr.</t>
  </si>
  <si>
    <t>EV Rs.Cr.</t>
  </si>
  <si>
    <t>Sales Rs.Cr.</t>
  </si>
  <si>
    <t>NP 12M Rs.Cr.</t>
  </si>
  <si>
    <t>Hind. Unilever</t>
  </si>
  <si>
    <t>EBITDA Cr.</t>
  </si>
  <si>
    <t xml:space="preserve">Mar Cap Rs.Cr. </t>
  </si>
  <si>
    <t>EV/Revenue</t>
  </si>
  <si>
    <t>EV/EBITDA</t>
  </si>
  <si>
    <t>P/E</t>
  </si>
  <si>
    <t>High</t>
  </si>
  <si>
    <t>75th Percentile</t>
  </si>
  <si>
    <t>Average</t>
  </si>
  <si>
    <t>25th Percentile</t>
  </si>
  <si>
    <t>Low</t>
  </si>
  <si>
    <t>Dabur Comparable Valuation</t>
  </si>
  <si>
    <t>Implied Enterprise Value</t>
  </si>
  <si>
    <t>Implied Market Value</t>
  </si>
  <si>
    <t>Shares Outstanding</t>
  </si>
  <si>
    <t>Implied Value per Share</t>
  </si>
  <si>
    <t>Amount in crores</t>
  </si>
  <si>
    <t>Peer Companies</t>
  </si>
  <si>
    <t>Debt /</t>
  </si>
  <si>
    <t>Levered</t>
  </si>
  <si>
    <t>Unlevered</t>
  </si>
  <si>
    <t>Name of the Company</t>
  </si>
  <si>
    <t>Country</t>
  </si>
  <si>
    <t>Total Debt</t>
  </si>
  <si>
    <t>Total Equity</t>
  </si>
  <si>
    <r>
      <t xml:space="preserve">Tax Rate </t>
    </r>
    <r>
      <rPr>
        <vertAlign val="superscript"/>
        <sz val="11"/>
        <color theme="1"/>
        <rFont val="Calibri"/>
        <family val="2"/>
      </rPr>
      <t>1</t>
    </r>
  </si>
  <si>
    <t>Equity</t>
  </si>
  <si>
    <t>Capital</t>
  </si>
  <si>
    <r>
      <t xml:space="preserve">Beta </t>
    </r>
    <r>
      <rPr>
        <vertAlign val="superscript"/>
        <sz val="11"/>
        <color theme="1"/>
        <rFont val="Calibri"/>
        <family val="2"/>
      </rPr>
      <t>2</t>
    </r>
  </si>
  <si>
    <r>
      <t xml:space="preserve">Beta </t>
    </r>
    <r>
      <rPr>
        <vertAlign val="superscript"/>
        <sz val="11"/>
        <color theme="1"/>
        <rFont val="Calibri"/>
        <family val="2"/>
      </rPr>
      <t>3</t>
    </r>
  </si>
  <si>
    <t>India</t>
  </si>
  <si>
    <t>Cost of Debt</t>
  </si>
  <si>
    <t>Return</t>
  </si>
  <si>
    <t>Average Return</t>
  </si>
  <si>
    <t>Dividend Yield</t>
  </si>
  <si>
    <t>Total Market Return</t>
  </si>
  <si>
    <t>Return on Market using Annual Return of 24 Years</t>
  </si>
  <si>
    <t>Cost of Equity</t>
  </si>
  <si>
    <t>Pre-Tax Cost of Debt</t>
  </si>
  <si>
    <t>Risk Free Rate</t>
  </si>
  <si>
    <t>Equity Risk Return</t>
  </si>
  <si>
    <t>Post-Tax Cost of Debt</t>
  </si>
  <si>
    <t>Levered Beta</t>
  </si>
  <si>
    <t>Capital Structure</t>
  </si>
  <si>
    <t xml:space="preserve">Levered Beta </t>
  </si>
  <si>
    <t>Current</t>
  </si>
  <si>
    <t>Target</t>
  </si>
  <si>
    <t xml:space="preserve">Comps Median Unlevered Beta </t>
  </si>
  <si>
    <t>Target Debt / Equity</t>
  </si>
  <si>
    <t>Total Capital</t>
  </si>
  <si>
    <t>Debt / Equity</t>
  </si>
  <si>
    <t>Wieghted Average Cost of Capital</t>
  </si>
  <si>
    <t>1. Tax Rate considered as Marginal Tax Rate for the country</t>
  </si>
  <si>
    <t>Total Cost</t>
  </si>
  <si>
    <t>Total Weight</t>
  </si>
  <si>
    <t>2. Levered Beta is based on 5 years monthly data</t>
  </si>
  <si>
    <t>Debt</t>
  </si>
  <si>
    <t>3. Unlevered Beta = Levered Beta/(1+(1-Tax Rate)*Debt/Equity)</t>
  </si>
  <si>
    <t>4. Levered Beta = Unlevered Beta*(1+(1-Tax Rate)*Debt/Equity)</t>
  </si>
  <si>
    <t>Weighted Average Cost of Capital</t>
  </si>
  <si>
    <t>All figures are in INR unless stated otherwise</t>
  </si>
  <si>
    <t>Date</t>
  </si>
  <si>
    <t>Adj Close </t>
  </si>
  <si>
    <t>Sep 27, 2024</t>
  </si>
  <si>
    <t>Sep 23, 2024</t>
  </si>
  <si>
    <t>Sep 16, 2024</t>
  </si>
  <si>
    <t>Sep 9, 2024</t>
  </si>
  <si>
    <t>Sep 2, 2024</t>
  </si>
  <si>
    <t>Aug 26, 2024</t>
  </si>
  <si>
    <t>Aug 19, 2024</t>
  </si>
  <si>
    <t>Aug 12, 2024</t>
  </si>
  <si>
    <t>Aug 5, 2024</t>
  </si>
  <si>
    <t>Jul 29, 2024</t>
  </si>
  <si>
    <t>Jul 22, 2024</t>
  </si>
  <si>
    <t>Jul 15, 2024</t>
  </si>
  <si>
    <t>Jul 8, 2024</t>
  </si>
  <si>
    <t>Jul 1, 2024</t>
  </si>
  <si>
    <t>Jun 24, 2024</t>
  </si>
  <si>
    <t>Jun 17, 2024</t>
  </si>
  <si>
    <t>Jun 10, 2024</t>
  </si>
  <si>
    <t>Jun 3, 2024</t>
  </si>
  <si>
    <t>May 27, 2024</t>
  </si>
  <si>
    <t>May 20, 2024</t>
  </si>
  <si>
    <t>May 13, 2024</t>
  </si>
  <si>
    <t>May 6, 2024</t>
  </si>
  <si>
    <t>Apr 29, 2024</t>
  </si>
  <si>
    <t>Apr 22, 2024</t>
  </si>
  <si>
    <t>Apr 15, 2024</t>
  </si>
  <si>
    <t>Apr 8, 2024</t>
  </si>
  <si>
    <t>Apr 1, 2024</t>
  </si>
  <si>
    <t>Mar 25, 2024</t>
  </si>
  <si>
    <t>Mar 18, 2024</t>
  </si>
  <si>
    <t>Mar 11, 2024</t>
  </si>
  <si>
    <t>Mar 4, 2024</t>
  </si>
  <si>
    <t>Feb 26, 2024</t>
  </si>
  <si>
    <t>Feb 19, 2024</t>
  </si>
  <si>
    <t>Feb 12, 2024</t>
  </si>
  <si>
    <t>Feb 5, 2024</t>
  </si>
  <si>
    <t>Jan 29, 2024</t>
  </si>
  <si>
    <t>Jan 22, 2024</t>
  </si>
  <si>
    <t>Jan 15, 2024</t>
  </si>
  <si>
    <t>Jan 8, 2024</t>
  </si>
  <si>
    <t>Jan 1, 2024</t>
  </si>
  <si>
    <t>Dec 25, 2023</t>
  </si>
  <si>
    <t>Dec 18, 2023</t>
  </si>
  <si>
    <t>Dec 11, 2023</t>
  </si>
  <si>
    <t>Dec 4, 2023</t>
  </si>
  <si>
    <t>Nov 27, 2023</t>
  </si>
  <si>
    <t>Nov 20, 2023</t>
  </si>
  <si>
    <t>Nov 13, 2023</t>
  </si>
  <si>
    <t>Nov 6, 2023</t>
  </si>
  <si>
    <t>Oct 30, 2023</t>
  </si>
  <si>
    <t>Oct 23, 2023</t>
  </si>
  <si>
    <t>Oct 16, 2023</t>
  </si>
  <si>
    <t>Oct 9, 2023</t>
  </si>
  <si>
    <t>Oct 2, 2023</t>
  </si>
  <si>
    <t>Sep 25, 2023</t>
  </si>
  <si>
    <t>Returns</t>
  </si>
  <si>
    <t>Sorted Return</t>
  </si>
  <si>
    <t>Min</t>
  </si>
  <si>
    <t>Max</t>
  </si>
  <si>
    <t>Sep 18, 2023</t>
  </si>
  <si>
    <t>Sep 11, 2023</t>
  </si>
  <si>
    <t>Sep 4, 2023</t>
  </si>
  <si>
    <t>Aug 28, 2023</t>
  </si>
  <si>
    <t>Aug 21, 2023</t>
  </si>
  <si>
    <t>Aug 14, 2023</t>
  </si>
  <si>
    <t>Aug 7, 2023</t>
  </si>
  <si>
    <t>Jul 31, 2023</t>
  </si>
  <si>
    <t>Jul 24, 2023</t>
  </si>
  <si>
    <t>Jul 17, 2023</t>
  </si>
  <si>
    <t>Jul 10, 2023</t>
  </si>
  <si>
    <t>Jul 3, 2023</t>
  </si>
  <si>
    <t>Jun 26, 2023</t>
  </si>
  <si>
    <t>Jun 19, 2023</t>
  </si>
  <si>
    <t>Jun 12, 2023</t>
  </si>
  <si>
    <t>Jun 5, 2023</t>
  </si>
  <si>
    <t>May 29, 2023</t>
  </si>
  <si>
    <t>May 22, 2023</t>
  </si>
  <si>
    <t>May 15, 2023</t>
  </si>
  <si>
    <t>May 8, 2023</t>
  </si>
  <si>
    <t>May 1, 2023</t>
  </si>
  <si>
    <t>Apr 24, 2023</t>
  </si>
  <si>
    <t>Apr 17, 2023</t>
  </si>
  <si>
    <t>Apr 10, 2023</t>
  </si>
  <si>
    <t>Apr 3, 2023</t>
  </si>
  <si>
    <t>Mar 27, 2023</t>
  </si>
  <si>
    <t>Mar 20, 2023</t>
  </si>
  <si>
    <t>Mar 13, 2023</t>
  </si>
  <si>
    <t>Mar 6, 2023</t>
  </si>
  <si>
    <t>Feb 27, 2023</t>
  </si>
  <si>
    <t>Feb 20, 2023</t>
  </si>
  <si>
    <t>Feb 13, 2023</t>
  </si>
  <si>
    <t>Feb 6, 2023</t>
  </si>
  <si>
    <t>Jan 30, 2023</t>
  </si>
  <si>
    <t>Jan 23, 2023</t>
  </si>
  <si>
    <t>Jan 16, 2023</t>
  </si>
  <si>
    <t>Jan 9, 2023</t>
  </si>
  <si>
    <t>Jan 2, 2023</t>
  </si>
  <si>
    <t>Dec 26, 2022</t>
  </si>
  <si>
    <t>Dec 19, 2022</t>
  </si>
  <si>
    <t>Dec 12, 2022</t>
  </si>
  <si>
    <t>Dec 5, 2022</t>
  </si>
  <si>
    <t>Nov 28, 2022</t>
  </si>
  <si>
    <t>Nov 21, 2022</t>
  </si>
  <si>
    <t>Nov 14, 2022</t>
  </si>
  <si>
    <t>Nov 7, 2022</t>
  </si>
  <si>
    <t>Oct 31, 2022</t>
  </si>
  <si>
    <t>Oct 24, 2022</t>
  </si>
  <si>
    <t>Oct 17, 2022</t>
  </si>
  <si>
    <t>Oct 10, 2022</t>
  </si>
  <si>
    <t>Oct 3, 2022</t>
  </si>
  <si>
    <t>Sep 26, 2022</t>
  </si>
  <si>
    <t>Sep 19, 2022</t>
  </si>
  <si>
    <t>Sep 12, 2022</t>
  </si>
  <si>
    <t>Sep 5, 2022</t>
  </si>
  <si>
    <t>Aug 29, 2022</t>
  </si>
  <si>
    <t>Aug 22, 2022</t>
  </si>
  <si>
    <t>Aug 15, 2022</t>
  </si>
  <si>
    <t>Aug 8, 2022</t>
  </si>
  <si>
    <t>Aug 1, 2022</t>
  </si>
  <si>
    <t>Jul 25, 2022</t>
  </si>
  <si>
    <t>Jul 18, 2022</t>
  </si>
  <si>
    <t>Jul 11, 2022</t>
  </si>
  <si>
    <t>Jul 4, 2022</t>
  </si>
  <si>
    <t>Jun 27, 2022</t>
  </si>
  <si>
    <t>Jun 20, 2022</t>
  </si>
  <si>
    <t>Jun 13, 2022</t>
  </si>
  <si>
    <t>Jun 6, 2022</t>
  </si>
  <si>
    <t>May 30, 2022</t>
  </si>
  <si>
    <t>May 23, 2022</t>
  </si>
  <si>
    <t>May 16, 2022</t>
  </si>
  <si>
    <t>May 9, 2022</t>
  </si>
  <si>
    <t>May 2, 2022</t>
  </si>
  <si>
    <t>Apr 25, 2022</t>
  </si>
  <si>
    <t>Apr 18, 2022</t>
  </si>
  <si>
    <t>Apr 11, 2022</t>
  </si>
  <si>
    <t>Apr 4, 2022</t>
  </si>
  <si>
    <t>Mar 28, 2022</t>
  </si>
  <si>
    <t>Mar 21, 2022</t>
  </si>
  <si>
    <t>Mar 14, 2022</t>
  </si>
  <si>
    <t>Mar 7, 2022</t>
  </si>
  <si>
    <t>Feb 28, 2022</t>
  </si>
  <si>
    <t>Feb 21, 2022</t>
  </si>
  <si>
    <t>Feb 14, 2022</t>
  </si>
  <si>
    <t>Feb 7, 2022</t>
  </si>
  <si>
    <t>Jan 31, 2022</t>
  </si>
  <si>
    <t>Jan 24, 2022</t>
  </si>
  <si>
    <t>Jan 17, 2022</t>
  </si>
  <si>
    <t>Jan 10, 2022</t>
  </si>
  <si>
    <t>Jan 3, 2022</t>
  </si>
  <si>
    <t>Dec 27, 2021</t>
  </si>
  <si>
    <t>Dec 20, 2021</t>
  </si>
  <si>
    <t>Dec 13, 2021</t>
  </si>
  <si>
    <t>Dec 6, 2021</t>
  </si>
  <si>
    <t>Nov 29, 2021</t>
  </si>
  <si>
    <t>Nov 22, 2021</t>
  </si>
  <si>
    <t>Nov 15, 2021</t>
  </si>
  <si>
    <t>Nov 8, 2021</t>
  </si>
  <si>
    <t>Nov 1, 2021</t>
  </si>
  <si>
    <t>Oct 25, 2021</t>
  </si>
  <si>
    <t>Oct 18, 2021</t>
  </si>
  <si>
    <t>Oct 11, 2021</t>
  </si>
  <si>
    <t>Oct 4, 2021</t>
  </si>
  <si>
    <t>Sep 27, 2021</t>
  </si>
  <si>
    <t>Sep 20, 2021</t>
  </si>
  <si>
    <t>Sep 13, 2021</t>
  </si>
  <si>
    <t>Sep 6, 2021</t>
  </si>
  <si>
    <t>Aug 30, 2021</t>
  </si>
  <si>
    <t>Aug 23, 2021</t>
  </si>
  <si>
    <t>Aug 16, 2021</t>
  </si>
  <si>
    <t>Aug 9, 2021</t>
  </si>
  <si>
    <t>Aug 2, 2021</t>
  </si>
  <si>
    <t>Jul 26, 2021</t>
  </si>
  <si>
    <t>Jul 19, 2021</t>
  </si>
  <si>
    <t>Jul 12, 2021</t>
  </si>
  <si>
    <t>Jul 5, 2021</t>
  </si>
  <si>
    <t>Jun 28, 2021</t>
  </si>
  <si>
    <t>Jun 21, 2021</t>
  </si>
  <si>
    <t>Jun 14, 2021</t>
  </si>
  <si>
    <t>Jun 7, 2021</t>
  </si>
  <si>
    <t>May 31, 2021</t>
  </si>
  <si>
    <t>May 24, 2021</t>
  </si>
  <si>
    <t>May 17, 2021</t>
  </si>
  <si>
    <t>May 10, 2021</t>
  </si>
  <si>
    <t>May 3, 2021</t>
  </si>
  <si>
    <t>Apr 26, 2021</t>
  </si>
  <si>
    <t>Apr 19, 2021</t>
  </si>
  <si>
    <t>Apr 12, 2021</t>
  </si>
  <si>
    <t>Apr 5, 2021</t>
  </si>
  <si>
    <t>Mar 29, 2021</t>
  </si>
  <si>
    <t>Mar 22, 2021</t>
  </si>
  <si>
    <t>Mar 15, 2021</t>
  </si>
  <si>
    <t>Mar 8, 2021</t>
  </si>
  <si>
    <t>Mar 1, 2021</t>
  </si>
  <si>
    <t>Feb 22, 2021</t>
  </si>
  <si>
    <t>Feb 15, 2021</t>
  </si>
  <si>
    <t>Feb 8, 2021</t>
  </si>
  <si>
    <t>Feb 1, 2021</t>
  </si>
  <si>
    <t>Jan 25, 2021</t>
  </si>
  <si>
    <t>Jan 18, 2021</t>
  </si>
  <si>
    <t>Jan 11, 2021</t>
  </si>
  <si>
    <t>Jan 4, 2021</t>
  </si>
  <si>
    <t>Dec 28, 2020</t>
  </si>
  <si>
    <t>Dec 21, 2020</t>
  </si>
  <si>
    <t>Dec 14, 2020</t>
  </si>
  <si>
    <t>Dec 7, 2020</t>
  </si>
  <si>
    <t>Nov 30, 2020</t>
  </si>
  <si>
    <t>Nov 23, 2020</t>
  </si>
  <si>
    <t>Nov 16, 2020</t>
  </si>
  <si>
    <t>Nov 9, 2020</t>
  </si>
  <si>
    <t>Nov 2, 2020</t>
  </si>
  <si>
    <t>Oct 26, 2020</t>
  </si>
  <si>
    <t>Oct 19, 2020</t>
  </si>
  <si>
    <t>Oct 12, 2020</t>
  </si>
  <si>
    <t>Oct 5, 2020</t>
  </si>
  <si>
    <t>Sep 28, 2020</t>
  </si>
  <si>
    <t>Sep 21, 2020</t>
  </si>
  <si>
    <t>Sep 14, 2020</t>
  </si>
  <si>
    <t>Sep 7, 2020</t>
  </si>
  <si>
    <t>Aug 31, 2020</t>
  </si>
  <si>
    <t>Aug 24, 2020</t>
  </si>
  <si>
    <t>Aug 17, 2020</t>
  </si>
  <si>
    <t>Aug 10, 2020</t>
  </si>
  <si>
    <t>Aug 3, 2020</t>
  </si>
  <si>
    <t>Jul 27, 2020</t>
  </si>
  <si>
    <t>Jul 20, 2020</t>
  </si>
  <si>
    <t>Jul 13, 2020</t>
  </si>
  <si>
    <t>Jul 6, 2020</t>
  </si>
  <si>
    <t>Jun 29, 2020</t>
  </si>
  <si>
    <t>Jun 22, 2020</t>
  </si>
  <si>
    <t>Jun 15, 2020</t>
  </si>
  <si>
    <t>Jun 8, 2020</t>
  </si>
  <si>
    <t>Jun 1, 2020</t>
  </si>
  <si>
    <t>May 25, 2020</t>
  </si>
  <si>
    <t>May 18, 2020</t>
  </si>
  <si>
    <t>May 11, 2020</t>
  </si>
  <si>
    <t>May 4, 2020</t>
  </si>
  <si>
    <t>Apr 27, 2020</t>
  </si>
  <si>
    <t>Apr 20, 2020</t>
  </si>
  <si>
    <t>Apr 13, 2020</t>
  </si>
  <si>
    <t>Apr 6, 2020</t>
  </si>
  <si>
    <t>Mar 30, 2020</t>
  </si>
  <si>
    <t>Mar 23, 2020</t>
  </si>
  <si>
    <t>Mar 16, 2020</t>
  </si>
  <si>
    <t>Mar 9, 2020</t>
  </si>
  <si>
    <t>Mar 2, 2020</t>
  </si>
  <si>
    <t>Feb 24, 2020</t>
  </si>
  <si>
    <t>Feb 17, 2020</t>
  </si>
  <si>
    <t>Feb 10, 2020</t>
  </si>
  <si>
    <t>Feb 3, 2020</t>
  </si>
  <si>
    <t>Jan 27, 2020</t>
  </si>
  <si>
    <t>Jan 20, 2020</t>
  </si>
  <si>
    <t>Jan 13, 2020</t>
  </si>
  <si>
    <t>Jan 6, 2020</t>
  </si>
  <si>
    <t>Dec 30, 2019</t>
  </si>
  <si>
    <t>Dec 23, 2019</t>
  </si>
  <si>
    <t>Dec 16, 2019</t>
  </si>
  <si>
    <t>Dec 9, 2019</t>
  </si>
  <si>
    <t>Dec 2, 2019</t>
  </si>
  <si>
    <t>Nov 25, 2019</t>
  </si>
  <si>
    <t>Nov 18, 2019</t>
  </si>
  <si>
    <t>Nov 13, 2019</t>
  </si>
  <si>
    <t>1.40 Dividend</t>
  </si>
  <si>
    <t>Nov 11, 2019</t>
  </si>
  <si>
    <t>Nov 4, 2019</t>
  </si>
  <si>
    <t>Oct 28, 2019</t>
  </si>
  <si>
    <t>Oct 21, 2019</t>
  </si>
  <si>
    <t>Oct 14, 2019</t>
  </si>
  <si>
    <t>Oct 7, 2019</t>
  </si>
  <si>
    <t>Sep 30, 2019</t>
  </si>
  <si>
    <t>Sep 23, 2019</t>
  </si>
  <si>
    <t>Sep 16, 2019</t>
  </si>
  <si>
    <t>Sep 9, 2019</t>
  </si>
  <si>
    <t>Sep 2, 2019</t>
  </si>
  <si>
    <t>Aug 26, 2019</t>
  </si>
  <si>
    <t>Aug 19, 2019</t>
  </si>
  <si>
    <t>Aug 12, 2019</t>
  </si>
  <si>
    <t>Aug 7, 2019</t>
  </si>
  <si>
    <t>1.50 Dividend</t>
  </si>
  <si>
    <t>Aug 5, 2019</t>
  </si>
  <si>
    <t>Jul 29, 2019</t>
  </si>
  <si>
    <t>Jul 22, 2019</t>
  </si>
  <si>
    <t>Jul 15, 2019</t>
  </si>
  <si>
    <t>Jul 8, 2019</t>
  </si>
  <si>
    <t>Jul 1, 2019</t>
  </si>
  <si>
    <t>Jun 24, 2019</t>
  </si>
  <si>
    <t>Jun 17, 2019</t>
  </si>
  <si>
    <t>Jun 10, 2019</t>
  </si>
  <si>
    <t>Jun 3, 2019</t>
  </si>
  <si>
    <t>May 27, 2019</t>
  </si>
  <si>
    <t>May 20, 2019</t>
  </si>
  <si>
    <t>May 13, 2019</t>
  </si>
  <si>
    <t>May 6, 2019</t>
  </si>
  <si>
    <t>Apr 29, 2019</t>
  </si>
  <si>
    <t>Apr 22, 2019</t>
  </si>
  <si>
    <t>Apr 15, 2019</t>
  </si>
  <si>
    <t>Apr 8, 2019</t>
  </si>
  <si>
    <t>Apr 1, 2019</t>
  </si>
  <si>
    <t>Mar 25, 2019</t>
  </si>
  <si>
    <t>Mar 18, 2019</t>
  </si>
  <si>
    <t>Mar 11, 2019</t>
  </si>
  <si>
    <t>Mar 4, 2019</t>
  </si>
  <si>
    <t>Feb 25, 2019</t>
  </si>
  <si>
    <t>Feb 18, 2019</t>
  </si>
  <si>
    <t>Feb 11, 2019</t>
  </si>
  <si>
    <t>Feb 4, 2019</t>
  </si>
  <si>
    <t>Jan 28, 2019</t>
  </si>
  <si>
    <t>Jan 21, 2019</t>
  </si>
  <si>
    <t>Jan 14, 2019</t>
  </si>
  <si>
    <t>Jan 7, 2019</t>
  </si>
  <si>
    <t>Dec 31, 2018</t>
  </si>
  <si>
    <t>Dec 24, 2018</t>
  </si>
  <si>
    <t>Dec 17, 2018</t>
  </si>
  <si>
    <t>Dec 10, 2018</t>
  </si>
  <si>
    <t>Dec 3, 2018</t>
  </si>
  <si>
    <t>Nov 26, 2018</t>
  </si>
  <si>
    <t>Nov 19, 2018</t>
  </si>
  <si>
    <t>Nov 12, 2018</t>
  </si>
  <si>
    <t>Nov 9, 2018</t>
  </si>
  <si>
    <t>1.25 Dividend</t>
  </si>
  <si>
    <t>Nov 5, 2018</t>
  </si>
  <si>
    <t>Oct 29, 2018</t>
  </si>
  <si>
    <t>Oct 22, 2018</t>
  </si>
  <si>
    <t>Oct 15, 2018</t>
  </si>
  <si>
    <t>Oct 8, 2018</t>
  </si>
  <si>
    <t>Oct 1, 2018</t>
  </si>
  <si>
    <t>Sep 24, 2018</t>
  </si>
  <si>
    <t>Sep 17, 2018</t>
  </si>
  <si>
    <t>Sep 10, 2018</t>
  </si>
  <si>
    <t>Sep 3, 2018</t>
  </si>
  <si>
    <t>Aug 27, 2018</t>
  </si>
  <si>
    <t>Aug 20, 2018</t>
  </si>
  <si>
    <t>Aug 13, 2018</t>
  </si>
  <si>
    <t>Aug 6, 2018</t>
  </si>
  <si>
    <t>Jul 30, 2018</t>
  </si>
  <si>
    <t>Jul 23, 2018</t>
  </si>
  <si>
    <t>Jul 16, 2018</t>
  </si>
  <si>
    <t>Jul 9, 2018</t>
  </si>
  <si>
    <t>Jul 5, 2018</t>
  </si>
  <si>
    <t>5.00 Dividend</t>
  </si>
  <si>
    <t>Jul 2, 2018</t>
  </si>
  <si>
    <t>Jul 4, 2018</t>
  </si>
  <si>
    <t>Jun 25, 2018</t>
  </si>
  <si>
    <t>Jun 18, 2018</t>
  </si>
  <si>
    <t>Jun 11, 2018</t>
  </si>
  <si>
    <t>Jun 4, 2018</t>
  </si>
  <si>
    <t>May 28, 2018</t>
  </si>
  <si>
    <t>May 21, 2018</t>
  </si>
  <si>
    <t>May 14, 2018</t>
  </si>
  <si>
    <t>May 7, 2018</t>
  </si>
  <si>
    <t>Apr 30, 2018</t>
  </si>
  <si>
    <t>Apr 23, 2018</t>
  </si>
  <si>
    <t>Apr 16, 2018</t>
  </si>
  <si>
    <t>Apr 9, 2018</t>
  </si>
  <si>
    <t>Apr 2, 2018</t>
  </si>
  <si>
    <t>Mar 26, 2018</t>
  </si>
  <si>
    <t>Mar 19, 2018</t>
  </si>
  <si>
    <t>Mar 12, 2018</t>
  </si>
  <si>
    <t>Mar 5, 2018</t>
  </si>
  <si>
    <t>Feb 26, 2018</t>
  </si>
  <si>
    <t>Feb 19, 2018</t>
  </si>
  <si>
    <t>Feb 12, 2018</t>
  </si>
  <si>
    <t>Feb 5, 2018</t>
  </si>
  <si>
    <t>Jan 29, 2018</t>
  </si>
  <si>
    <t>Jan 22, 2018</t>
  </si>
  <si>
    <t>Jan 15, 2018</t>
  </si>
  <si>
    <t>Jan 8, 2018</t>
  </si>
  <si>
    <t>Jan 1, 2018</t>
  </si>
  <si>
    <t>Dec 25, 2017</t>
  </si>
  <si>
    <t>Dec 18, 2017</t>
  </si>
  <si>
    <t>Dec 11, 2017</t>
  </si>
  <si>
    <t>Dec 4, 2017</t>
  </si>
  <si>
    <t>Nov 27, 2017</t>
  </si>
  <si>
    <t>Nov 20, 2017</t>
  </si>
  <si>
    <t>Nov 13, 2017</t>
  </si>
  <si>
    <t>Nov 7, 2017</t>
  </si>
  <si>
    <t>Nov 6, 2017</t>
  </si>
  <si>
    <t>Oct 30, 2017</t>
  </si>
  <si>
    <t>Oct 23, 2017</t>
  </si>
  <si>
    <t>Oct 16, 2017</t>
  </si>
  <si>
    <t>Oct 9, 2017</t>
  </si>
  <si>
    <t>Oct 2, 2017</t>
  </si>
  <si>
    <t>Sep 25, 2017</t>
  </si>
  <si>
    <t>Sep 18, 2017</t>
  </si>
  <si>
    <t>Sep 11, 2017</t>
  </si>
  <si>
    <t>Sep 4, 2017</t>
  </si>
  <si>
    <t>Aug 28, 2017</t>
  </si>
  <si>
    <t>Aug 21, 2017</t>
  </si>
  <si>
    <t>Aug 14, 2017</t>
  </si>
  <si>
    <t>Aug 7, 2017</t>
  </si>
  <si>
    <t>Jul 31, 2017</t>
  </si>
  <si>
    <t>Jul 24, 2017</t>
  </si>
  <si>
    <t>Jul 17, 2017</t>
  </si>
  <si>
    <t>Jul 10, 2017</t>
  </si>
  <si>
    <t>Jul 5, 2017</t>
  </si>
  <si>
    <t>1.00 Dividend</t>
  </si>
  <si>
    <t>Jul 3, 2017</t>
  </si>
  <si>
    <t>Jun 26, 2017</t>
  </si>
  <si>
    <t>Jun 19, 2017</t>
  </si>
  <si>
    <t>Jun 12, 2017</t>
  </si>
  <si>
    <t>Jun 5, 2017</t>
  </si>
  <si>
    <t>May 29, 2017</t>
  </si>
  <si>
    <t>May 22, 2017</t>
  </si>
  <si>
    <t>May 15, 2017</t>
  </si>
  <si>
    <t>May 8, 2017</t>
  </si>
  <si>
    <t>May 1, 2017</t>
  </si>
  <si>
    <t>Apr 24, 2017</t>
  </si>
  <si>
    <t>Apr 17, 2017</t>
  </si>
  <si>
    <t>Apr 10, 2017</t>
  </si>
  <si>
    <t>Apr 3, 2017</t>
  </si>
  <si>
    <t>Mar 27, 2017</t>
  </si>
  <si>
    <t>Mar 20, 2017</t>
  </si>
  <si>
    <t>Mar 13, 2017</t>
  </si>
  <si>
    <t>Mar 6, 2017</t>
  </si>
  <si>
    <t>Feb 27, 2017</t>
  </si>
  <si>
    <t>Feb 20, 2017</t>
  </si>
  <si>
    <t>Feb 13, 2017</t>
  </si>
  <si>
    <t>Feb 6, 2017</t>
  </si>
  <si>
    <t>Jan 30, 2017</t>
  </si>
  <si>
    <t>Jan 23, 2017</t>
  </si>
  <si>
    <t>Jan 16, 2017</t>
  </si>
  <si>
    <t>Jan 9, 2017</t>
  </si>
  <si>
    <t>Jan 2, 2017</t>
  </si>
  <si>
    <t>Dec 26, 2016</t>
  </si>
  <si>
    <t>Dec 19, 2016</t>
  </si>
  <si>
    <t>Dec 12, 2016</t>
  </si>
  <si>
    <t>Dec 5, 2016</t>
  </si>
  <si>
    <t>Nov 28, 2016</t>
  </si>
  <si>
    <t>Nov 21, 2016</t>
  </si>
  <si>
    <t>Nov 14, 2016</t>
  </si>
  <si>
    <t>Nov 7, 2016</t>
  </si>
  <si>
    <t>Nov 3, 2016</t>
  </si>
  <si>
    <t>Oct 31, 2016</t>
  </si>
  <si>
    <t>Oct 24, 2016</t>
  </si>
  <si>
    <t>Oct 17, 2016</t>
  </si>
  <si>
    <t>Oct 10, 2016</t>
  </si>
  <si>
    <t>Oct 3, 2016</t>
  </si>
  <si>
    <t>Sep 26, 2016</t>
  </si>
  <si>
    <t>Sep 19, 2016</t>
  </si>
  <si>
    <t>Sep 12, 2016</t>
  </si>
  <si>
    <t>Sep 5, 2016</t>
  </si>
  <si>
    <t>Aug 29, 2016</t>
  </si>
  <si>
    <t>Aug 22, 2016</t>
  </si>
  <si>
    <t>Aug 15, 2016</t>
  </si>
  <si>
    <t>Aug 8, 2016</t>
  </si>
  <si>
    <t>Aug 1, 2016</t>
  </si>
  <si>
    <t>Jul 25, 2016</t>
  </si>
  <si>
    <t>Jul 18, 2016</t>
  </si>
  <si>
    <t>Jul 11, 2016</t>
  </si>
  <si>
    <t>Jul 4, 2016</t>
  </si>
  <si>
    <t>Jun 29, 2016</t>
  </si>
  <si>
    <t>Jun 27, 2016</t>
  </si>
  <si>
    <t>Jun 20, 2016</t>
  </si>
  <si>
    <t>Jun 13, 2016</t>
  </si>
  <si>
    <t>Jun 6, 2016</t>
  </si>
  <si>
    <t>May 30, 2016</t>
  </si>
  <si>
    <t>May 23, 2016</t>
  </si>
  <si>
    <t>May 16, 2016</t>
  </si>
  <si>
    <t>May 9, 2016</t>
  </si>
  <si>
    <t>May 2, 2016</t>
  </si>
  <si>
    <t>Apr 25, 2016</t>
  </si>
  <si>
    <t>Apr 18, 2016</t>
  </si>
  <si>
    <t>Apr 11, 2016</t>
  </si>
  <si>
    <t>Apr 4, 2016</t>
  </si>
  <si>
    <t>Mar 28, 2016</t>
  </si>
  <si>
    <t>Mar 21, 2016</t>
  </si>
  <si>
    <t>Mar 14, 2016</t>
  </si>
  <si>
    <t>Mar 7, 2016</t>
  </si>
  <si>
    <t>Feb 29, 2016</t>
  </si>
  <si>
    <t>Feb 22, 2016</t>
  </si>
  <si>
    <t>Feb 15, 2016</t>
  </si>
  <si>
    <t>Feb 8, 2016</t>
  </si>
  <si>
    <t>Feb 1, 2016</t>
  </si>
  <si>
    <t>Jan 25, 2016</t>
  </si>
  <si>
    <t>Jan 18, 2016</t>
  </si>
  <si>
    <t>Jan 11, 2016</t>
  </si>
  <si>
    <t>Jan 4, 2016</t>
  </si>
  <si>
    <t>Dec 28, 2015</t>
  </si>
  <si>
    <t>Dec 21, 2015</t>
  </si>
  <si>
    <t>Dec 14, 2015</t>
  </si>
  <si>
    <t>Dec 7, 2015</t>
  </si>
  <si>
    <t>Nov 30, 2015</t>
  </si>
  <si>
    <t>Nov 23, 2015</t>
  </si>
  <si>
    <t>Nov 16, 2015</t>
  </si>
  <si>
    <t>Nov 9, 2015</t>
  </si>
  <si>
    <t>Nov 5, 2015</t>
  </si>
  <si>
    <t>Nov 2, 2015</t>
  </si>
  <si>
    <t>Oct 26, 2015</t>
  </si>
  <si>
    <t>Oct 19, 2015</t>
  </si>
  <si>
    <t>Oct 12, 2015</t>
  </si>
  <si>
    <t>Oct 5, 2015</t>
  </si>
  <si>
    <t>Sep 28, 2015</t>
  </si>
  <si>
    <t>Sep 21, 2015</t>
  </si>
  <si>
    <t>Sep 14, 2015</t>
  </si>
  <si>
    <t>Sep 7, 2015</t>
  </si>
  <si>
    <t>Aug 31, 2015</t>
  </si>
  <si>
    <t>Aug 24, 2015</t>
  </si>
  <si>
    <t>Aug 17, 2015</t>
  </si>
  <si>
    <t>Aug 10, 2015</t>
  </si>
  <si>
    <t>Aug 3, 2015</t>
  </si>
  <si>
    <t>Jul 27, 2015</t>
  </si>
  <si>
    <t>Jul 20, 2015</t>
  </si>
  <si>
    <t>Jul 13, 2015</t>
  </si>
  <si>
    <t>Jul 6, 2015</t>
  </si>
  <si>
    <t>Jun 29, 2015</t>
  </si>
  <si>
    <t>0.75 Dividend</t>
  </si>
  <si>
    <t>Jun 22, 2015</t>
  </si>
  <si>
    <t>Jun 15, 2015</t>
  </si>
  <si>
    <t>Jun 8, 2015</t>
  </si>
  <si>
    <t>Jun 1, 2015</t>
  </si>
  <si>
    <t>May 25, 2015</t>
  </si>
  <si>
    <t>May 18, 2015</t>
  </si>
  <si>
    <t>May 11, 2015</t>
  </si>
  <si>
    <t>May 4, 2015</t>
  </si>
  <si>
    <t>Apr 27, 2015</t>
  </si>
  <si>
    <t>Apr 20, 2015</t>
  </si>
  <si>
    <t>Apr 13, 2015</t>
  </si>
  <si>
    <t>Apr 6, 2015</t>
  </si>
  <si>
    <t>Mar 30, 2015</t>
  </si>
  <si>
    <t>Mar 23, 2015</t>
  </si>
  <si>
    <t>Mar 16, 2015</t>
  </si>
  <si>
    <t>Mar 9, 2015</t>
  </si>
  <si>
    <t>Mar 2, 2015</t>
  </si>
  <si>
    <t>Feb 23, 2015</t>
  </si>
  <si>
    <t>Feb 16, 2015</t>
  </si>
  <si>
    <t>Feb 9, 2015</t>
  </si>
  <si>
    <t>Feb 2, 2015</t>
  </si>
  <si>
    <t>Jan 26, 2015</t>
  </si>
  <si>
    <t>Jan 19, 2015</t>
  </si>
  <si>
    <t>Jan 12, 2015</t>
  </si>
  <si>
    <t>Jan 5, 2015</t>
  </si>
  <si>
    <t>Dec 29, 2014</t>
  </si>
  <si>
    <t>Dec 22, 2014</t>
  </si>
  <si>
    <t>Dec 15, 2014</t>
  </si>
  <si>
    <t>Dec 8, 2014</t>
  </si>
  <si>
    <t>Dec 1, 2014</t>
  </si>
  <si>
    <t>Nov 24, 2014</t>
  </si>
  <si>
    <t>Nov 17, 2014</t>
  </si>
  <si>
    <t>Nov 10, 2014</t>
  </si>
  <si>
    <t>Nov 3, 2014</t>
  </si>
  <si>
    <t>Oct 27, 2014</t>
  </si>
  <si>
    <t>Oct 20, 2014</t>
  </si>
  <si>
    <t>Oct 13, 2014</t>
  </si>
  <si>
    <t>Oct 6, 2014</t>
  </si>
  <si>
    <t>Sep 29, 2014</t>
  </si>
  <si>
    <t>Sep 22, 2014</t>
  </si>
  <si>
    <t>Sep 19, 2014</t>
  </si>
  <si>
    <t>Sep 15, 2014</t>
  </si>
  <si>
    <t>Sep 8, 2014</t>
  </si>
  <si>
    <t>Sep 1, 2014</t>
  </si>
  <si>
    <t>Aug 25, 2014</t>
  </si>
  <si>
    <t>Aug 18, 2014</t>
  </si>
  <si>
    <t>Aug 11, 2014</t>
  </si>
  <si>
    <t>Aug 4, 2014</t>
  </si>
  <si>
    <t>Jul 28, 2014</t>
  </si>
  <si>
    <t>Jul 21, 2014</t>
  </si>
  <si>
    <t>Jul 14, 2014</t>
  </si>
  <si>
    <t>Jul 7, 2014</t>
  </si>
  <si>
    <t>Jun 30, 2014</t>
  </si>
  <si>
    <t>Jun 27, 2014</t>
  </si>
  <si>
    <t>Jun 23, 2014</t>
  </si>
  <si>
    <t>Jun 16, 2014</t>
  </si>
  <si>
    <t>Jun 9, 2014</t>
  </si>
  <si>
    <t>Jun 2, 2014</t>
  </si>
  <si>
    <t>May 26, 2014</t>
  </si>
  <si>
    <t>May 19, 2014</t>
  </si>
  <si>
    <t>May 12, 2014</t>
  </si>
  <si>
    <t>May 5, 2014</t>
  </si>
  <si>
    <t>Apr 28, 2014</t>
  </si>
  <si>
    <t>Apr 21, 2014</t>
  </si>
  <si>
    <t>Apr 14, 2014</t>
  </si>
  <si>
    <t>Apr 7, 2014</t>
  </si>
  <si>
    <t>Mar 31, 2014</t>
  </si>
  <si>
    <t>Mar 24, 2014</t>
  </si>
  <si>
    <t>Mar 17, 2014</t>
  </si>
  <si>
    <t>Mar 10, 2014</t>
  </si>
  <si>
    <t>Mar 3, 2014</t>
  </si>
  <si>
    <t>Feb 24, 2014</t>
  </si>
  <si>
    <t>Feb 17, 2014</t>
  </si>
  <si>
    <t>Feb 10, 2014</t>
  </si>
  <si>
    <t>Feb 3, 2014</t>
  </si>
  <si>
    <t>Jan 27, 2014</t>
  </si>
  <si>
    <t>Jan 20, 2014</t>
  </si>
  <si>
    <t>Jan 13, 2014</t>
  </si>
  <si>
    <t>Jan 6, 2014</t>
  </si>
  <si>
    <t>Dec 30, 2013</t>
  </si>
  <si>
    <t>Dec 23, 2013</t>
  </si>
  <si>
    <t>Dec 16, 2013</t>
  </si>
  <si>
    <t>Dec 9, 2013</t>
  </si>
  <si>
    <t>Dec 2, 2013</t>
  </si>
  <si>
    <t>Nov 25, 2013</t>
  </si>
  <si>
    <t>Nov 18, 2013</t>
  </si>
  <si>
    <t>Nov 11, 2013</t>
  </si>
  <si>
    <t>Nov 5, 2013</t>
  </si>
  <si>
    <t>Nov 4, 2013</t>
  </si>
  <si>
    <t>Oct 28, 2013</t>
  </si>
  <si>
    <t>Oct 21, 2013</t>
  </si>
  <si>
    <t>Oct 14, 2013</t>
  </si>
  <si>
    <t>Oct 7, 2013</t>
  </si>
  <si>
    <t>Sep 30, 2013</t>
  </si>
  <si>
    <t>Sep 23, 2013</t>
  </si>
  <si>
    <t>Sep 16, 2013</t>
  </si>
  <si>
    <t>Sep 9, 2013</t>
  </si>
  <si>
    <t>Sep 2, 2013</t>
  </si>
  <si>
    <t>Aug 26, 2013</t>
  </si>
  <si>
    <t>Aug 19, 2013</t>
  </si>
  <si>
    <t>Aug 12, 2013</t>
  </si>
  <si>
    <t>Aug 5, 2013</t>
  </si>
  <si>
    <t>Jul 29, 2013</t>
  </si>
  <si>
    <t>Jul 22, 2013</t>
  </si>
  <si>
    <t>Jul 15, 2013</t>
  </si>
  <si>
    <t>Jul 8, 2013</t>
  </si>
  <si>
    <t>Jul 1, 2013</t>
  </si>
  <si>
    <t>Jun 24, 2013</t>
  </si>
  <si>
    <t>Jun 21, 2013</t>
  </si>
  <si>
    <t>0.85 Dividend</t>
  </si>
  <si>
    <t>Jun 17, 2013</t>
  </si>
  <si>
    <t>Jun 10, 2013</t>
  </si>
  <si>
    <t>Jun 3, 2013</t>
  </si>
  <si>
    <t>May 27, 2013</t>
  </si>
  <si>
    <t>May 20, 2013</t>
  </si>
  <si>
    <t>May 13, 2013</t>
  </si>
  <si>
    <t>May 6, 2013</t>
  </si>
  <si>
    <t>Apr 29, 2013</t>
  </si>
  <si>
    <t>Apr 22, 2013</t>
  </si>
  <si>
    <t>Apr 15, 2013</t>
  </si>
  <si>
    <t>Apr 8, 2013</t>
  </si>
  <si>
    <t>Apr 1, 2013</t>
  </si>
  <si>
    <t>Mar 25, 2013</t>
  </si>
  <si>
    <t>Mar 18, 2013</t>
  </si>
  <si>
    <t>Mar 11, 2013</t>
  </si>
  <si>
    <t>Mar 4, 2013</t>
  </si>
  <si>
    <t>Feb 25, 2013</t>
  </si>
  <si>
    <t>Feb 18, 2013</t>
  </si>
  <si>
    <t>Feb 11, 2013</t>
  </si>
  <si>
    <t>Feb 4, 2013</t>
  </si>
  <si>
    <t>Jan 28, 2013</t>
  </si>
  <si>
    <t>Jan 21, 2013</t>
  </si>
  <si>
    <t>Jan 14, 2013</t>
  </si>
  <si>
    <t>Jan 7, 2013</t>
  </si>
  <si>
    <t>Dec 31, 2012</t>
  </si>
  <si>
    <t>Dec 24, 2012</t>
  </si>
  <si>
    <t>Dec 17, 2012</t>
  </si>
  <si>
    <t>Dec 10, 2012</t>
  </si>
  <si>
    <t>Dec 3, 2012</t>
  </si>
  <si>
    <t>Nov 26, 2012</t>
  </si>
  <si>
    <t>Nov 19, 2012</t>
  </si>
  <si>
    <t>Nov 12, 2012</t>
  </si>
  <si>
    <t>Nov 5, 2012</t>
  </si>
  <si>
    <t>Oct 31, 2012</t>
  </si>
  <si>
    <t>0.65 Dividend</t>
  </si>
  <si>
    <t>Oct 29, 2012</t>
  </si>
  <si>
    <t>Oct 22, 2012</t>
  </si>
  <si>
    <t>Oct 15, 2012</t>
  </si>
  <si>
    <t>Oct 8, 2012</t>
  </si>
  <si>
    <t>Oct 1, 2012</t>
  </si>
  <si>
    <t>Sep 24, 2012</t>
  </si>
  <si>
    <t>Sep 17, 2012</t>
  </si>
  <si>
    <t>Sep 10, 2012</t>
  </si>
  <si>
    <t>Sep 3, 2012</t>
  </si>
  <si>
    <t>Aug 27, 2012</t>
  </si>
  <si>
    <t>Aug 20, 2012</t>
  </si>
  <si>
    <t>Aug 13, 2012</t>
  </si>
  <si>
    <t>Aug 6, 2012</t>
  </si>
  <si>
    <t>Jul 30, 2012</t>
  </si>
  <si>
    <t>Jul 23, 2012</t>
  </si>
  <si>
    <t>Jul 16, 2012</t>
  </si>
  <si>
    <t>Jul 9, 2012</t>
  </si>
  <si>
    <t>Jul 2, 2012</t>
  </si>
  <si>
    <t>Jun 27, 2012</t>
  </si>
  <si>
    <t>Jun 25, 2012</t>
  </si>
  <si>
    <t>Jun 18, 2012</t>
  </si>
  <si>
    <t>Jun 11, 2012</t>
  </si>
  <si>
    <t>Jun 4, 2012</t>
  </si>
  <si>
    <t>May 28, 2012</t>
  </si>
  <si>
    <t>May 21, 2012</t>
  </si>
  <si>
    <t>May 14, 2012</t>
  </si>
  <si>
    <t>May 7, 2012</t>
  </si>
  <si>
    <t>Apr 30, 2012</t>
  </si>
  <si>
    <t>Apr 23, 2012</t>
  </si>
  <si>
    <t>Apr 16, 2012</t>
  </si>
  <si>
    <t>Apr 9, 2012</t>
  </si>
  <si>
    <t>Apr 2, 2012</t>
  </si>
  <si>
    <t>Mar 26, 2012</t>
  </si>
  <si>
    <t>Mar 19, 2012</t>
  </si>
  <si>
    <t>Mar 12, 2012</t>
  </si>
  <si>
    <t>Mar 5, 2012</t>
  </si>
  <si>
    <t>Feb 27, 2012</t>
  </si>
  <si>
    <t>Feb 20, 2012</t>
  </si>
  <si>
    <t>Feb 13, 2012</t>
  </si>
  <si>
    <t>Feb 6, 2012</t>
  </si>
  <si>
    <t>Jan 30, 2012</t>
  </si>
  <si>
    <t>Jan 23, 2012</t>
  </si>
  <si>
    <t>Jan 16, 2012</t>
  </si>
  <si>
    <t>Jan 9, 2012</t>
  </si>
  <si>
    <t>Jan 2, 2012</t>
  </si>
  <si>
    <t>Dec 26, 2011</t>
  </si>
  <si>
    <t>Dec 19, 2011</t>
  </si>
  <si>
    <t>Dec 12, 2011</t>
  </si>
  <si>
    <t>Dec 5, 2011</t>
  </si>
  <si>
    <t>Nov 28, 2011</t>
  </si>
  <si>
    <t>Nov 21, 2011</t>
  </si>
  <si>
    <t>Nov 14, 2011</t>
  </si>
  <si>
    <t>Nov 7, 2011</t>
  </si>
  <si>
    <t>Nov 4, 2011</t>
  </si>
  <si>
    <t>0.55 Dividend</t>
  </si>
  <si>
    <t>Oct 31, 2011</t>
  </si>
  <si>
    <t>Oct 24, 2011</t>
  </si>
  <si>
    <t>Oct 17, 2011</t>
  </si>
  <si>
    <t>Oct 10, 2011</t>
  </si>
  <si>
    <t>Oct 3, 2011</t>
  </si>
  <si>
    <t>Sep 26, 2011</t>
  </si>
  <si>
    <t>Sep 19, 2011</t>
  </si>
  <si>
    <t>Sep 12, 2011</t>
  </si>
  <si>
    <t>Sep 5, 2011</t>
  </si>
  <si>
    <t>Aug 29, 2011</t>
  </si>
  <si>
    <t>Aug 22, 2011</t>
  </si>
  <si>
    <t>Aug 15, 2011</t>
  </si>
  <si>
    <t>Aug 8, 2011</t>
  </si>
  <si>
    <t>Aug 1, 2011</t>
  </si>
  <si>
    <t>Jul 25, 2011</t>
  </si>
  <si>
    <t>Jul 18, 2011</t>
  </si>
  <si>
    <t>Jul 11, 2011</t>
  </si>
  <si>
    <t>Jul 4, 2011</t>
  </si>
  <si>
    <t>Jun 29, 2011</t>
  </si>
  <si>
    <t>Jun 27, 2011</t>
  </si>
  <si>
    <t>Jun 20, 2011</t>
  </si>
  <si>
    <t>Jun 13, 2011</t>
  </si>
  <si>
    <t>Jun 6, 2011</t>
  </si>
  <si>
    <t>May 30, 2011</t>
  </si>
  <si>
    <t>May 23, 2011</t>
  </si>
  <si>
    <t>May 16, 2011</t>
  </si>
  <si>
    <t>May 9, 2011</t>
  </si>
  <si>
    <t>May 2, 2011</t>
  </si>
  <si>
    <t>Apr 25, 2011</t>
  </si>
  <si>
    <t>Apr 18, 2011</t>
  </si>
  <si>
    <t>Apr 11, 2011</t>
  </si>
  <si>
    <t>Apr 4, 2011</t>
  </si>
  <si>
    <t>Mar 28, 2011</t>
  </si>
  <si>
    <t>Mar 21, 2011</t>
  </si>
  <si>
    <t>Mar 14, 2011</t>
  </si>
  <si>
    <t>Mar 7, 2011</t>
  </si>
  <si>
    <t>Feb 28, 2011</t>
  </si>
  <si>
    <t>Feb 21, 2011</t>
  </si>
  <si>
    <t>Feb 14, 2011</t>
  </si>
  <si>
    <t>Feb 7, 2011</t>
  </si>
  <si>
    <t>Jan 31, 2011</t>
  </si>
  <si>
    <t>Jan 24, 2011</t>
  </si>
  <si>
    <t>Jan 17, 2011</t>
  </si>
  <si>
    <t>Jan 10, 2011</t>
  </si>
  <si>
    <t>Jan 3, 2011</t>
  </si>
  <si>
    <t>Dec 27, 2010</t>
  </si>
  <si>
    <t>Dec 20, 2010</t>
  </si>
  <si>
    <t>Dec 13, 2010</t>
  </si>
  <si>
    <t>Dec 6, 2010</t>
  </si>
  <si>
    <t>Nov 29, 2010</t>
  </si>
  <si>
    <t>Nov 22, 2010</t>
  </si>
  <si>
    <t>Nov 15, 2010</t>
  </si>
  <si>
    <t>Nov 8, 2010</t>
  </si>
  <si>
    <t>Nov 2, 2010</t>
  </si>
  <si>
    <t>0.50 Dividend</t>
  </si>
  <si>
    <t>Nov 1, 2010</t>
  </si>
  <si>
    <t>Oct 25, 2010</t>
  </si>
  <si>
    <t>Oct 18, 2010</t>
  </si>
  <si>
    <t>Oct 11, 2010</t>
  </si>
  <si>
    <t>Oct 4, 2010</t>
  </si>
  <si>
    <t>Sep 27, 2010</t>
  </si>
  <si>
    <t>Sep 20, 2010</t>
  </si>
  <si>
    <t>Sep 13, 2010</t>
  </si>
  <si>
    <t>Sep 8, 2010</t>
  </si>
  <si>
    <t>2:1 Stock Splits</t>
  </si>
  <si>
    <t>Sep 6, 2010</t>
  </si>
  <si>
    <t>Aug 30, 2010</t>
  </si>
  <si>
    <t>Aug 23, 2010</t>
  </si>
  <si>
    <t>Aug 16, 2010</t>
  </si>
  <si>
    <t>Aug 9, 2010</t>
  </si>
  <si>
    <t>Aug 3, 2010</t>
  </si>
  <si>
    <t>0.63 Dividend</t>
  </si>
  <si>
    <t>Aug 2, 2010</t>
  </si>
  <si>
    <t>Jul 26, 2010</t>
  </si>
  <si>
    <t>Jul 19, 2010</t>
  </si>
  <si>
    <t>Jul 12, 2010</t>
  </si>
  <si>
    <t>Jul 5, 2010</t>
  </si>
  <si>
    <t>Jun 28, 2010</t>
  </si>
  <si>
    <t>Jun 21, 2010</t>
  </si>
  <si>
    <t>Jun 14, 2010</t>
  </si>
  <si>
    <t>Jun 7, 2010</t>
  </si>
  <si>
    <t>May 31, 2010</t>
  </si>
  <si>
    <t>May 24, 2010</t>
  </si>
  <si>
    <t>May 17, 2010</t>
  </si>
  <si>
    <t>May 10, 2010</t>
  </si>
  <si>
    <t>May 3, 2010</t>
  </si>
  <si>
    <t>Apr 26, 2010</t>
  </si>
  <si>
    <t>Apr 19, 2010</t>
  </si>
  <si>
    <t>Apr 12, 2010</t>
  </si>
  <si>
    <t>Apr 5, 2010</t>
  </si>
  <si>
    <t>Mar 29, 2010</t>
  </si>
  <si>
    <t>Mar 22, 2010</t>
  </si>
  <si>
    <t>Mar 15, 2010</t>
  </si>
  <si>
    <t>Mar 8, 2010</t>
  </si>
  <si>
    <t>Mar 1, 2010</t>
  </si>
  <si>
    <t>Feb 22, 2010</t>
  </si>
  <si>
    <t>Feb 15, 2010</t>
  </si>
  <si>
    <t>Feb 8, 2010</t>
  </si>
  <si>
    <t>Feb 1, 2010</t>
  </si>
  <si>
    <t>Jan 25, 2010</t>
  </si>
  <si>
    <t>Jan 18, 2010</t>
  </si>
  <si>
    <t>Jan 11, 2010</t>
  </si>
  <si>
    <t>Jan 4, 2010</t>
  </si>
  <si>
    <t>Dec 28, 2009</t>
  </si>
  <si>
    <t>Dec 21, 2009</t>
  </si>
  <si>
    <t>Dec 14, 2009</t>
  </si>
  <si>
    <t>Dec 7, 2009</t>
  </si>
  <si>
    <t>Nov 30, 2009</t>
  </si>
  <si>
    <t>Nov 23, 2009</t>
  </si>
  <si>
    <t>Nov 16, 2009</t>
  </si>
  <si>
    <t>Nov 9, 2009</t>
  </si>
  <si>
    <t>Nov 2, 2009</t>
  </si>
  <si>
    <t>Oct 30, 2009</t>
  </si>
  <si>
    <t>0.38 Dividend</t>
  </si>
  <si>
    <t>Oct 26, 2009</t>
  </si>
  <si>
    <t>Oct 19, 2009</t>
  </si>
  <si>
    <t>Oct 12, 2009</t>
  </si>
  <si>
    <t>Oct 5, 2009</t>
  </si>
  <si>
    <t>Sep 28, 2009</t>
  </si>
  <si>
    <t>Sep 21, 2009</t>
  </si>
  <si>
    <t>Sep 14, 2009</t>
  </si>
  <si>
    <t>Sep 7, 2009</t>
  </si>
  <si>
    <t>Aug 31, 2009</t>
  </si>
  <si>
    <t>Aug 24, 2009</t>
  </si>
  <si>
    <t>Aug 17, 2009</t>
  </si>
  <si>
    <t>Aug 10, 2009</t>
  </si>
  <si>
    <t>Aug 3, 2009</t>
  </si>
  <si>
    <t>Jul 27, 2009</t>
  </si>
  <si>
    <t>Jul 20, 2009</t>
  </si>
  <si>
    <t>Jul 13, 2009</t>
  </si>
  <si>
    <t>Jul 6, 2009</t>
  </si>
  <si>
    <t>Jun 29, 2009</t>
  </si>
  <si>
    <t>Jun 22, 2009</t>
  </si>
  <si>
    <t>Jun 15, 2009</t>
  </si>
  <si>
    <t>Jun 8, 2009</t>
  </si>
  <si>
    <t>Jun 1, 2009</t>
  </si>
  <si>
    <t>May 25, 2009</t>
  </si>
  <si>
    <t>May 18, 2009</t>
  </si>
  <si>
    <t>May 11, 2009</t>
  </si>
  <si>
    <t>May 4, 2009</t>
  </si>
  <si>
    <t>Apr 27, 2009</t>
  </si>
  <si>
    <t>Apr 20, 2009</t>
  </si>
  <si>
    <t>Apr 13, 2009</t>
  </si>
  <si>
    <t>Apr 6, 2009</t>
  </si>
  <si>
    <t>Mar 30, 2009</t>
  </si>
  <si>
    <t>Mar 23, 2009</t>
  </si>
  <si>
    <t>Mar 16, 2009</t>
  </si>
  <si>
    <t>Mar 9, 2009</t>
  </si>
  <si>
    <t>Mar 2, 2009</t>
  </si>
  <si>
    <t>Feb 23, 2009</t>
  </si>
  <si>
    <t>Feb 16, 2009</t>
  </si>
  <si>
    <t>Feb 9, 2009</t>
  </si>
  <si>
    <t>Feb 2, 2009</t>
  </si>
  <si>
    <t>Jan 26, 2009</t>
  </si>
  <si>
    <t>Jan 19, 2009</t>
  </si>
  <si>
    <t>Jan 12, 2009</t>
  </si>
  <si>
    <t>Jan 5, 2009</t>
  </si>
  <si>
    <t>Dec 29, 2008</t>
  </si>
  <si>
    <t>Dec 22, 2008</t>
  </si>
  <si>
    <t>Dec 15, 2008</t>
  </si>
  <si>
    <t>Dec 8, 2008</t>
  </si>
  <si>
    <t>Dec 1, 2008</t>
  </si>
  <si>
    <t>Nov 24, 2008</t>
  </si>
  <si>
    <t>Nov 17, 2008</t>
  </si>
  <si>
    <t>Nov 10, 2008</t>
  </si>
  <si>
    <t>Nov 3, 2008</t>
  </si>
  <si>
    <t>Oct 27, 2008</t>
  </si>
  <si>
    <t>Oct 20, 2008</t>
  </si>
  <si>
    <t>Oct 13, 2008</t>
  </si>
  <si>
    <t>Oct 6, 2008</t>
  </si>
  <si>
    <t>Sep 29, 2008</t>
  </si>
  <si>
    <t>Sep 22, 2008</t>
  </si>
  <si>
    <t>Sep 15, 2008</t>
  </si>
  <si>
    <t>Sep 8, 2008</t>
  </si>
  <si>
    <t>Sep 1, 2008</t>
  </si>
  <si>
    <t>Aug 25, 2008</t>
  </si>
  <si>
    <t>Aug 18, 2008</t>
  </si>
  <si>
    <t>Aug 11, 2008</t>
  </si>
  <si>
    <t>Aug 4, 2008</t>
  </si>
  <si>
    <t>Jul 28, 2008</t>
  </si>
  <si>
    <t>Jul 21, 2008</t>
  </si>
  <si>
    <t>Jul 14, 2008</t>
  </si>
  <si>
    <t>Jul 7, 2008</t>
  </si>
  <si>
    <t>Jun 30, 2008</t>
  </si>
  <si>
    <t>Jun 23, 2008</t>
  </si>
  <si>
    <t>Jun 19, 2008</t>
  </si>
  <si>
    <t>Jun 16, 2008</t>
  </si>
  <si>
    <t>Jun 9, 2008</t>
  </si>
  <si>
    <t>Jun 2, 2008</t>
  </si>
  <si>
    <t>May 26, 2008</t>
  </si>
  <si>
    <t>May 19, 2008</t>
  </si>
  <si>
    <t>May 12, 2008</t>
  </si>
  <si>
    <t>May 5, 2008</t>
  </si>
  <si>
    <t>Apr 28, 2008</t>
  </si>
  <si>
    <t>Apr 21, 2008</t>
  </si>
  <si>
    <t>Apr 14, 2008</t>
  </si>
  <si>
    <t>Apr 7, 2008</t>
  </si>
  <si>
    <t>Mar 31, 2008</t>
  </si>
  <si>
    <t>Mar 24, 2008</t>
  </si>
  <si>
    <t>Mar 17, 2008</t>
  </si>
  <si>
    <t>Mar 10, 2008</t>
  </si>
  <si>
    <t>Mar 3, 2008</t>
  </si>
  <si>
    <t>Feb 25, 2008</t>
  </si>
  <si>
    <t>Feb 18, 2008</t>
  </si>
  <si>
    <t>Feb 11, 2008</t>
  </si>
  <si>
    <t>Feb 4, 2008</t>
  </si>
  <si>
    <t>Jan 28, 2008</t>
  </si>
  <si>
    <t>Jan 21, 2008</t>
  </si>
  <si>
    <t>Jan 14, 2008</t>
  </si>
  <si>
    <t>Jan 7, 2008</t>
  </si>
  <si>
    <t>Dec 31, 2007</t>
  </si>
  <si>
    <t>Dec 24, 2007</t>
  </si>
  <si>
    <t>Dec 17, 2007</t>
  </si>
  <si>
    <t>Dec 10, 2007</t>
  </si>
  <si>
    <t>Dec 3, 2007</t>
  </si>
  <si>
    <t>Nov 26, 2007</t>
  </si>
  <si>
    <t>Nov 19, 2007</t>
  </si>
  <si>
    <t>Nov 12, 2007</t>
  </si>
  <si>
    <t>Nov 5, 2007</t>
  </si>
  <si>
    <t>Oct 29, 2007</t>
  </si>
  <si>
    <t>Oct 22, 2007</t>
  </si>
  <si>
    <t>Oct 15, 2007</t>
  </si>
  <si>
    <t>Oct 8, 2007</t>
  </si>
  <si>
    <t>Oct 1, 2007</t>
  </si>
  <si>
    <t>Sep 24, 2007</t>
  </si>
  <si>
    <t>Sep 17, 2007</t>
  </si>
  <si>
    <t>Sep 10, 2007</t>
  </si>
  <si>
    <t>Sep 3, 2007</t>
  </si>
  <si>
    <t>Aug 27, 2007</t>
  </si>
  <si>
    <t>Aug 20, 2007</t>
  </si>
  <si>
    <t>Aug 13, 2007</t>
  </si>
  <si>
    <t>Aug 6, 2007</t>
  </si>
  <si>
    <t>Jul 30, 2007</t>
  </si>
  <si>
    <t>Jul 23, 2007</t>
  </si>
  <si>
    <t>Jul 16, 2007</t>
  </si>
  <si>
    <t>Jul 9, 2007</t>
  </si>
  <si>
    <t>Jul 2, 2007</t>
  </si>
  <si>
    <t>Jun 25, 2007</t>
  </si>
  <si>
    <t>Jun 18, 2007</t>
  </si>
  <si>
    <t>Jun 11, 2007</t>
  </si>
  <si>
    <t>Jun 4, 2007</t>
  </si>
  <si>
    <t>May 28, 2007</t>
  </si>
  <si>
    <t>May 21, 2007</t>
  </si>
  <si>
    <t>May 14, 2007</t>
  </si>
  <si>
    <t>May 7, 2007</t>
  </si>
  <si>
    <t>Apr 30, 2007</t>
  </si>
  <si>
    <t>Apr 23, 2007</t>
  </si>
  <si>
    <t>Apr 16, 2007</t>
  </si>
  <si>
    <t>Apr 9, 2007</t>
  </si>
  <si>
    <t>Apr 2, 2007</t>
  </si>
  <si>
    <t>Mar 26, 2007</t>
  </si>
  <si>
    <t>Mar 19, 2007</t>
  </si>
  <si>
    <t>Mar 16, 2007</t>
  </si>
  <si>
    <t>Mar 12, 2007</t>
  </si>
  <si>
    <t>Mar 5, 2007</t>
  </si>
  <si>
    <t>Feb 26, 2007</t>
  </si>
  <si>
    <t>Feb 19, 2007</t>
  </si>
  <si>
    <t>Feb 12, 2007</t>
  </si>
  <si>
    <t>Feb 5, 2007</t>
  </si>
  <si>
    <t>Jan 29, 2007</t>
  </si>
  <si>
    <t>Jan 25, 2007</t>
  </si>
  <si>
    <t>3:2 Stock Splits</t>
  </si>
  <si>
    <t>Jan 22, 2007</t>
  </si>
  <si>
    <t>Jan 15, 2007</t>
  </si>
  <si>
    <t>Jan 8, 2007</t>
  </si>
  <si>
    <t>Jan 1, 2007</t>
  </si>
  <si>
    <t>Dec 25, 2006</t>
  </si>
  <si>
    <t>Dec 18, 2006</t>
  </si>
  <si>
    <t>Dec 11, 2006</t>
  </si>
  <si>
    <t>Dec 4, 2006</t>
  </si>
  <si>
    <t>Nov 27, 2006</t>
  </si>
  <si>
    <t>Nov 20, 2006</t>
  </si>
  <si>
    <t>Nov 13, 2006</t>
  </si>
  <si>
    <t>Nov 6, 2006</t>
  </si>
  <si>
    <t>Nov 3, 2006</t>
  </si>
  <si>
    <t>0.33 Dividend</t>
  </si>
  <si>
    <t>Oct 30, 2006</t>
  </si>
  <si>
    <t>Oct 23, 2006</t>
  </si>
  <si>
    <t>Oct 16, 2006</t>
  </si>
  <si>
    <t>Oct 9, 2006</t>
  </si>
  <si>
    <t>Oct 2, 2006</t>
  </si>
  <si>
    <t>Sep 25, 2006</t>
  </si>
  <si>
    <t>Sep 18, 2006</t>
  </si>
  <si>
    <t>Sep 11, 2006</t>
  </si>
  <si>
    <t>Sep 4, 2006</t>
  </si>
  <si>
    <t>Aug 28, 2006</t>
  </si>
  <si>
    <t>Aug 21, 2006</t>
  </si>
  <si>
    <t>Aug 14, 2006</t>
  </si>
  <si>
    <t>Aug 7, 2006</t>
  </si>
  <si>
    <t>Jul 31, 2006</t>
  </si>
  <si>
    <t>Jul 24, 2006</t>
  </si>
  <si>
    <t>Jul 17, 2006</t>
  </si>
  <si>
    <t>Jul 10, 2006</t>
  </si>
  <si>
    <t>Jul 3, 2006</t>
  </si>
  <si>
    <t>Jun 26, 2006</t>
  </si>
  <si>
    <t>Jun 21, 2006</t>
  </si>
  <si>
    <t>Jun 19, 2006</t>
  </si>
  <si>
    <t>Jun 12, 2006</t>
  </si>
  <si>
    <t>Jun 5, 2006</t>
  </si>
  <si>
    <t>May 29, 2006</t>
  </si>
  <si>
    <t>May 22, 2006</t>
  </si>
  <si>
    <t>May 15, 2006</t>
  </si>
  <si>
    <t>May 8, 2006</t>
  </si>
  <si>
    <t>May 1, 2006</t>
  </si>
  <si>
    <t>Apr 24, 2006</t>
  </si>
  <si>
    <t>Apr 17, 2006</t>
  </si>
  <si>
    <t>Apr 10, 2006</t>
  </si>
  <si>
    <t>Apr 3, 2006</t>
  </si>
  <si>
    <t>Mar 27, 2006</t>
  </si>
  <si>
    <t>Mar 20, 2006</t>
  </si>
  <si>
    <t>Mar 13, 2006</t>
  </si>
  <si>
    <t>Mar 6, 2006</t>
  </si>
  <si>
    <t>Feb 27, 2006</t>
  </si>
  <si>
    <t>Feb 20, 2006</t>
  </si>
  <si>
    <t>Feb 13, 2006</t>
  </si>
  <si>
    <t>Feb 6, 2006</t>
  </si>
  <si>
    <t>Jan 30, 2006</t>
  </si>
  <si>
    <t>Jan 23, 2006</t>
  </si>
  <si>
    <t>Jan 19, 2006</t>
  </si>
  <si>
    <t>Jan 16, 2006</t>
  </si>
  <si>
    <t>Jan 9, 2006</t>
  </si>
  <si>
    <t>Jan 2, 2006</t>
  </si>
  <si>
    <t>Dec 26, 2005</t>
  </si>
  <si>
    <t>Dec 19, 2005</t>
  </si>
  <si>
    <t>Dec 12, 2005</t>
  </si>
  <si>
    <t>Dec 5, 2005</t>
  </si>
  <si>
    <t>Nov 28, 2005</t>
  </si>
  <si>
    <t>Nov 21, 2005</t>
  </si>
  <si>
    <t>Nov 14, 2005</t>
  </si>
  <si>
    <t>Nov 7, 2005</t>
  </si>
  <si>
    <t>Oct 31, 2005</t>
  </si>
  <si>
    <t>Oct 28, 2005</t>
  </si>
  <si>
    <t>0.25 Dividend</t>
  </si>
  <si>
    <t>Oct 24, 2005</t>
  </si>
  <si>
    <t>Oct 17, 2005</t>
  </si>
  <si>
    <t>Oct 10, 2005</t>
  </si>
  <si>
    <t>Oct 3, 2005</t>
  </si>
  <si>
    <t>Sep 26, 2005</t>
  </si>
  <si>
    <t>Sep 19, 2005</t>
  </si>
  <si>
    <t>Sep 12, 2005</t>
  </si>
  <si>
    <t>Sep 5, 2005</t>
  </si>
  <si>
    <t>Aug 29, 2005</t>
  </si>
  <si>
    <t>Aug 22, 2005</t>
  </si>
  <si>
    <t>Aug 15, 2005</t>
  </si>
  <si>
    <t>Aug 8, 2005</t>
  </si>
  <si>
    <t>Aug 1, 2005</t>
  </si>
  <si>
    <t>Jul 25, 2005</t>
  </si>
  <si>
    <t>Jul 18, 2005</t>
  </si>
  <si>
    <t>Jul 11, 2005</t>
  </si>
  <si>
    <t>Jul 4, 2005</t>
  </si>
  <si>
    <t>Jun 29, 2005</t>
  </si>
  <si>
    <t>Jun 27, 2005</t>
  </si>
  <si>
    <t>Jun 20, 2005</t>
  </si>
  <si>
    <t>Jun 13, 2005</t>
  </si>
  <si>
    <t>Jun 6, 2005</t>
  </si>
  <si>
    <t>May 30, 2005</t>
  </si>
  <si>
    <t>May 23, 2005</t>
  </si>
  <si>
    <t>May 16, 2005</t>
  </si>
  <si>
    <t>May 9, 2005</t>
  </si>
  <si>
    <t>May 2, 2005</t>
  </si>
  <si>
    <t>Apr 25, 2005</t>
  </si>
  <si>
    <t>Apr 18, 2005</t>
  </si>
  <si>
    <t>Apr 11, 2005</t>
  </si>
  <si>
    <t>Apr 4, 2005</t>
  </si>
  <si>
    <t>Mar 28, 2005</t>
  </si>
  <si>
    <t>Mar 21, 2005</t>
  </si>
  <si>
    <t>Mar 14, 2005</t>
  </si>
  <si>
    <t>Mar 7, 2005</t>
  </si>
  <si>
    <t>Feb 28, 2005</t>
  </si>
  <si>
    <t>Feb 21, 2005</t>
  </si>
  <si>
    <t>Feb 14, 2005</t>
  </si>
  <si>
    <t>Feb 7, 2005</t>
  </si>
  <si>
    <t>Jan 31, 2005</t>
  </si>
  <si>
    <t>Jan 24, 2005</t>
  </si>
  <si>
    <t>Jan 17, 2005</t>
  </si>
  <si>
    <t>Jan 10, 2005</t>
  </si>
  <si>
    <t>Jan 3, 2005</t>
  </si>
  <si>
    <t>Dec 27, 2004</t>
  </si>
  <si>
    <t>Dec 20, 2004</t>
  </si>
  <si>
    <t>Dec 13, 2004</t>
  </si>
  <si>
    <t>Dec 6, 2004</t>
  </si>
  <si>
    <t>Nov 29, 2004</t>
  </si>
  <si>
    <t>Nov 22, 2004</t>
  </si>
  <si>
    <t>Nov 15, 2004</t>
  </si>
  <si>
    <t>Nov 8, 2004</t>
  </si>
  <si>
    <t>Nov 2, 2004</t>
  </si>
  <si>
    <t>0.17 Dividend</t>
  </si>
  <si>
    <t>Nov 1, 2004</t>
  </si>
  <si>
    <t>Oct 25, 2004</t>
  </si>
  <si>
    <t>Oct 18, 2004</t>
  </si>
  <si>
    <t>Oct 11, 2004</t>
  </si>
  <si>
    <t>Oct 4, 2004</t>
  </si>
  <si>
    <t>Sep 27, 2004</t>
  </si>
  <si>
    <t>Sep 20, 2004</t>
  </si>
  <si>
    <t>Sep 13, 2004</t>
  </si>
  <si>
    <t>Sep 6, 2004</t>
  </si>
  <si>
    <t>Aug 30, 2004</t>
  </si>
  <si>
    <t>Aug 23, 2004</t>
  </si>
  <si>
    <t>Aug 16, 2004</t>
  </si>
  <si>
    <t>Aug 9, 2004</t>
  </si>
  <si>
    <t>Aug 2, 2004</t>
  </si>
  <si>
    <t>Jul 26, 2004</t>
  </si>
  <si>
    <t>Jul 19, 2004</t>
  </si>
  <si>
    <t>Jul 12, 2004</t>
  </si>
  <si>
    <t>Jul 5, 2004</t>
  </si>
  <si>
    <t>Jun 28, 2004</t>
  </si>
  <si>
    <t>Jun 21, 2004</t>
  </si>
  <si>
    <t>Jun 15, 2004</t>
  </si>
  <si>
    <t>0.23 Dividend</t>
  </si>
  <si>
    <t>Jun 14, 2004</t>
  </si>
  <si>
    <t>Jun 7, 2004</t>
  </si>
  <si>
    <t>May 31, 2004</t>
  </si>
  <si>
    <t>May 24, 2004</t>
  </si>
  <si>
    <t>May 17, 2004</t>
  </si>
  <si>
    <t>May 10, 2004</t>
  </si>
  <si>
    <t>May 3, 2004</t>
  </si>
  <si>
    <t>Apr 26, 2004</t>
  </si>
  <si>
    <t>Apr 19, 2004</t>
  </si>
  <si>
    <t>Apr 12, 2004</t>
  </si>
  <si>
    <t>Apr 5, 2004</t>
  </si>
  <si>
    <t>Mar 29, 2004</t>
  </si>
  <si>
    <t>Mar 22, 2004</t>
  </si>
  <si>
    <t>Mar 15, 2004</t>
  </si>
  <si>
    <t>Mar 8, 2004</t>
  </si>
  <si>
    <t>Mar 1, 2004</t>
  </si>
  <si>
    <t>Feb 23, 2004</t>
  </si>
  <si>
    <t>Feb 16, 2004</t>
  </si>
  <si>
    <t>Feb 9, 2004</t>
  </si>
  <si>
    <t>Feb 2, 2004</t>
  </si>
  <si>
    <t>Jan 26, 2004</t>
  </si>
  <si>
    <t>Jan 19, 2004</t>
  </si>
  <si>
    <t>Jan 12, 2004</t>
  </si>
  <si>
    <t>Jan 5, 2004</t>
  </si>
  <si>
    <t>Dec 29, 2003</t>
  </si>
  <si>
    <t>Dec 22, 2003</t>
  </si>
  <si>
    <t>Dec 15, 2003</t>
  </si>
  <si>
    <t>Dec 8, 2003</t>
  </si>
  <si>
    <t>Dec 1, 2003</t>
  </si>
  <si>
    <t>Nov 24, 2003</t>
  </si>
  <si>
    <t>Nov 20, 2003</t>
  </si>
  <si>
    <t>0.10 Dividend</t>
  </si>
  <si>
    <t>Nov 17, 2003</t>
  </si>
  <si>
    <t>Nov 10, 2003</t>
  </si>
  <si>
    <t>Nov 3, 2003</t>
  </si>
  <si>
    <t>Oct 27, 2003</t>
  </si>
  <si>
    <t>Oct 20, 2003</t>
  </si>
  <si>
    <t>Oct 13, 2003</t>
  </si>
  <si>
    <t>Oct 6, 2003</t>
  </si>
  <si>
    <t>Sep 29, 2003</t>
  </si>
  <si>
    <t>Sep 22, 2003</t>
  </si>
  <si>
    <t>Sep 15, 2003</t>
  </si>
  <si>
    <t>Sep 8, 2003</t>
  </si>
  <si>
    <t>Sep 1, 2003</t>
  </si>
  <si>
    <t>Aug 25, 2003</t>
  </si>
  <si>
    <t>Aug 18, 2003</t>
  </si>
  <si>
    <t>Aug 11, 2003</t>
  </si>
  <si>
    <t>Aug 4, 2003</t>
  </si>
  <si>
    <t>Jul 28, 2003</t>
  </si>
  <si>
    <t>Jul 21, 2003</t>
  </si>
  <si>
    <t>Jul 14, 2003</t>
  </si>
  <si>
    <t>0.15 Dividend</t>
  </si>
  <si>
    <t>Jul 7, 2003</t>
  </si>
  <si>
    <t>Jun 30, 2003</t>
  </si>
  <si>
    <t>Jun 23, 2003</t>
  </si>
  <si>
    <t>Jun 16, 2003</t>
  </si>
  <si>
    <t>Jun 9, 2003</t>
  </si>
  <si>
    <t>Jun 2, 2003</t>
  </si>
  <si>
    <t>May 26, 2003</t>
  </si>
  <si>
    <t>May 19, 2003</t>
  </si>
  <si>
    <t>May 12, 2003</t>
  </si>
  <si>
    <t>May 5, 2003</t>
  </si>
  <si>
    <t>Apr 28, 2003</t>
  </si>
  <si>
    <t>Apr 21, 2003</t>
  </si>
  <si>
    <t>Apr 14, 2003</t>
  </si>
  <si>
    <t>Apr 7, 2003</t>
  </si>
  <si>
    <t>Mar 31, 2003</t>
  </si>
  <si>
    <t>Mar 24, 2003</t>
  </si>
  <si>
    <t>Mar 17, 2003</t>
  </si>
  <si>
    <t>Mar 10, 2003</t>
  </si>
  <si>
    <t>Mar 3, 2003</t>
  </si>
  <si>
    <t>Feb 24, 2003</t>
  </si>
  <si>
    <t>Feb 17, 2003</t>
  </si>
  <si>
    <t>Feb 10, 2003</t>
  </si>
  <si>
    <t>Feb 3, 2003</t>
  </si>
  <si>
    <t>Jan 27, 2003</t>
  </si>
  <si>
    <t>Jan 20, 2003</t>
  </si>
  <si>
    <t>Jan 13, 2003</t>
  </si>
  <si>
    <t>Jan 6, 2003</t>
  </si>
  <si>
    <t>Dec 30, 2002</t>
  </si>
  <si>
    <t>Dec 23, 2002</t>
  </si>
  <si>
    <t>Dec 16, 2002</t>
  </si>
  <si>
    <t>Dec 9, 2002</t>
  </si>
  <si>
    <t>Dec 2, 2002</t>
  </si>
  <si>
    <t>Nov 25, 2002</t>
  </si>
  <si>
    <t>Nov 18, 2002</t>
  </si>
  <si>
    <t>Nov 11, 2002</t>
  </si>
  <si>
    <t>Nov 4, 2002</t>
  </si>
  <si>
    <t>Oct 28, 2002</t>
  </si>
  <si>
    <t>Oct 21, 2002</t>
  </si>
  <si>
    <t>Oct 14, 2002</t>
  </si>
  <si>
    <t>Oct 7, 2002</t>
  </si>
  <si>
    <t>Sep 30, 2002</t>
  </si>
  <si>
    <t>Sep 23, 2002</t>
  </si>
  <si>
    <t>Sep 16, 2002</t>
  </si>
  <si>
    <t>Sep 9, 2002</t>
  </si>
  <si>
    <t>Sep 2, 2002</t>
  </si>
  <si>
    <t>Aug 26, 2002</t>
  </si>
  <si>
    <t>Aug 19, 2002</t>
  </si>
  <si>
    <t>Aug 12, 2002</t>
  </si>
  <si>
    <t>Aug 5, 2002</t>
  </si>
  <si>
    <t>Jul 29, 2002</t>
  </si>
  <si>
    <t>Jul 22, 2002</t>
  </si>
  <si>
    <t>Jul 15, 2002</t>
  </si>
  <si>
    <t>Jul 8, 2002</t>
  </si>
  <si>
    <t>Jul 1, 2002</t>
  </si>
  <si>
    <t>Percentile</t>
  </si>
  <si>
    <t>VAR</t>
  </si>
  <si>
    <t>CMP</t>
  </si>
  <si>
    <t>Stock Price</t>
  </si>
  <si>
    <t>STD</t>
  </si>
  <si>
    <t>VAR(INR)</t>
  </si>
  <si>
    <t>Confidence</t>
  </si>
  <si>
    <t>Monte Carlo Simulation</t>
  </si>
  <si>
    <t>Replication</t>
  </si>
  <si>
    <t>Simulated Return</t>
  </si>
  <si>
    <t>Historical Approach</t>
  </si>
  <si>
    <t>Calculation of Value at Risk</t>
  </si>
  <si>
    <t>Senstivity Analysis - Terminal Value</t>
  </si>
  <si>
    <t>Senstivity Analysis - Equity Value per Share</t>
  </si>
  <si>
    <t xml:space="preserve">BSE : 500096  |  NSE : DABUR    </t>
  </si>
  <si>
    <t>Comps</t>
  </si>
  <si>
    <t>DCF Bear</t>
  </si>
  <si>
    <t>DCF Base</t>
  </si>
  <si>
    <t>DCF Bull</t>
  </si>
  <si>
    <t>52W H/L</t>
  </si>
  <si>
    <t>OpenLow</t>
  </si>
  <si>
    <t>OpenHigh</t>
  </si>
  <si>
    <t>Football Field Analysis Data</t>
  </si>
  <si>
    <t xml:space="preserve"> BSE : 500096  |  NSE : DABUR    </t>
  </si>
  <si>
    <t xml:space="preserve">If this sheet is touched then its over for me </t>
  </si>
  <si>
    <t xml:space="preserve">    52 Weeks (High - 672.00 &amp; Low - 489.20)</t>
  </si>
  <si>
    <t xml:space="preserve">    ( DABUR | BSE Code : 500096 )  </t>
  </si>
  <si>
    <t xml:space="preserve">About the Company </t>
  </si>
  <si>
    <r>
      <rPr>
        <b/>
        <sz val="10"/>
        <color rgb="FF004225"/>
        <rFont val="Arial"/>
        <family val="2"/>
      </rPr>
      <t>Dabur Ltd</t>
    </r>
    <r>
      <rPr>
        <sz val="10"/>
        <color rgb="FF202122"/>
        <rFont val="Arial"/>
        <family val="2"/>
      </rPr>
      <t> is an Indian multinational </t>
    </r>
    <r>
      <rPr>
        <sz val="10"/>
        <color theme="1"/>
        <rFont val="Arial"/>
        <family val="2"/>
      </rPr>
      <t>consumer goods</t>
    </r>
    <r>
      <rPr>
        <sz val="10"/>
        <color rgb="FF202122"/>
        <rFont val="Arial"/>
        <family val="2"/>
      </rPr>
      <t> company, founded by S. K. Burman and headquartered in </t>
    </r>
    <r>
      <rPr>
        <sz val="10"/>
        <color theme="1"/>
        <rFont val="Arial"/>
        <family val="2"/>
      </rPr>
      <t>Ghaziabad</t>
    </r>
    <r>
      <rPr>
        <sz val="10"/>
        <color rgb="FF202122"/>
        <rFont val="Arial"/>
        <family val="2"/>
      </rPr>
      <t>. It manufactures </t>
    </r>
    <r>
      <rPr>
        <sz val="10"/>
        <color theme="1"/>
        <rFont val="Arial"/>
        <family val="2"/>
      </rPr>
      <t>Ayurvedic</t>
    </r>
    <r>
      <rPr>
        <sz val="10"/>
        <color rgb="FF202122"/>
        <rFont val="Arial"/>
        <family val="2"/>
      </rPr>
      <t> products and </t>
    </r>
    <r>
      <rPr>
        <sz val="10"/>
        <color theme="1"/>
        <rFont val="Arial"/>
        <family val="2"/>
      </rPr>
      <t>fast-moving consumer goods</t>
    </r>
    <r>
      <rPr>
        <sz val="10"/>
        <color rgb="FF202122"/>
        <rFont val="Arial"/>
        <family val="2"/>
      </rPr>
      <t>. Dabur derives around 60% of its revenue from the consumer care business, 11% from the food business and remaining from the international business unit.</t>
    </r>
  </si>
  <si>
    <t>Financial Summary</t>
  </si>
  <si>
    <t>Return on Equity (ROE)</t>
  </si>
  <si>
    <t>Average Shareholder's Equity</t>
  </si>
  <si>
    <t>ROE - Dupont Equation</t>
  </si>
  <si>
    <t>Net Profit Margin (A)</t>
  </si>
  <si>
    <t>Asset Turnover Ratio (B)</t>
  </si>
  <si>
    <t>Average Total Assets</t>
  </si>
  <si>
    <t>Equity Multiplier (C)</t>
  </si>
  <si>
    <t>Return on Equity (A*B*C)</t>
  </si>
  <si>
    <t>Return on Assets</t>
  </si>
  <si>
    <t>Return on Assets (ROA)</t>
  </si>
  <si>
    <t>ROA - Dupont Equation</t>
  </si>
  <si>
    <t>Return on Assets (A*B)</t>
  </si>
  <si>
    <t>Working Capital / Total Assets</t>
  </si>
  <si>
    <t>Retained Earnings / Total Assets</t>
  </si>
  <si>
    <t>EBIT / Total Assets</t>
  </si>
  <si>
    <t>Market Capitalization / Long-Term Liabilities</t>
  </si>
  <si>
    <t>Market Cap.</t>
  </si>
  <si>
    <t>Long Term Liabilities</t>
  </si>
  <si>
    <t>Sales / Total Assets</t>
  </si>
  <si>
    <t>Altman's Z Score</t>
  </si>
  <si>
    <t>Working Capital / Total Assets (A)</t>
  </si>
  <si>
    <t>Retained Earnings / Total Assets (B)</t>
  </si>
  <si>
    <t>EBIT / Total Assets (C)</t>
  </si>
  <si>
    <t>Market Cap /Long-Term Liabilities (D)</t>
  </si>
  <si>
    <t>Sales / Total Assets (E)</t>
  </si>
  <si>
    <t>Financial Stability</t>
  </si>
  <si>
    <t>Altman's Z Score Analysis</t>
  </si>
  <si>
    <t>Altman's Z Score Analysis Calculation</t>
  </si>
  <si>
    <t>Total Sales</t>
  </si>
  <si>
    <t>Sales Growth (y-o-y) (%)</t>
  </si>
  <si>
    <t>Gross Profit Margins (%)</t>
  </si>
  <si>
    <t>EBIT Margins (%)</t>
  </si>
  <si>
    <t>EBITDA Margins (%)</t>
  </si>
  <si>
    <t>Net Profit Margins (%)</t>
  </si>
  <si>
    <t>Earnings per Share (in Rs.)</t>
  </si>
  <si>
    <t>EPS Growth (y-o-y) (%)</t>
  </si>
  <si>
    <t>Dividend per Share (in Rs.)</t>
  </si>
  <si>
    <t>Dividend Growth (y-o-y) (%)</t>
  </si>
  <si>
    <t>Key Financial Metrics</t>
  </si>
  <si>
    <t>Key Financial Ratios</t>
  </si>
  <si>
    <t>EV/Total Sales</t>
  </si>
  <si>
    <t>Price to Book Value</t>
  </si>
  <si>
    <t>Volume</t>
  </si>
  <si>
    <t>Sep 30, 2024</t>
  </si>
  <si>
    <t>ICICI PRUDENTIAL REGULAR SAVINGS FUND</t>
  </si>
  <si>
    <t>s</t>
  </si>
  <si>
    <t>VIC ENTERPRISES PRIVATE LIMITED</t>
  </si>
  <si>
    <t>CHOWDRY ASSOCIATES</t>
  </si>
  <si>
    <t>GYAN ENTERPRISES PRIVATE LIMITED</t>
  </si>
  <si>
    <t>RATNA COMMERCIAL ENTERPRISES PRIVATE LIMITED</t>
  </si>
  <si>
    <t>PURAN ASSOCIATES PRIVATE LIMITED</t>
  </si>
  <si>
    <t>MILKY INVESTMENT AND TRADING COMPANY</t>
  </si>
  <si>
    <t>LIFE INSURANCE CORPORATION OF INDIA</t>
  </si>
  <si>
    <t>BURMANS FINVEST PRIVATE LIMITED</t>
  </si>
  <si>
    <t>M.B. FINMART PRIVATE LIMITED</t>
  </si>
  <si>
    <t>Market Value</t>
  </si>
  <si>
    <t>Top 10 Shareholders</t>
  </si>
  <si>
    <t>No. of Shares (in Crs.)</t>
  </si>
  <si>
    <t>% Holding</t>
  </si>
  <si>
    <t>Market Value (in Crs.)</t>
  </si>
  <si>
    <t>Promoters</t>
  </si>
  <si>
    <t>FII</t>
  </si>
  <si>
    <t>DII</t>
  </si>
  <si>
    <t>Share Price - 5Y</t>
  </si>
  <si>
    <t>Volumes - 5Y</t>
  </si>
  <si>
    <t>Dabur Ltd is an Indian multinational consumer goods company, founded by S. K. Burman and headquartered in Ghaziabad. It manufactures Ayurvedic products and fast-moving consumer goods. Dabur derives around 60% of its revenue from the consumer care business, 11% from the food business and remaining from the international business unit.</t>
  </si>
  <si>
    <t>DABUR INDIA LTD. - One Page Profile</t>
  </si>
  <si>
    <t>Public &amp; 
Government</t>
  </si>
  <si>
    <t>Shareholding Pattern</t>
  </si>
  <si>
    <r>
      <t xml:space="preserve">Share Price as </t>
    </r>
    <r>
      <rPr>
        <b/>
        <sz val="11"/>
        <color theme="1"/>
        <rFont val="Calibri"/>
        <family val="2"/>
        <scheme val="minor"/>
      </rPr>
      <t>30-9-24</t>
    </r>
  </si>
  <si>
    <t>No. of Shares O/S</t>
  </si>
  <si>
    <t>Less : Cash and Equivalents</t>
  </si>
  <si>
    <t>Add : Total Debt</t>
  </si>
  <si>
    <t>Add : Minority Interest</t>
  </si>
  <si>
    <t>Managerial Remuneration</t>
  </si>
  <si>
    <t>Times of median salary</t>
  </si>
  <si>
    <t>Designation</t>
  </si>
  <si>
    <t>Mr. Ajit Mohan Sharan</t>
  </si>
  <si>
    <t>Mr. P.D. Narang</t>
  </si>
  <si>
    <t>Mr. Mohit Malhotra</t>
  </si>
  <si>
    <t>Dr. Ajay Dua</t>
  </si>
  <si>
    <t>Chairman</t>
  </si>
  <si>
    <t>Executive Director</t>
  </si>
  <si>
    <t>Remuneration (in Crs.)</t>
  </si>
  <si>
    <t>The percentage increase in the median remuneration of employees in the financial year was 8%.</t>
  </si>
  <si>
    <t>Recent Updates</t>
  </si>
  <si>
    <t>Dabur India shares slipped into the red in the morning session after Swiss brokerage UBS downgraded the FMCG major to 'hold' from 'buy' earlier.</t>
  </si>
  <si>
    <t>Dabur India Shares Fall 4.48%, Dividend Announcement Likely On Oct 30; LIC Stake Rises</t>
  </si>
  <si>
    <t>Revenue from operations increased 5% year-on-year (YoY) to Rs 2,815 crore for the reporting period.</t>
  </si>
  <si>
    <t>a year ago.</t>
  </si>
  <si>
    <t>Dabur India on Thursday reported 16% growth in its consolidated net profit at Rs 350 crore for the quarter ended March 2024. It was Rs 301 crore</t>
  </si>
  <si>
    <t>margins improved to 16.6%.</t>
  </si>
  <si>
    <t>EBITDA for the quarter increased 14% year-on-year to Rs 467 crore against Rs 410 crore in the same quarter last year. Meanwhile, consolidated</t>
  </si>
  <si>
    <t>Riding on strong demand for the highly differentiated product portfolio, Dabur oral care penetration now stands at 52%. The quarter saw the oral</t>
  </si>
  <si>
    <t>care business swell by 22% with the toothpaste business reporting a 23% jump.</t>
  </si>
  <si>
    <t xml:space="preserve">In the reporting period, the Egypt business rose 63%. while the Turkey business was up 39% and the Middle East &amp; North Africa (MENA) markets </t>
  </si>
  <si>
    <t>posted a growth of 6.3%. The Sub-Saharan Africa business rose 23.8%.</t>
  </si>
  <si>
    <t>Sources : The Valuation School, Screener.in, Dabur India's Website, Yahoo Finance, Equity Masters and economictimes.indiatimes.com</t>
  </si>
  <si>
    <t>The number of permanent employees on the rolls of the company was 5,369.</t>
  </si>
  <si>
    <t>book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</si>
</sst>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 #,##0.00_ ;_ * \-#,##0.00_ ;_ * &quot;-&quot;??_ ;_ @_ "/>
    <numFmt numFmtId="164" formatCode="_(* #,##0.00_);_(* \(#,##0.00\);_(* &quot;-&quot;??_);_(@_)"/>
    <numFmt numFmtId="165" formatCode="[$-409]mmm\-yy;@"/>
    <numFmt numFmtId="166" formatCode="&quot;₹&quot;\ #,##0;\(&quot;₹&quot;\ #,##0\);\-"/>
    <numFmt numFmtId="167" formatCode="&quot;₹&quot;\ #,##0.0;\(&quot;₹&quot;\ #,##0.0\);\-"/>
    <numFmt numFmtId="168" formatCode="&quot;₹&quot;\ #,##0.0"/>
    <numFmt numFmtId="169" formatCode="&quot;₹&quot;\ #,##0.00;\(&quot;₹&quot;\ #,##0.00\);\-"/>
    <numFmt numFmtId="170" formatCode="0.00&quot;x&quot;"/>
    <numFmt numFmtId="171" formatCode="0&quot; Days&quot;"/>
    <numFmt numFmtId="172" formatCode="yyyy&quot;A&quot;"/>
    <numFmt numFmtId="173" formatCode="yyyy&quot;E&quot;"/>
    <numFmt numFmtId="174" formatCode="mmm/yy&quot;A&quot;"/>
    <numFmt numFmtId="175" formatCode="mmm/yy&quot;F&quot;"/>
    <numFmt numFmtId="176" formatCode="0.000"/>
    <numFmt numFmtId="177" formatCode="#,##0.0;\(#,##0.0\);\-"/>
    <numFmt numFmtId="178" formatCode="#,##0.0;\(#,##0.0\);\-;\-"/>
    <numFmt numFmtId="179" formatCode="0.0"/>
    <numFmt numFmtId="180" formatCode="0.0\x"/>
    <numFmt numFmtId="181" formatCode="0.0%"/>
    <numFmt numFmtId="182" formatCode="#,##0.00;\(#,##0.00\)"/>
    <numFmt numFmtId="183" formatCode="0.00\x"/>
    <numFmt numFmtId="184" formatCode="[$-14009]dd/mm/yy;@"/>
    <numFmt numFmtId="185" formatCode="#,##0;\(#,##0\)"/>
    <numFmt numFmtId="186" formatCode="_ * #,##0_ ;_ * \-#,##0_ ;_ * &quot;-&quot;??_ ;_ @_ "/>
    <numFmt numFmtId="187" formatCode="0&quot;x&quot;"/>
  </numFmts>
  <fonts count="51"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i/>
      <sz val="11"/>
      <color theme="0" tint="-0.499984740745262"/>
      <name val="Calibri"/>
      <family val="2"/>
      <scheme val="minor"/>
    </font>
    <font>
      <i/>
      <sz val="11"/>
      <color theme="0" tint="-0.34998626667073579"/>
      <name val="Calibri"/>
      <family val="2"/>
      <scheme val="minor"/>
    </font>
    <font>
      <i/>
      <sz val="11"/>
      <color theme="1"/>
      <name val="Calibri"/>
      <family val="2"/>
      <scheme val="minor"/>
    </font>
    <font>
      <b/>
      <i/>
      <sz val="11"/>
      <color theme="1"/>
      <name val="Calibri"/>
      <family val="2"/>
      <scheme val="minor"/>
    </font>
    <font>
      <sz val="11"/>
      <color rgb="FF0275D8"/>
      <name val="Calibri"/>
      <family val="2"/>
      <scheme val="minor"/>
    </font>
    <font>
      <sz val="11"/>
      <color rgb="FF22222F"/>
      <name val="Calibri"/>
      <family val="2"/>
      <scheme val="minor"/>
    </font>
    <font>
      <b/>
      <sz val="11"/>
      <color rgb="FF123524"/>
      <name val="Calibri"/>
      <family val="2"/>
      <scheme val="minor"/>
    </font>
    <font>
      <b/>
      <sz val="11"/>
      <color theme="1"/>
      <name val="Calibri"/>
      <family val="2"/>
    </font>
    <font>
      <vertAlign val="superscript"/>
      <sz val="11"/>
      <color theme="1"/>
      <name val="Calibri"/>
      <family val="2"/>
    </font>
    <font>
      <sz val="11"/>
      <color rgb="FF3333FF"/>
      <name val="calibri"/>
      <family val="2"/>
    </font>
    <font>
      <sz val="11"/>
      <color rgb="FF0000FF"/>
      <name val="Calibri"/>
      <family val="2"/>
    </font>
    <font>
      <i/>
      <sz val="11"/>
      <color theme="1"/>
      <name val="Calibri"/>
      <family val="2"/>
    </font>
    <font>
      <sz val="11"/>
      <color rgb="FF0070C0"/>
      <name val="Calibri"/>
      <family val="2"/>
      <scheme val="minor"/>
    </font>
    <font>
      <b/>
      <sz val="14"/>
      <color theme="0"/>
      <name val="calibri"/>
      <family val="2"/>
    </font>
    <font>
      <b/>
      <sz val="11"/>
      <color rgb="FF232A31"/>
      <name val="Calibri"/>
      <family val="2"/>
      <scheme val="minor"/>
    </font>
    <font>
      <sz val="11"/>
      <color rgb="FF232A31"/>
      <name val="Calibri"/>
      <family val="2"/>
      <scheme val="minor"/>
    </font>
    <font>
      <b/>
      <sz val="8"/>
      <color rgb="FF232A31"/>
      <name val="Arial"/>
      <family val="2"/>
    </font>
    <font>
      <sz val="8"/>
      <color rgb="FF232A31"/>
      <name val="Arial"/>
      <family val="2"/>
    </font>
    <font>
      <b/>
      <sz val="24"/>
      <color theme="0"/>
      <name val="Calibri"/>
      <family val="2"/>
      <scheme val="minor"/>
    </font>
    <font>
      <b/>
      <sz val="12"/>
      <color theme="0"/>
      <name val="Calibri"/>
      <family val="2"/>
      <scheme val="minor"/>
    </font>
    <font>
      <sz val="12"/>
      <color theme="0"/>
      <name val="Calibri"/>
      <family val="2"/>
      <scheme val="minor"/>
    </font>
    <font>
      <sz val="11"/>
      <color rgb="FF004225"/>
      <name val="Calibri"/>
      <family val="2"/>
      <scheme val="minor"/>
    </font>
    <font>
      <b/>
      <sz val="10"/>
      <color rgb="FF202122"/>
      <name val="Arial"/>
      <family val="2"/>
    </font>
    <font>
      <sz val="10"/>
      <color rgb="FF202122"/>
      <name val="Arial"/>
      <family val="2"/>
    </font>
    <font>
      <sz val="10"/>
      <color theme="1"/>
      <name val="Arial"/>
      <family val="2"/>
    </font>
    <font>
      <b/>
      <sz val="10"/>
      <color rgb="FF004225"/>
      <name val="Arial"/>
      <family val="2"/>
    </font>
    <font>
      <b/>
      <sz val="25"/>
      <color rgb="FF038654"/>
      <name val="Calibri"/>
      <family val="2"/>
      <scheme val="minor"/>
    </font>
    <font>
      <b/>
      <sz val="14"/>
      <color rgb="FF038654"/>
      <name val="Calibri"/>
      <family val="2"/>
      <scheme val="minor"/>
    </font>
    <font>
      <b/>
      <sz val="12"/>
      <color rgb="FF038654"/>
      <name val="Calibri"/>
      <family val="2"/>
      <scheme val="minor"/>
    </font>
    <font>
      <b/>
      <sz val="11"/>
      <color rgb="FF038654"/>
      <name val="Calibri"/>
      <family val="2"/>
    </font>
    <font>
      <i/>
      <sz val="11"/>
      <color rgb="FF038654"/>
      <name val="Calibri"/>
      <family val="2"/>
      <scheme val="minor"/>
    </font>
    <font>
      <b/>
      <sz val="11"/>
      <color rgb="FF038654"/>
      <name val="Calibri"/>
      <family val="2"/>
      <scheme val="minor"/>
    </font>
    <font>
      <b/>
      <sz val="18"/>
      <color rgb="FF038654"/>
      <name val="Calibri"/>
      <family val="2"/>
      <scheme val="minor"/>
    </font>
    <font>
      <sz val="11"/>
      <color rgb="FF038654"/>
      <name val="Calibri"/>
      <family val="2"/>
      <scheme val="minor"/>
    </font>
    <font>
      <sz val="8"/>
      <color rgb="FF2B2B2B"/>
      <name val="Montserrat"/>
    </font>
    <font>
      <sz val="8"/>
      <color rgb="FF000000"/>
      <name val="Arial"/>
      <family val="2"/>
    </font>
    <font>
      <sz val="10"/>
      <color theme="1"/>
      <name val="Calibri"/>
      <family val="2"/>
      <scheme val="minor"/>
    </font>
    <font>
      <sz val="11.5"/>
      <name val="Calibri"/>
      <family val="2"/>
      <scheme val="minor"/>
    </font>
    <font>
      <sz val="12"/>
      <color theme="1"/>
      <name val="Calibri"/>
      <family val="2"/>
      <scheme val="minor"/>
    </font>
    <font>
      <i/>
      <sz val="12"/>
      <color theme="1"/>
      <name val="Calibri"/>
      <family val="2"/>
      <scheme val="minor"/>
    </font>
    <font>
      <sz val="11"/>
      <color rgb="FF058354"/>
      <name val="Calibri"/>
      <family val="2"/>
      <scheme val="minor"/>
    </font>
  </fonts>
  <fills count="14">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E3F6DA"/>
        <bgColor indexed="64"/>
      </patternFill>
    </fill>
    <fill>
      <patternFill patternType="solid">
        <fgColor rgb="FF038654"/>
        <bgColor indexed="64"/>
      </patternFill>
    </fill>
    <fill>
      <patternFill patternType="solid">
        <fgColor rgb="FFF7F6E8"/>
        <bgColor indexed="64"/>
      </patternFill>
    </fill>
    <fill>
      <patternFill patternType="solid">
        <fgColor rgb="FFD0F0C0"/>
        <bgColor indexed="64"/>
      </patternFill>
    </fill>
    <fill>
      <patternFill patternType="solid">
        <fgColor rgb="FF058354"/>
        <bgColor indexed="64"/>
      </patternFill>
    </fill>
  </fills>
  <borders count="39">
    <border>
      <left/>
      <right/>
      <top/>
      <bottom/>
      <diagonal/>
    </border>
    <border>
      <left/>
      <right/>
      <top style="mediumDashed">
        <color theme="7" tint="-0.24994659260841701"/>
      </top>
      <bottom style="mediumDashed">
        <color theme="7" tint="-0.24994659260841701"/>
      </bottom>
      <diagonal/>
    </border>
    <border>
      <left/>
      <right/>
      <top style="hair">
        <color rgb="FF002060"/>
      </top>
      <bottom/>
      <diagonal/>
    </border>
    <border>
      <left/>
      <right/>
      <top/>
      <bottom style="hair">
        <color rgb="FF002060"/>
      </bottom>
      <diagonal/>
    </border>
    <border>
      <left/>
      <right/>
      <top style="hair">
        <color auto="1"/>
      </top>
      <bottom style="hair">
        <color auto="1"/>
      </bottom>
      <diagonal/>
    </border>
    <border>
      <left/>
      <right/>
      <top style="hair">
        <color auto="1"/>
      </top>
      <bottom/>
      <diagonal/>
    </border>
    <border>
      <left/>
      <right/>
      <top style="thin">
        <color auto="1"/>
      </top>
      <bottom/>
      <diagonal/>
    </border>
    <border>
      <left/>
      <right/>
      <top style="thin">
        <color auto="1"/>
      </top>
      <bottom style="medium">
        <color auto="1"/>
      </bottom>
      <diagonal/>
    </border>
    <border>
      <left/>
      <right/>
      <top style="hair">
        <color rgb="FF013220"/>
      </top>
      <bottom style="hair">
        <color rgb="FF013220"/>
      </bottom>
      <diagonal/>
    </border>
    <border>
      <left/>
      <right/>
      <top style="thin">
        <color rgb="FF013220"/>
      </top>
      <bottom/>
      <diagonal/>
    </border>
    <border>
      <left/>
      <right/>
      <top style="hair">
        <color rgb="FF013220"/>
      </top>
      <bottom/>
      <diagonal/>
    </border>
    <border>
      <left/>
      <right/>
      <top style="thin">
        <color rgb="FF013220"/>
      </top>
      <bottom style="medium">
        <color rgb="FF013220"/>
      </bottom>
      <diagonal/>
    </border>
    <border>
      <left/>
      <right/>
      <top/>
      <bottom style="thin">
        <color theme="0"/>
      </bottom>
      <diagonal/>
    </border>
    <border>
      <left/>
      <right/>
      <top/>
      <bottom style="thin">
        <color rgb="FF123524"/>
      </bottom>
      <diagonal/>
    </border>
    <border>
      <left/>
      <right/>
      <top style="hair">
        <color rgb="FF004225"/>
      </top>
      <bottom style="hair">
        <color rgb="FF004225"/>
      </bottom>
      <diagonal/>
    </border>
    <border>
      <left/>
      <right/>
      <top style="thin">
        <color auto="1"/>
      </top>
      <bottom style="thin">
        <color auto="1"/>
      </bottom>
      <diagonal/>
    </border>
    <border>
      <left/>
      <right/>
      <top/>
      <bottom style="hair">
        <color auto="1"/>
      </bottom>
      <diagonal/>
    </border>
    <border>
      <left/>
      <right/>
      <top style="thin">
        <color rgb="FF002060"/>
      </top>
      <bottom style="thin">
        <color rgb="FF002060"/>
      </bottom>
      <diagonal/>
    </border>
    <border>
      <left/>
      <right/>
      <top style="thin">
        <color rgb="FF123524"/>
      </top>
      <bottom style="thin">
        <color rgb="FF123524"/>
      </bottom>
      <diagonal/>
    </border>
    <border>
      <left/>
      <right/>
      <top style="medium">
        <color rgb="FF013220"/>
      </top>
      <bottom style="medium">
        <color rgb="FF013220"/>
      </bottom>
      <diagonal/>
    </border>
    <border>
      <left/>
      <right/>
      <top style="medium">
        <color rgb="FF013220"/>
      </top>
      <bottom style="thin">
        <color rgb="FF013220"/>
      </bottom>
      <diagonal/>
    </border>
    <border>
      <left/>
      <right/>
      <top style="thin">
        <color rgb="FF013220"/>
      </top>
      <bottom style="thin">
        <color rgb="FF013220"/>
      </bottom>
      <diagonal/>
    </border>
    <border>
      <left/>
      <right/>
      <top style="thin">
        <color rgb="FF004225"/>
      </top>
      <bottom style="medium">
        <color rgb="FF004225"/>
      </bottom>
      <diagonal/>
    </border>
    <border>
      <left/>
      <right/>
      <top style="medium">
        <color rgb="FF004225"/>
      </top>
      <bottom style="medium">
        <color rgb="FF004225"/>
      </bottom>
      <diagonal/>
    </border>
    <border>
      <left/>
      <right/>
      <top/>
      <bottom style="thin">
        <color indexed="64"/>
      </bottom>
      <diagonal/>
    </border>
    <border>
      <left/>
      <right/>
      <top style="medium">
        <color rgb="FF004225"/>
      </top>
      <bottom/>
      <diagonal/>
    </border>
    <border>
      <left/>
      <right/>
      <top/>
      <bottom style="medium">
        <color rgb="FF004225"/>
      </bottom>
      <diagonal/>
    </border>
    <border>
      <left/>
      <right/>
      <top/>
      <bottom style="hair">
        <color rgb="FF013220"/>
      </bottom>
      <diagonal/>
    </border>
    <border>
      <left/>
      <right/>
      <top style="hair">
        <color rgb="FF004225"/>
      </top>
      <bottom style="thin">
        <color rgb="FF00422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hair">
        <color rgb="FF004225"/>
      </bottom>
      <diagonal/>
    </border>
    <border>
      <left style="medium">
        <color rgb="FFDDDDDD"/>
      </left>
      <right/>
      <top/>
      <bottom style="medium">
        <color rgb="FFDDDDDD"/>
      </bottom>
      <diagonal/>
    </border>
    <border>
      <left style="medium">
        <color rgb="FFDDDDDD"/>
      </left>
      <right/>
      <top style="medium">
        <color rgb="FFDDDDDD"/>
      </top>
      <bottom style="medium">
        <color rgb="FFDDDDDD"/>
      </bottom>
      <diagonal/>
    </border>
    <border>
      <left style="medium">
        <color rgb="FFDDDDDD"/>
      </left>
      <right style="medium">
        <color rgb="FFDDDDDD"/>
      </right>
      <top style="medium">
        <color rgb="FFDDDDDD"/>
      </top>
      <bottom style="medium">
        <color rgb="FFDDDDDD"/>
      </bottom>
      <diagonal/>
    </border>
    <border>
      <left/>
      <right/>
      <top style="thin">
        <color rgb="FF038654"/>
      </top>
      <bottom/>
      <diagonal/>
    </border>
    <border>
      <left/>
      <right/>
      <top style="hair">
        <color rgb="FF038654"/>
      </top>
      <bottom style="thin">
        <color rgb="FF038654"/>
      </bottom>
      <diagonal/>
    </border>
    <border>
      <left/>
      <right/>
      <top style="hair">
        <color rgb="FF038654"/>
      </top>
      <bottom style="hair">
        <color rgb="FF038654"/>
      </bottom>
      <diagonal/>
    </border>
    <border>
      <left/>
      <right/>
      <top style="hair">
        <color auto="1"/>
      </top>
      <bottom style="thin">
        <color auto="1"/>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325">
    <xf numFmtId="0" fontId="0" fillId="0" borderId="0" xfId="0"/>
    <xf numFmtId="43" fontId="1" fillId="0" borderId="0" xfId="1" applyFont="1" applyBorder="1"/>
    <xf numFmtId="0" fontId="1" fillId="0" borderId="0" xfId="0" applyFont="1"/>
    <xf numFmtId="0" fontId="8" fillId="0" borderId="0" xfId="0" applyFont="1"/>
    <xf numFmtId="43" fontId="0" fillId="0" borderId="0" xfId="1" applyFont="1" applyBorder="1"/>
    <xf numFmtId="10" fontId="0" fillId="0" borderId="0" xfId="0" applyNumberFormat="1"/>
    <xf numFmtId="43" fontId="3" fillId="0" borderId="0" xfId="1" applyFont="1" applyBorder="1"/>
    <xf numFmtId="9" fontId="3" fillId="0" borderId="0" xfId="1" applyNumberFormat="1" applyFont="1"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xf numFmtId="165" fontId="2" fillId="5" borderId="0" xfId="0" applyNumberFormat="1" applyFont="1" applyFill="1" applyAlignment="1">
      <alignment horizontal="center"/>
    </xf>
    <xf numFmtId="0" fontId="2" fillId="5" borderId="0" xfId="0" applyFont="1" applyFill="1" applyAlignment="1">
      <alignment horizontal="center"/>
    </xf>
    <xf numFmtId="43" fontId="0" fillId="0" borderId="0" xfId="1" applyFont="1" applyBorder="1" applyAlignment="1">
      <alignment horizontal="center"/>
    </xf>
    <xf numFmtId="43" fontId="1" fillId="0" borderId="0" xfId="1" applyFont="1" applyBorder="1" applyAlignment="1">
      <alignment horizontal="center"/>
    </xf>
    <xf numFmtId="10" fontId="1" fillId="0" borderId="0" xfId="0" applyNumberFormat="1" applyFont="1"/>
    <xf numFmtId="165" fontId="2" fillId="5" borderId="0" xfId="1" applyNumberFormat="1" applyFont="1" applyFill="1" applyBorder="1"/>
    <xf numFmtId="165" fontId="9" fillId="0" borderId="0" xfId="1" applyNumberFormat="1" applyFont="1" applyFill="1" applyBorder="1"/>
    <xf numFmtId="0" fontId="7" fillId="0" borderId="0" xfId="0" applyFont="1"/>
    <xf numFmtId="0" fontId="0" fillId="0" borderId="0" xfId="0"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9" fillId="0" borderId="0" xfId="0" applyFont="1"/>
    <xf numFmtId="164" fontId="0" fillId="0" borderId="0" xfId="1" applyNumberFormat="1" applyFont="1" applyBorder="1"/>
    <xf numFmtId="0" fontId="10" fillId="0" borderId="0" xfId="0" applyFont="1"/>
    <xf numFmtId="0" fontId="10" fillId="0" borderId="0" xfId="0" applyFont="1" applyAlignment="1">
      <alignment horizontal="right"/>
    </xf>
    <xf numFmtId="10" fontId="10" fillId="0" borderId="0" xfId="6" applyNumberFormat="1" applyFont="1"/>
    <xf numFmtId="167" fontId="0" fillId="0" borderId="0" xfId="0" applyNumberFormat="1"/>
    <xf numFmtId="168" fontId="0" fillId="0" borderId="0" xfId="0" applyNumberFormat="1"/>
    <xf numFmtId="0" fontId="2" fillId="0" borderId="0" xfId="0" applyFont="1"/>
    <xf numFmtId="17" fontId="2" fillId="0" borderId="0" xfId="0" applyNumberFormat="1" applyFont="1"/>
    <xf numFmtId="169" fontId="0" fillId="0" borderId="0" xfId="0" applyNumberFormat="1"/>
    <xf numFmtId="10" fontId="0" fillId="0" borderId="0" xfId="6" applyNumberFormat="1" applyFont="1"/>
    <xf numFmtId="167" fontId="1" fillId="0" borderId="0" xfId="0" applyNumberFormat="1" applyFont="1"/>
    <xf numFmtId="43" fontId="11" fillId="0" borderId="0" xfId="1" applyFont="1" applyFill="1" applyBorder="1"/>
    <xf numFmtId="0" fontId="11" fillId="0" borderId="0" xfId="0" applyFont="1"/>
    <xf numFmtId="0" fontId="0" fillId="0" borderId="1" xfId="0" applyBorder="1"/>
    <xf numFmtId="167" fontId="0" fillId="0" borderId="1" xfId="0" applyNumberFormat="1" applyBorder="1"/>
    <xf numFmtId="9" fontId="0" fillId="0" borderId="0" xfId="6" applyFont="1"/>
    <xf numFmtId="10" fontId="0" fillId="0" borderId="0" xfId="6" applyNumberFormat="1" applyFont="1" applyBorder="1" applyAlignment="1">
      <alignment horizontal="right"/>
    </xf>
    <xf numFmtId="10" fontId="0" fillId="0" borderId="0" xfId="6" applyNumberFormat="1" applyFont="1" applyBorder="1"/>
    <xf numFmtId="170" fontId="0" fillId="0" borderId="0" xfId="0" applyNumberFormat="1"/>
    <xf numFmtId="171" fontId="0" fillId="0" borderId="0" xfId="0" applyNumberFormat="1"/>
    <xf numFmtId="0" fontId="0" fillId="0" borderId="2" xfId="0" applyBorder="1"/>
    <xf numFmtId="10" fontId="0" fillId="0" borderId="2" xfId="6" applyNumberFormat="1" applyFont="1" applyBorder="1" applyAlignment="1">
      <alignment horizontal="right"/>
    </xf>
    <xf numFmtId="10" fontId="0" fillId="0" borderId="2" xfId="6" applyNumberFormat="1" applyFont="1" applyBorder="1"/>
    <xf numFmtId="0" fontId="0" fillId="0" borderId="3" xfId="0" applyBorder="1"/>
    <xf numFmtId="10" fontId="0" fillId="0" borderId="3" xfId="6" applyNumberFormat="1" applyFont="1" applyBorder="1" applyAlignment="1">
      <alignment horizontal="right"/>
    </xf>
    <xf numFmtId="10" fontId="0" fillId="0" borderId="3" xfId="6" applyNumberFormat="1" applyFont="1" applyBorder="1"/>
    <xf numFmtId="10" fontId="0" fillId="0" borderId="2" xfId="0" applyNumberFormat="1" applyBorder="1"/>
    <xf numFmtId="10" fontId="0" fillId="0" borderId="3" xfId="0" applyNumberFormat="1" applyBorder="1"/>
    <xf numFmtId="170" fontId="0" fillId="0" borderId="3" xfId="0" applyNumberFormat="1" applyBorder="1"/>
    <xf numFmtId="170" fontId="0" fillId="0" borderId="2" xfId="0" applyNumberFormat="1" applyBorder="1"/>
    <xf numFmtId="171" fontId="0" fillId="0" borderId="2" xfId="0" applyNumberFormat="1" applyBorder="1"/>
    <xf numFmtId="171" fontId="0" fillId="0" borderId="3" xfId="0" applyNumberFormat="1" applyBorder="1"/>
    <xf numFmtId="17" fontId="0" fillId="0" borderId="0" xfId="0" applyNumberFormat="1"/>
    <xf numFmtId="43" fontId="0" fillId="0" borderId="0" xfId="0" applyNumberFormat="1"/>
    <xf numFmtId="43" fontId="1" fillId="0" borderId="0" xfId="0" applyNumberFormat="1" applyFont="1"/>
    <xf numFmtId="10" fontId="1" fillId="0" borderId="0" xfId="6" applyNumberFormat="1" applyFont="1"/>
    <xf numFmtId="10" fontId="0" fillId="0" borderId="0" xfId="6" applyNumberFormat="1" applyFont="1" applyAlignment="1"/>
    <xf numFmtId="3" fontId="0" fillId="0" borderId="0" xfId="0" applyNumberFormat="1"/>
    <xf numFmtId="3" fontId="1" fillId="0" borderId="0" xfId="0" applyNumberFormat="1" applyFont="1"/>
    <xf numFmtId="0" fontId="2" fillId="6" borderId="0" xfId="0" applyFont="1" applyFill="1"/>
    <xf numFmtId="17" fontId="2" fillId="6" borderId="0" xfId="0" applyNumberFormat="1" applyFont="1" applyFill="1"/>
    <xf numFmtId="0" fontId="0" fillId="0" borderId="4" xfId="0" applyBorder="1"/>
    <xf numFmtId="0" fontId="0" fillId="0" borderId="5" xfId="0" applyBorder="1"/>
    <xf numFmtId="0" fontId="1" fillId="0" borderId="6" xfId="0" applyFont="1" applyBorder="1"/>
    <xf numFmtId="0" fontId="1" fillId="0" borderId="4" xfId="0" applyFont="1" applyBorder="1"/>
    <xf numFmtId="0" fontId="1" fillId="0" borderId="7" xfId="0" applyFont="1" applyBorder="1"/>
    <xf numFmtId="0" fontId="13" fillId="0" borderId="0" xfId="0" applyFont="1"/>
    <xf numFmtId="0" fontId="0" fillId="0" borderId="7" xfId="0" applyBorder="1"/>
    <xf numFmtId="2" fontId="0" fillId="0" borderId="0" xfId="0" applyNumberFormat="1"/>
    <xf numFmtId="10" fontId="1" fillId="0" borderId="7" xfId="6" applyNumberFormat="1" applyFont="1" applyBorder="1"/>
    <xf numFmtId="10" fontId="0" fillId="0" borderId="7" xfId="6" applyNumberFormat="1" applyFont="1" applyBorder="1"/>
    <xf numFmtId="176" fontId="0" fillId="0" borderId="0" xfId="0" applyNumberFormat="1"/>
    <xf numFmtId="0" fontId="0" fillId="7" borderId="0" xfId="0" applyFill="1"/>
    <xf numFmtId="10" fontId="14" fillId="7" borderId="0" xfId="0" applyNumberFormat="1" applyFont="1" applyFill="1"/>
    <xf numFmtId="10" fontId="0" fillId="7" borderId="0" xfId="0" applyNumberFormat="1" applyFill="1"/>
    <xf numFmtId="0" fontId="15" fillId="0" borderId="0" xfId="0" applyFont="1"/>
    <xf numFmtId="0" fontId="15" fillId="8" borderId="0" xfId="0" applyFont="1" applyFill="1" applyAlignment="1">
      <alignment horizontal="right" vertical="center" wrapText="1"/>
    </xf>
    <xf numFmtId="17" fontId="1" fillId="0" borderId="0" xfId="0" applyNumberFormat="1" applyFont="1"/>
    <xf numFmtId="2" fontId="1" fillId="0" borderId="0" xfId="0" applyNumberFormat="1" applyFont="1"/>
    <xf numFmtId="0" fontId="0" fillId="0" borderId="8" xfId="0" applyBorder="1"/>
    <xf numFmtId="10" fontId="0" fillId="0" borderId="4" xfId="6" applyNumberFormat="1" applyFont="1" applyBorder="1"/>
    <xf numFmtId="10" fontId="0" fillId="0" borderId="5" xfId="6" applyNumberFormat="1" applyFont="1" applyBorder="1"/>
    <xf numFmtId="0" fontId="0" fillId="0" borderId="10" xfId="0" applyBorder="1"/>
    <xf numFmtId="0" fontId="1" fillId="0" borderId="9" xfId="0" applyFont="1" applyBorder="1"/>
    <xf numFmtId="0" fontId="0" fillId="0" borderId="9" xfId="0" applyBorder="1"/>
    <xf numFmtId="177" fontId="0" fillId="0" borderId="8" xfId="0" applyNumberFormat="1" applyBorder="1"/>
    <xf numFmtId="177" fontId="0" fillId="0" borderId="10" xfId="0" applyNumberFormat="1" applyBorder="1"/>
    <xf numFmtId="0" fontId="1" fillId="0" borderId="11" xfId="0" applyFont="1" applyBorder="1"/>
    <xf numFmtId="0" fontId="0" fillId="0" borderId="11" xfId="0" applyBorder="1"/>
    <xf numFmtId="177" fontId="0" fillId="0" borderId="11" xfId="0" applyNumberFormat="1" applyBorder="1"/>
    <xf numFmtId="177" fontId="0" fillId="0" borderId="9" xfId="0" applyNumberFormat="1" applyBorder="1"/>
    <xf numFmtId="177" fontId="0" fillId="0" borderId="5" xfId="0" applyNumberFormat="1" applyBorder="1"/>
    <xf numFmtId="178" fontId="0" fillId="0" borderId="8" xfId="0" applyNumberFormat="1" applyBorder="1"/>
    <xf numFmtId="0" fontId="0" fillId="0" borderId="13" xfId="0" applyBorder="1"/>
    <xf numFmtId="0" fontId="16" fillId="0" borderId="13" xfId="0" applyFont="1" applyBorder="1"/>
    <xf numFmtId="0" fontId="0" fillId="0" borderId="14" xfId="0" applyBorder="1"/>
    <xf numFmtId="179" fontId="0" fillId="0" borderId="14" xfId="0" applyNumberFormat="1" applyBorder="1" applyAlignment="1">
      <alignment horizontal="right" vertical="center"/>
    </xf>
    <xf numFmtId="180" fontId="0" fillId="0" borderId="14" xfId="0" applyNumberFormat="1" applyBorder="1" applyAlignment="1">
      <alignment horizontal="right" vertical="center"/>
    </xf>
    <xf numFmtId="0" fontId="12" fillId="0" borderId="0" xfId="0" applyFont="1"/>
    <xf numFmtId="179" fontId="0" fillId="0" borderId="4" xfId="0" applyNumberFormat="1" applyBorder="1"/>
    <xf numFmtId="179" fontId="0" fillId="0" borderId="5" xfId="0" applyNumberFormat="1" applyBorder="1"/>
    <xf numFmtId="0" fontId="2" fillId="0" borderId="0" xfId="0" applyFont="1" applyAlignment="1">
      <alignment horizontal="center"/>
    </xf>
    <xf numFmtId="10" fontId="0" fillId="7" borderId="5" xfId="0" applyNumberFormat="1" applyFill="1" applyBorder="1"/>
    <xf numFmtId="2" fontId="0" fillId="0" borderId="16" xfId="0" applyNumberFormat="1" applyBorder="1"/>
    <xf numFmtId="0" fontId="17" fillId="0" borderId="0" xfId="0" applyFont="1"/>
    <xf numFmtId="10" fontId="0" fillId="0" borderId="5" xfId="0" applyNumberFormat="1" applyBorder="1"/>
    <xf numFmtId="2" fontId="0" fillId="7" borderId="5" xfId="0" applyNumberFormat="1" applyFill="1" applyBorder="1"/>
    <xf numFmtId="10" fontId="0" fillId="7" borderId="5" xfId="6" applyNumberFormat="1" applyFont="1" applyFill="1" applyBorder="1"/>
    <xf numFmtId="0" fontId="21" fillId="0" borderId="0" xfId="0" applyFont="1"/>
    <xf numFmtId="0" fontId="24" fillId="8" borderId="0" xfId="0" applyFont="1" applyFill="1" applyAlignment="1">
      <alignment horizontal="left" vertical="center"/>
    </xf>
    <xf numFmtId="0" fontId="24" fillId="8" borderId="0" xfId="0" applyFont="1" applyFill="1" applyAlignment="1">
      <alignment horizontal="right" vertical="center"/>
    </xf>
    <xf numFmtId="0" fontId="25" fillId="8" borderId="0" xfId="0" applyFont="1" applyFill="1" applyAlignment="1">
      <alignment horizontal="left" vertical="center"/>
    </xf>
    <xf numFmtId="0" fontId="25" fillId="8" borderId="0" xfId="0" applyFont="1" applyFill="1" applyAlignment="1">
      <alignment horizontal="right" vertical="center"/>
    </xf>
    <xf numFmtId="3" fontId="25" fillId="8" borderId="0" xfId="0" applyNumberFormat="1" applyFont="1" applyFill="1" applyAlignment="1">
      <alignment horizontal="right" vertical="center"/>
    </xf>
    <xf numFmtId="14" fontId="25" fillId="8" borderId="0" xfId="0" applyNumberFormat="1" applyFont="1" applyFill="1" applyAlignment="1">
      <alignment horizontal="left" vertical="center"/>
    </xf>
    <xf numFmtId="10" fontId="25" fillId="8" borderId="0" xfId="6" applyNumberFormat="1" applyFont="1" applyFill="1" applyAlignment="1">
      <alignment horizontal="right" vertical="center"/>
    </xf>
    <xf numFmtId="0" fontId="26" fillId="8" borderId="0" xfId="0" applyFont="1" applyFill="1" applyAlignment="1">
      <alignment horizontal="left" vertical="center"/>
    </xf>
    <xf numFmtId="0" fontId="26" fillId="8" borderId="0" xfId="0" applyFont="1" applyFill="1" applyAlignment="1">
      <alignment horizontal="right" vertical="center"/>
    </xf>
    <xf numFmtId="0" fontId="27" fillId="8" borderId="0" xfId="0" applyFont="1" applyFill="1" applyAlignment="1">
      <alignment horizontal="right" vertical="center"/>
    </xf>
    <xf numFmtId="3" fontId="27" fillId="8" borderId="0" xfId="0" applyNumberFormat="1" applyFont="1" applyFill="1" applyAlignment="1">
      <alignment horizontal="right" vertical="center"/>
    </xf>
    <xf numFmtId="1" fontId="0" fillId="0" borderId="0" xfId="6" applyNumberFormat="1" applyFont="1"/>
    <xf numFmtId="0" fontId="0" fillId="0" borderId="17" xfId="0" applyBorder="1"/>
    <xf numFmtId="10" fontId="0" fillId="0" borderId="17" xfId="0" applyNumberFormat="1" applyBorder="1"/>
    <xf numFmtId="10" fontId="0" fillId="0" borderId="17" xfId="6" applyNumberFormat="1" applyFont="1" applyBorder="1"/>
    <xf numFmtId="181" fontId="0" fillId="0" borderId="18" xfId="6" applyNumberFormat="1" applyFont="1" applyBorder="1" applyAlignment="1">
      <alignment horizontal="left"/>
    </xf>
    <xf numFmtId="10" fontId="0" fillId="0" borderId="18" xfId="6" applyNumberFormat="1" applyFont="1" applyBorder="1"/>
    <xf numFmtId="0" fontId="0" fillId="0" borderId="19" xfId="0" applyBorder="1" applyAlignment="1">
      <alignment horizontal="left"/>
    </xf>
    <xf numFmtId="181" fontId="0" fillId="0" borderId="20" xfId="6" applyNumberFormat="1" applyFont="1" applyBorder="1" applyAlignment="1">
      <alignment horizontal="left"/>
    </xf>
    <xf numFmtId="0" fontId="0" fillId="0" borderId="20" xfId="0" applyBorder="1"/>
    <xf numFmtId="181" fontId="0" fillId="0" borderId="21" xfId="6" applyNumberFormat="1" applyFont="1" applyBorder="1" applyAlignment="1">
      <alignment horizontal="left"/>
    </xf>
    <xf numFmtId="0" fontId="0" fillId="0" borderId="21" xfId="0" applyBorder="1"/>
    <xf numFmtId="182" fontId="0" fillId="0" borderId="18" xfId="0" applyNumberFormat="1" applyBorder="1"/>
    <xf numFmtId="182" fontId="0" fillId="0" borderId="20" xfId="0" applyNumberFormat="1" applyBorder="1"/>
    <xf numFmtId="182" fontId="0" fillId="0" borderId="21" xfId="0" applyNumberFormat="1" applyBorder="1"/>
    <xf numFmtId="0" fontId="0" fillId="0" borderId="19" xfId="0" applyBorder="1" applyAlignment="1">
      <alignment horizontal="right"/>
    </xf>
    <xf numFmtId="0" fontId="0" fillId="0" borderId="19" xfId="0" applyBorder="1" applyAlignment="1">
      <alignment horizontal="center"/>
    </xf>
    <xf numFmtId="9" fontId="2" fillId="0" borderId="0" xfId="6" applyFont="1" applyFill="1"/>
    <xf numFmtId="2" fontId="5" fillId="0" borderId="0" xfId="0" applyNumberFormat="1" applyFont="1"/>
    <xf numFmtId="1" fontId="0" fillId="0" borderId="0" xfId="0" applyNumberFormat="1"/>
    <xf numFmtId="0" fontId="1" fillId="0" borderId="0" xfId="0" applyFont="1" applyAlignment="1">
      <alignment horizontal="right"/>
    </xf>
    <xf numFmtId="0" fontId="0" fillId="0" borderId="22" xfId="0" applyBorder="1"/>
    <xf numFmtId="0" fontId="0" fillId="7" borderId="22" xfId="0" applyFill="1" applyBorder="1"/>
    <xf numFmtId="0" fontId="1" fillId="0" borderId="22" xfId="0" applyFont="1" applyBorder="1"/>
    <xf numFmtId="43" fontId="1" fillId="0" borderId="22" xfId="0" applyNumberFormat="1" applyFont="1" applyBorder="1"/>
    <xf numFmtId="2" fontId="0" fillId="0" borderId="22" xfId="0" applyNumberFormat="1" applyBorder="1"/>
    <xf numFmtId="181" fontId="0" fillId="0" borderId="13" xfId="6" applyNumberFormat="1" applyFont="1" applyBorder="1" applyAlignment="1">
      <alignment horizontal="left"/>
    </xf>
    <xf numFmtId="10" fontId="0" fillId="0" borderId="13" xfId="6" applyNumberFormat="1" applyFont="1" applyBorder="1"/>
    <xf numFmtId="182" fontId="0" fillId="0" borderId="13" xfId="0" applyNumberFormat="1" applyBorder="1"/>
    <xf numFmtId="0" fontId="0" fillId="0" borderId="23" xfId="0" applyBorder="1" applyAlignment="1">
      <alignment horizontal="left"/>
    </xf>
    <xf numFmtId="0" fontId="0" fillId="0" borderId="23" xfId="0" applyBorder="1" applyAlignment="1">
      <alignment horizontal="right"/>
    </xf>
    <xf numFmtId="0" fontId="0" fillId="0" borderId="23" xfId="0" applyBorder="1" applyAlignment="1">
      <alignment horizontal="center"/>
    </xf>
    <xf numFmtId="2" fontId="0" fillId="0" borderId="4" xfId="0" applyNumberFormat="1" applyBorder="1"/>
    <xf numFmtId="180" fontId="0" fillId="0" borderId="4" xfId="0" applyNumberFormat="1" applyBorder="1"/>
    <xf numFmtId="0" fontId="29" fillId="0" borderId="0" xfId="0" applyFont="1"/>
    <xf numFmtId="0" fontId="19" fillId="0" borderId="4" xfId="0" applyFont="1" applyBorder="1"/>
    <xf numFmtId="0" fontId="19" fillId="0" borderId="4" xfId="0" applyFont="1" applyBorder="1" applyAlignment="1">
      <alignment horizontal="right"/>
    </xf>
    <xf numFmtId="179" fontId="19" fillId="0" borderId="4" xfId="0" applyNumberFormat="1" applyFont="1" applyBorder="1" applyAlignment="1">
      <alignment horizontal="right"/>
    </xf>
    <xf numFmtId="10" fontId="19" fillId="0" borderId="4" xfId="0" applyNumberFormat="1" applyFont="1" applyBorder="1" applyAlignment="1">
      <alignment horizontal="right" vertical="top"/>
    </xf>
    <xf numFmtId="10" fontId="0" fillId="7" borderId="4" xfId="6" applyNumberFormat="1" applyFont="1" applyFill="1" applyBorder="1" applyAlignment="1">
      <alignment horizontal="right"/>
    </xf>
    <xf numFmtId="2" fontId="0" fillId="0" borderId="4" xfId="0" applyNumberFormat="1" applyBorder="1" applyAlignment="1">
      <alignment horizontal="right"/>
    </xf>
    <xf numFmtId="2" fontId="0" fillId="7" borderId="4" xfId="6" applyNumberFormat="1" applyFont="1" applyFill="1" applyBorder="1" applyAlignment="1">
      <alignment horizontal="right"/>
    </xf>
    <xf numFmtId="10" fontId="0" fillId="0" borderId="4" xfId="0" applyNumberFormat="1" applyBorder="1"/>
    <xf numFmtId="9" fontId="20" fillId="0" borderId="4" xfId="0" applyNumberFormat="1" applyFont="1" applyBorder="1"/>
    <xf numFmtId="9" fontId="0" fillId="0" borderId="4" xfId="0" applyNumberFormat="1" applyBorder="1"/>
    <xf numFmtId="0" fontId="0" fillId="0" borderId="16" xfId="0" applyBorder="1"/>
    <xf numFmtId="10" fontId="22" fillId="0" borderId="16" xfId="0" applyNumberFormat="1" applyFont="1" applyBorder="1"/>
    <xf numFmtId="10" fontId="20" fillId="0" borderId="16" xfId="0" applyNumberFormat="1" applyFont="1" applyBorder="1"/>
    <xf numFmtId="0" fontId="19" fillId="0" borderId="16" xfId="0" applyFont="1" applyBorder="1"/>
    <xf numFmtId="0" fontId="19" fillId="0" borderId="16" xfId="0" applyFont="1" applyBorder="1" applyAlignment="1">
      <alignment horizontal="right"/>
    </xf>
    <xf numFmtId="179" fontId="19" fillId="0" borderId="16" xfId="0" applyNumberFormat="1" applyFont="1" applyBorder="1" applyAlignment="1">
      <alignment horizontal="right"/>
    </xf>
    <xf numFmtId="10" fontId="19" fillId="0" borderId="16" xfId="0" applyNumberFormat="1" applyFont="1" applyBorder="1" applyAlignment="1">
      <alignment horizontal="right" vertical="top"/>
    </xf>
    <xf numFmtId="10" fontId="0" fillId="7" borderId="16" xfId="6" applyNumberFormat="1" applyFont="1" applyFill="1" applyBorder="1" applyAlignment="1">
      <alignment horizontal="right"/>
    </xf>
    <xf numFmtId="2" fontId="0" fillId="0" borderId="16" xfId="0" applyNumberFormat="1" applyBorder="1" applyAlignment="1">
      <alignment horizontal="right"/>
    </xf>
    <xf numFmtId="2" fontId="0" fillId="7" borderId="16" xfId="6" applyNumberFormat="1" applyFont="1" applyFill="1" applyBorder="1" applyAlignment="1">
      <alignment horizontal="right"/>
    </xf>
    <xf numFmtId="0" fontId="0" fillId="0" borderId="25" xfId="0" applyBorder="1"/>
    <xf numFmtId="0" fontId="0" fillId="0" borderId="25" xfId="6" applyNumberFormat="1" applyFont="1" applyBorder="1" applyAlignment="1">
      <alignment horizontal="right"/>
    </xf>
    <xf numFmtId="0" fontId="0" fillId="0" borderId="26" xfId="0" applyBorder="1"/>
    <xf numFmtId="0" fontId="0" fillId="0" borderId="26" xfId="6" applyNumberFormat="1" applyFont="1" applyBorder="1" applyAlignment="1">
      <alignment horizontal="right"/>
    </xf>
    <xf numFmtId="10" fontId="0" fillId="0" borderId="25" xfId="0" applyNumberFormat="1" applyBorder="1"/>
    <xf numFmtId="10" fontId="0" fillId="0" borderId="25" xfId="6" applyNumberFormat="1" applyFont="1" applyBorder="1"/>
    <xf numFmtId="2" fontId="0" fillId="0" borderId="25" xfId="0" applyNumberFormat="1" applyBorder="1"/>
    <xf numFmtId="10" fontId="0" fillId="0" borderId="26" xfId="0" applyNumberFormat="1" applyBorder="1"/>
    <xf numFmtId="10" fontId="0" fillId="0" borderId="26" xfId="6" applyNumberFormat="1" applyFont="1" applyBorder="1"/>
    <xf numFmtId="2" fontId="0" fillId="0" borderId="26" xfId="0" applyNumberFormat="1" applyBorder="1"/>
    <xf numFmtId="0" fontId="17" fillId="0" borderId="26" xfId="0" applyFont="1" applyBorder="1"/>
    <xf numFmtId="43" fontId="0" fillId="0" borderId="4" xfId="0" applyNumberFormat="1" applyBorder="1"/>
    <xf numFmtId="10" fontId="0" fillId="0" borderId="4" xfId="6" applyNumberFormat="1" applyFont="1" applyBorder="1" applyAlignment="1"/>
    <xf numFmtId="10" fontId="0" fillId="0" borderId="4" xfId="6" applyNumberFormat="1" applyFont="1" applyBorder="1" applyAlignment="1">
      <alignment horizontal="right"/>
    </xf>
    <xf numFmtId="43" fontId="3" fillId="0" borderId="4" xfId="1" applyFont="1" applyBorder="1"/>
    <xf numFmtId="177" fontId="0" fillId="0" borderId="27" xfId="0" applyNumberFormat="1" applyBorder="1"/>
    <xf numFmtId="10" fontId="0" fillId="0" borderId="16" xfId="6" applyNumberFormat="1" applyFont="1" applyBorder="1"/>
    <xf numFmtId="10" fontId="14" fillId="7" borderId="4" xfId="0" applyNumberFormat="1" applyFont="1" applyFill="1" applyBorder="1"/>
    <xf numFmtId="0" fontId="0" fillId="7" borderId="4" xfId="0" applyFill="1" applyBorder="1"/>
    <xf numFmtId="10" fontId="0" fillId="7" borderId="4" xfId="0" applyNumberFormat="1" applyFill="1" applyBorder="1"/>
    <xf numFmtId="10" fontId="14" fillId="0" borderId="4" xfId="0" applyNumberFormat="1" applyFont="1" applyBorder="1"/>
    <xf numFmtId="0" fontId="14" fillId="0" borderId="4" xfId="0" applyFont="1" applyBorder="1"/>
    <xf numFmtId="2" fontId="0" fillId="0" borderId="14" xfId="0" applyNumberFormat="1" applyBorder="1"/>
    <xf numFmtId="0" fontId="0" fillId="0" borderId="28" xfId="0" applyBorder="1"/>
    <xf numFmtId="43" fontId="0" fillId="0" borderId="28" xfId="0" applyNumberFormat="1" applyBorder="1"/>
    <xf numFmtId="2" fontId="0" fillId="0" borderId="5" xfId="0" applyNumberFormat="1" applyBorder="1"/>
    <xf numFmtId="2" fontId="1" fillId="0" borderId="6" xfId="0" applyNumberFormat="1" applyFont="1" applyBorder="1"/>
    <xf numFmtId="0" fontId="0" fillId="0" borderId="29" xfId="0" applyBorder="1"/>
    <xf numFmtId="0" fontId="0" fillId="0" borderId="15" xfId="0" applyBorder="1"/>
    <xf numFmtId="0" fontId="0" fillId="0" borderId="30" xfId="0" applyBorder="1"/>
    <xf numFmtId="170" fontId="0" fillId="0" borderId="30" xfId="0" applyNumberFormat="1" applyBorder="1"/>
    <xf numFmtId="1" fontId="0" fillId="0" borderId="4" xfId="0" applyNumberFormat="1" applyBorder="1"/>
    <xf numFmtId="0" fontId="1" fillId="0" borderId="16" xfId="0" applyFont="1" applyBorder="1"/>
    <xf numFmtId="1" fontId="0" fillId="0" borderId="16" xfId="0" applyNumberFormat="1" applyBorder="1"/>
    <xf numFmtId="9" fontId="0" fillId="0" borderId="4" xfId="0" applyNumberFormat="1" applyBorder="1" applyAlignment="1">
      <alignment horizontal="center"/>
    </xf>
    <xf numFmtId="9" fontId="0" fillId="0" borderId="0" xfId="0" applyNumberFormat="1" applyAlignment="1">
      <alignment horizontal="center"/>
    </xf>
    <xf numFmtId="0" fontId="12" fillId="0" borderId="0" xfId="0" applyFont="1" applyAlignment="1">
      <alignment horizontal="center"/>
    </xf>
    <xf numFmtId="172" fontId="0" fillId="0" borderId="0" xfId="0" applyNumberFormat="1" applyAlignment="1">
      <alignment horizontal="left"/>
    </xf>
    <xf numFmtId="2" fontId="0" fillId="0" borderId="0" xfId="0" applyNumberFormat="1" applyAlignment="1">
      <alignment horizontal="left"/>
    </xf>
    <xf numFmtId="0" fontId="0" fillId="7" borderId="0" xfId="0" applyFill="1" applyAlignment="1">
      <alignment horizontal="left"/>
    </xf>
    <xf numFmtId="173" fontId="0" fillId="7" borderId="0" xfId="0" applyNumberFormat="1" applyFill="1" applyAlignment="1">
      <alignment horizontal="left"/>
    </xf>
    <xf numFmtId="2" fontId="0" fillId="7" borderId="0" xfId="0" applyNumberFormat="1" applyFill="1" applyAlignment="1">
      <alignment horizontal="left"/>
    </xf>
    <xf numFmtId="10" fontId="0" fillId="7" borderId="0" xfId="6" applyNumberFormat="1" applyFont="1" applyFill="1"/>
    <xf numFmtId="0" fontId="31" fillId="0" borderId="0" xfId="0" applyFont="1"/>
    <xf numFmtId="0" fontId="1" fillId="9" borderId="0" xfId="0" applyFont="1" applyFill="1"/>
    <xf numFmtId="10" fontId="1" fillId="9" borderId="0" xfId="6" applyNumberFormat="1" applyFont="1" applyFill="1"/>
    <xf numFmtId="183" fontId="1" fillId="9" borderId="0" xfId="6" applyNumberFormat="1" applyFont="1" applyFill="1"/>
    <xf numFmtId="0" fontId="0" fillId="10" borderId="0" xfId="0" applyFill="1"/>
    <xf numFmtId="43" fontId="36" fillId="0" borderId="0" xfId="0" applyNumberFormat="1" applyFont="1"/>
    <xf numFmtId="0" fontId="37" fillId="0" borderId="0" xfId="0" applyFont="1"/>
    <xf numFmtId="0" fontId="38" fillId="0" borderId="0" xfId="0" applyFont="1"/>
    <xf numFmtId="0" fontId="28" fillId="10" borderId="0" xfId="0" applyFont="1" applyFill="1" applyAlignment="1">
      <alignment vertical="center"/>
    </xf>
    <xf numFmtId="0" fontId="29" fillId="10" borderId="0" xfId="0" applyFont="1" applyFill="1"/>
    <xf numFmtId="0" fontId="29" fillId="10" borderId="24" xfId="0" applyFont="1" applyFill="1" applyBorder="1" applyAlignment="1">
      <alignment horizontal="left" vertical="center"/>
    </xf>
    <xf numFmtId="0" fontId="29" fillId="10" borderId="0" xfId="0" applyFont="1" applyFill="1" applyAlignment="1">
      <alignment horizontal="left"/>
    </xf>
    <xf numFmtId="0" fontId="30" fillId="10" borderId="0" xfId="0" applyFont="1" applyFill="1"/>
    <xf numFmtId="0" fontId="2" fillId="10" borderId="0" xfId="0" applyFont="1" applyFill="1" applyAlignment="1">
      <alignment horizontal="left"/>
    </xf>
    <xf numFmtId="0" fontId="5" fillId="10" borderId="0" xfId="0" applyFont="1" applyFill="1"/>
    <xf numFmtId="0" fontId="2" fillId="10" borderId="0" xfId="0" applyFont="1" applyFill="1"/>
    <xf numFmtId="0" fontId="2" fillId="10" borderId="0" xfId="0" applyFont="1" applyFill="1" applyAlignment="1">
      <alignment horizontal="right" wrapText="1"/>
    </xf>
    <xf numFmtId="0" fontId="2" fillId="10" borderId="0" xfId="0" applyFont="1" applyFill="1" applyAlignment="1">
      <alignment horizontal="right"/>
    </xf>
    <xf numFmtId="0" fontId="0" fillId="10" borderId="0" xfId="0" applyFill="1" applyAlignment="1">
      <alignment horizontal="right"/>
    </xf>
    <xf numFmtId="17" fontId="2" fillId="10" borderId="0" xfId="0" applyNumberFormat="1" applyFont="1" applyFill="1"/>
    <xf numFmtId="174" fontId="2" fillId="10" borderId="0" xfId="0" applyNumberFormat="1" applyFont="1" applyFill="1"/>
    <xf numFmtId="175" fontId="2" fillId="10" borderId="0" xfId="0" applyNumberFormat="1" applyFont="1" applyFill="1"/>
    <xf numFmtId="9" fontId="2" fillId="10" borderId="0" xfId="6" applyFont="1" applyFill="1"/>
    <xf numFmtId="0" fontId="39" fillId="0" borderId="26" xfId="0" applyFont="1" applyBorder="1"/>
    <xf numFmtId="1" fontId="0" fillId="0" borderId="0" xfId="0" applyNumberFormat="1" applyAlignment="1">
      <alignment horizontal="left"/>
    </xf>
    <xf numFmtId="17" fontId="2" fillId="10" borderId="0" xfId="0" applyNumberFormat="1" applyFont="1" applyFill="1" applyAlignment="1">
      <alignment horizontal="center"/>
    </xf>
    <xf numFmtId="10" fontId="1" fillId="0" borderId="0" xfId="6" applyNumberFormat="1" applyFont="1" applyFill="1"/>
    <xf numFmtId="2" fontId="1" fillId="9" borderId="0" xfId="6" applyNumberFormat="1" applyFont="1" applyFill="1"/>
    <xf numFmtId="0" fontId="40" fillId="0" borderId="0" xfId="0" applyFont="1" applyAlignment="1">
      <alignment horizontal="right"/>
    </xf>
    <xf numFmtId="0" fontId="41" fillId="0" borderId="0" xfId="0" applyFont="1"/>
    <xf numFmtId="0" fontId="42" fillId="0" borderId="0" xfId="0" applyFont="1"/>
    <xf numFmtId="0" fontId="43" fillId="10" borderId="0" xfId="0" applyFont="1" applyFill="1"/>
    <xf numFmtId="0" fontId="43" fillId="0" borderId="0" xfId="0" applyFont="1"/>
    <xf numFmtId="166" fontId="0" fillId="0" borderId="0" xfId="0" applyNumberFormat="1"/>
    <xf numFmtId="0" fontId="44" fillId="0" borderId="0" xfId="0" applyFont="1"/>
    <xf numFmtId="0" fontId="44" fillId="10" borderId="0" xfId="0" applyFont="1" applyFill="1"/>
    <xf numFmtId="2" fontId="27" fillId="8" borderId="0" xfId="0" applyNumberFormat="1" applyFont="1" applyFill="1" applyAlignment="1">
      <alignment horizontal="right" vertical="center"/>
    </xf>
    <xf numFmtId="184" fontId="27" fillId="8" borderId="0" xfId="0" applyNumberFormat="1" applyFont="1" applyFill="1" applyAlignment="1">
      <alignment horizontal="left" vertical="center"/>
    </xf>
    <xf numFmtId="14" fontId="0" fillId="0" borderId="0" xfId="0" applyNumberFormat="1"/>
    <xf numFmtId="0" fontId="45" fillId="8" borderId="32" xfId="0" applyFont="1" applyFill="1" applyBorder="1" applyAlignment="1">
      <alignment horizontal="left" vertical="center" wrapText="1" indent="1"/>
    </xf>
    <xf numFmtId="0" fontId="45" fillId="8" borderId="32" xfId="0" applyFont="1" applyFill="1" applyBorder="1" applyAlignment="1">
      <alignment horizontal="right" vertical="center" wrapText="1" indent="1"/>
    </xf>
    <xf numFmtId="0" fontId="45" fillId="11" borderId="32" xfId="0" applyFont="1" applyFill="1" applyBorder="1" applyAlignment="1">
      <alignment horizontal="left" vertical="center" wrapText="1" indent="1"/>
    </xf>
    <xf numFmtId="0" fontId="45" fillId="11" borderId="32" xfId="0" applyFont="1" applyFill="1" applyBorder="1" applyAlignment="1">
      <alignment horizontal="right" vertical="center" wrapText="1" indent="1"/>
    </xf>
    <xf numFmtId="0" fontId="45" fillId="8" borderId="33" xfId="0" applyFont="1" applyFill="1" applyBorder="1" applyAlignment="1">
      <alignment horizontal="left" vertical="center" wrapText="1" indent="1"/>
    </xf>
    <xf numFmtId="0" fontId="45" fillId="8" borderId="33" xfId="0" applyFont="1" applyFill="1" applyBorder="1" applyAlignment="1">
      <alignment horizontal="right" vertical="center" wrapText="1" indent="1"/>
    </xf>
    <xf numFmtId="2" fontId="45" fillId="8" borderId="34" xfId="0" applyNumberFormat="1" applyFont="1" applyFill="1" applyBorder="1" applyAlignment="1">
      <alignment horizontal="right" vertical="center" wrapText="1" indent="1"/>
    </xf>
    <xf numFmtId="0" fontId="0" fillId="0" borderId="0" xfId="0" applyAlignment="1">
      <alignment wrapText="1"/>
    </xf>
    <xf numFmtId="0" fontId="29" fillId="0" borderId="0" xfId="0" applyFont="1" applyAlignment="1">
      <alignment horizontal="center"/>
    </xf>
    <xf numFmtId="0" fontId="12" fillId="0" borderId="4" xfId="0" applyFont="1" applyBorder="1"/>
    <xf numFmtId="10" fontId="12" fillId="0" borderId="4" xfId="0" applyNumberFormat="1" applyFont="1" applyBorder="1"/>
    <xf numFmtId="0" fontId="46" fillId="0" borderId="4" xfId="0" applyFont="1" applyBorder="1"/>
    <xf numFmtId="0" fontId="1" fillId="0" borderId="35" xfId="0" applyFont="1" applyBorder="1"/>
    <xf numFmtId="186" fontId="1" fillId="0" borderId="35" xfId="0" applyNumberFormat="1" applyFont="1" applyBorder="1"/>
    <xf numFmtId="0" fontId="1" fillId="0" borderId="0" xfId="0" applyFont="1" applyAlignment="1">
      <alignment horizontal="left"/>
    </xf>
    <xf numFmtId="1" fontId="1" fillId="0" borderId="0" xfId="0" applyNumberFormat="1" applyFont="1"/>
    <xf numFmtId="0" fontId="0" fillId="0" borderId="37" xfId="0" applyBorder="1"/>
    <xf numFmtId="0" fontId="0" fillId="0" borderId="36" xfId="0" applyBorder="1"/>
    <xf numFmtId="186" fontId="0" fillId="0" borderId="36" xfId="0" applyNumberFormat="1" applyBorder="1"/>
    <xf numFmtId="0" fontId="0" fillId="0" borderId="4" xfId="0" applyBorder="1" applyAlignment="1">
      <alignment horizontal="left" indent="1"/>
    </xf>
    <xf numFmtId="185" fontId="0" fillId="0" borderId="4" xfId="0" applyNumberFormat="1" applyBorder="1"/>
    <xf numFmtId="0" fontId="0" fillId="0" borderId="38" xfId="0" applyBorder="1" applyAlignment="1">
      <alignment horizontal="left" indent="1"/>
    </xf>
    <xf numFmtId="0" fontId="0" fillId="0" borderId="38" xfId="0" applyBorder="1"/>
    <xf numFmtId="1" fontId="0" fillId="0" borderId="38" xfId="0" applyNumberFormat="1" applyBorder="1"/>
    <xf numFmtId="0" fontId="1" fillId="12" borderId="0" xfId="0" applyFont="1" applyFill="1"/>
    <xf numFmtId="0" fontId="0" fillId="12" borderId="0" xfId="0" applyFill="1"/>
    <xf numFmtId="10" fontId="1" fillId="12" borderId="0" xfId="0" applyNumberFormat="1" applyFont="1" applyFill="1"/>
    <xf numFmtId="10" fontId="0" fillId="12" borderId="0" xfId="6" applyNumberFormat="1" applyFont="1" applyFill="1"/>
    <xf numFmtId="10" fontId="0" fillId="12" borderId="0" xfId="0" applyNumberFormat="1" applyFill="1"/>
    <xf numFmtId="0" fontId="0" fillId="12" borderId="15" xfId="0" applyFill="1" applyBorder="1"/>
    <xf numFmtId="179" fontId="0" fillId="12" borderId="15" xfId="0" applyNumberFormat="1" applyFill="1" applyBorder="1"/>
    <xf numFmtId="0" fontId="1" fillId="12" borderId="4" xfId="0" applyFont="1" applyFill="1" applyBorder="1"/>
    <xf numFmtId="2" fontId="1" fillId="12" borderId="4" xfId="0" applyNumberFormat="1" applyFont="1" applyFill="1" applyBorder="1"/>
    <xf numFmtId="180" fontId="1" fillId="12" borderId="4" xfId="0" applyNumberFormat="1" applyFont="1" applyFill="1" applyBorder="1"/>
    <xf numFmtId="0" fontId="0" fillId="12" borderId="31" xfId="0" applyFill="1" applyBorder="1"/>
    <xf numFmtId="179" fontId="0" fillId="12" borderId="31" xfId="0" applyNumberFormat="1" applyFill="1" applyBorder="1" applyAlignment="1">
      <alignment horizontal="right" vertical="center"/>
    </xf>
    <xf numFmtId="180" fontId="0" fillId="12" borderId="31" xfId="0" applyNumberFormat="1" applyFill="1" applyBorder="1" applyAlignment="1">
      <alignment horizontal="right" vertical="center"/>
    </xf>
    <xf numFmtId="181" fontId="0" fillId="0" borderId="0" xfId="6" applyNumberFormat="1" applyFont="1" applyBorder="1" applyAlignment="1">
      <alignment horizontal="left"/>
    </xf>
    <xf numFmtId="182" fontId="0" fillId="0" borderId="0" xfId="0" applyNumberFormat="1"/>
    <xf numFmtId="0" fontId="0" fillId="10" borderId="0" xfId="0" applyFill="1" applyAlignment="1">
      <alignment horizontal="left"/>
    </xf>
    <xf numFmtId="10" fontId="0" fillId="10" borderId="0" xfId="0" applyNumberFormat="1" applyFill="1"/>
    <xf numFmtId="0" fontId="0" fillId="13" borderId="0" xfId="0" applyFill="1"/>
    <xf numFmtId="0" fontId="29" fillId="13" borderId="0" xfId="0" applyFont="1" applyFill="1"/>
    <xf numFmtId="0" fontId="4" fillId="0" borderId="0" xfId="2" applyAlignment="1" applyProtection="1">
      <alignment vertical="center" wrapText="1"/>
    </xf>
    <xf numFmtId="0" fontId="49" fillId="0" borderId="4" xfId="0" applyFont="1" applyBorder="1"/>
    <xf numFmtId="0" fontId="49" fillId="0" borderId="5" xfId="0" applyFont="1" applyBorder="1"/>
    <xf numFmtId="0" fontId="49" fillId="0" borderId="16" xfId="0" applyFont="1" applyBorder="1"/>
    <xf numFmtId="0" fontId="50" fillId="0" borderId="0" xfId="0" applyFont="1"/>
    <xf numFmtId="0" fontId="2" fillId="13" borderId="0" xfId="0" applyFont="1" applyFill="1" applyAlignment="1">
      <alignment vertic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25" fillId="8" borderId="0" xfId="0" applyFont="1" applyFill="1" applyAlignment="1">
      <alignment horizontal="center" vertical="center"/>
    </xf>
    <xf numFmtId="0" fontId="2" fillId="10" borderId="0" xfId="0" applyFont="1" applyFill="1" applyAlignment="1">
      <alignment horizontal="center"/>
    </xf>
    <xf numFmtId="0" fontId="23" fillId="10" borderId="0" xfId="0" applyFont="1" applyFill="1" applyAlignment="1">
      <alignment horizontal="center"/>
    </xf>
    <xf numFmtId="9" fontId="2" fillId="10" borderId="0" xfId="6" applyFont="1" applyFill="1" applyAlignment="1">
      <alignment horizontal="center"/>
    </xf>
    <xf numFmtId="0" fontId="2" fillId="10" borderId="12" xfId="0" applyFont="1" applyFill="1" applyBorder="1" applyAlignment="1">
      <alignment horizontal="center"/>
    </xf>
    <xf numFmtId="0" fontId="0" fillId="10" borderId="12" xfId="0" applyFill="1" applyBorder="1" applyAlignment="1">
      <alignment horizontal="center"/>
    </xf>
    <xf numFmtId="0" fontId="27" fillId="8" borderId="0" xfId="0" applyFont="1" applyFill="1" applyAlignment="1">
      <alignment horizontal="center" vertical="center"/>
    </xf>
    <xf numFmtId="0" fontId="29" fillId="10" borderId="0" xfId="0" applyFont="1" applyFill="1" applyAlignment="1">
      <alignment horizontal="center"/>
    </xf>
    <xf numFmtId="0" fontId="32" fillId="0" borderId="0" xfId="0" applyFont="1" applyAlignment="1">
      <alignment horizontal="left" vertical="top" wrapText="1"/>
    </xf>
    <xf numFmtId="187" fontId="0" fillId="0" borderId="4" xfId="0" applyNumberFormat="1" applyBorder="1" applyAlignment="1">
      <alignment horizontal="center"/>
    </xf>
    <xf numFmtId="2" fontId="0" fillId="0" borderId="4" xfId="0" applyNumberFormat="1" applyBorder="1" applyAlignment="1">
      <alignment horizontal="right"/>
    </xf>
    <xf numFmtId="0" fontId="48" fillId="10" borderId="0" xfId="0" applyFont="1" applyFill="1" applyAlignment="1">
      <alignment horizontal="center"/>
    </xf>
    <xf numFmtId="0" fontId="47" fillId="0" borderId="0" xfId="0" applyFont="1" applyAlignment="1">
      <alignment horizontal="left" vertical="center" wrapText="1"/>
    </xf>
    <xf numFmtId="0" fontId="0" fillId="0" borderId="4" xfId="0" applyBorder="1" applyAlignment="1">
      <alignment horizontal="right"/>
    </xf>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58354"/>
      <color rgb="FFA9FFA7"/>
      <color rgb="FF7BC4AC"/>
      <color rgb="FF399C73"/>
      <color rgb="FFE4F7F3"/>
      <color rgb="FF57A285"/>
      <color rgb="FF038654"/>
      <color rgb="FF004225"/>
      <color rgb="FF87FD6F"/>
      <color rgb="FFBCDD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4225"/>
                </a:solidFill>
                <a:latin typeface="+mn-lt"/>
                <a:ea typeface="+mn-ea"/>
                <a:cs typeface="+mn-cs"/>
              </a:defRPr>
            </a:pPr>
            <a:r>
              <a:rPr lang="en-IN" b="1">
                <a:solidFill>
                  <a:srgbClr val="004225"/>
                </a:solidFill>
              </a:rPr>
              <a:t>Sales</a:t>
            </a:r>
            <a:r>
              <a:rPr lang="en-IN" b="1" baseline="0">
                <a:solidFill>
                  <a:srgbClr val="004225"/>
                </a:solidFill>
              </a:rPr>
              <a:t> Forecasting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4225"/>
              </a:solidFill>
              <a:latin typeface="+mn-lt"/>
              <a:ea typeface="+mn-ea"/>
              <a:cs typeface="+mn-cs"/>
            </a:defRPr>
          </a:pPr>
          <a:endParaRPr lang="en-US"/>
        </a:p>
      </c:txPr>
    </c:title>
    <c:autoTitleDeleted val="0"/>
    <c:plotArea>
      <c:layout/>
      <c:barChart>
        <c:barDir val="col"/>
        <c:grouping val="clustered"/>
        <c:varyColors val="0"/>
        <c:ser>
          <c:idx val="0"/>
          <c:order val="0"/>
          <c:spPr>
            <a:solidFill>
              <a:srgbClr val="038654"/>
            </a:solidFill>
            <a:ln>
              <a:noFill/>
            </a:ln>
            <a:effectLst/>
          </c:spPr>
          <c:invertIfNegative val="0"/>
          <c:cat>
            <c:numRef>
              <c:f>Forecasting!$C$8:$C$21</c:f>
              <c:numCache>
                <c:formatCode>yyyy"A"</c:formatCode>
                <c:ptCount val="14"/>
                <c:pt idx="0">
                  <c:v>42094</c:v>
                </c:pt>
                <c:pt idx="1">
                  <c:v>42459</c:v>
                </c:pt>
                <c:pt idx="2">
                  <c:v>42824</c:v>
                </c:pt>
                <c:pt idx="3">
                  <c:v>43189</c:v>
                </c:pt>
                <c:pt idx="4">
                  <c:v>43554</c:v>
                </c:pt>
                <c:pt idx="5">
                  <c:v>43919</c:v>
                </c:pt>
                <c:pt idx="6">
                  <c:v>44284</c:v>
                </c:pt>
                <c:pt idx="7">
                  <c:v>44649</c:v>
                </c:pt>
                <c:pt idx="8">
                  <c:v>45014</c:v>
                </c:pt>
                <c:pt idx="9">
                  <c:v>45379</c:v>
                </c:pt>
                <c:pt idx="10" formatCode="yyyy&quot;E&quot;">
                  <c:v>45744</c:v>
                </c:pt>
                <c:pt idx="11" formatCode="yyyy&quot;E&quot;">
                  <c:v>46109</c:v>
                </c:pt>
                <c:pt idx="12" formatCode="yyyy&quot;E&quot;">
                  <c:v>46474</c:v>
                </c:pt>
                <c:pt idx="13" formatCode="yyyy&quot;E&quot;">
                  <c:v>46839</c:v>
                </c:pt>
              </c:numCache>
            </c:numRef>
          </c:cat>
          <c:val>
            <c:numRef>
              <c:f>Forecasting!$D$8:$D$21</c:f>
              <c:numCache>
                <c:formatCode>General</c:formatCode>
                <c:ptCount val="14"/>
                <c:pt idx="0">
                  <c:v>7795.49</c:v>
                </c:pt>
                <c:pt idx="1">
                  <c:v>7779.66</c:v>
                </c:pt>
                <c:pt idx="2">
                  <c:v>7613.59</c:v>
                </c:pt>
                <c:pt idx="3">
                  <c:v>7721.85</c:v>
                </c:pt>
                <c:pt idx="4">
                  <c:v>8514.99</c:v>
                </c:pt>
                <c:pt idx="5">
                  <c:v>8684.64</c:v>
                </c:pt>
                <c:pt idx="6">
                  <c:v>9561.65</c:v>
                </c:pt>
                <c:pt idx="7">
                  <c:v>10888.68</c:v>
                </c:pt>
                <c:pt idx="8">
                  <c:v>11529.89</c:v>
                </c:pt>
                <c:pt idx="9">
                  <c:v>12404.01</c:v>
                </c:pt>
                <c:pt idx="10" formatCode="0.00">
                  <c:v>12242.537999999997</c:v>
                </c:pt>
                <c:pt idx="11" formatCode="0.00">
                  <c:v>12786.736727272724</c:v>
                </c:pt>
                <c:pt idx="12" formatCode="0.00">
                  <c:v>13330.935454545452</c:v>
                </c:pt>
                <c:pt idx="13" formatCode="0.00">
                  <c:v>13875.134181818179</c:v>
                </c:pt>
              </c:numCache>
            </c:numRef>
          </c:val>
          <c:extLst>
            <c:ext xmlns:c16="http://schemas.microsoft.com/office/drawing/2014/chart" uri="{C3380CC4-5D6E-409C-BE32-E72D297353CC}">
              <c16:uniqueId val="{00000000-BE88-401E-B3D9-0D9C4A0F3306}"/>
            </c:ext>
          </c:extLst>
        </c:ser>
        <c:dLbls>
          <c:showLegendKey val="0"/>
          <c:showVal val="0"/>
          <c:showCatName val="0"/>
          <c:showSerName val="0"/>
          <c:showPercent val="0"/>
          <c:showBubbleSize val="0"/>
        </c:dLbls>
        <c:gapWidth val="150"/>
        <c:overlap val="-27"/>
        <c:axId val="1946998383"/>
        <c:axId val="1946995503"/>
      </c:barChart>
      <c:dateAx>
        <c:axId val="1946998383"/>
        <c:scaling>
          <c:orientation val="minMax"/>
        </c:scaling>
        <c:delete val="0"/>
        <c:axPos val="b"/>
        <c:numFmt formatCode="yyyy&quot;A&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95503"/>
        <c:crosses val="autoZero"/>
        <c:auto val="1"/>
        <c:lblOffset val="100"/>
        <c:baseTimeUnit val="years"/>
      </c:dateAx>
      <c:valAx>
        <c:axId val="194699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9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4225"/>
                </a:solidFill>
                <a:latin typeface="+mn-lt"/>
                <a:ea typeface="+mn-ea"/>
                <a:cs typeface="+mn-cs"/>
              </a:defRPr>
            </a:pPr>
            <a:r>
              <a:rPr lang="en-IN" b="1" baseline="0">
                <a:solidFill>
                  <a:srgbClr val="004225"/>
                </a:solidFill>
              </a:rPr>
              <a:t>EBITDA Forecasting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4225"/>
              </a:solidFill>
              <a:latin typeface="+mn-lt"/>
              <a:ea typeface="+mn-ea"/>
              <a:cs typeface="+mn-cs"/>
            </a:defRPr>
          </a:pPr>
          <a:endParaRPr lang="en-US"/>
        </a:p>
      </c:txPr>
    </c:title>
    <c:autoTitleDeleted val="0"/>
    <c:plotArea>
      <c:layout/>
      <c:barChart>
        <c:barDir val="col"/>
        <c:grouping val="clustered"/>
        <c:varyColors val="0"/>
        <c:ser>
          <c:idx val="0"/>
          <c:order val="0"/>
          <c:spPr>
            <a:solidFill>
              <a:srgbClr val="038654"/>
            </a:solidFill>
            <a:ln>
              <a:noFill/>
            </a:ln>
            <a:effectLst/>
          </c:spPr>
          <c:invertIfNegative val="0"/>
          <c:cat>
            <c:numRef>
              <c:f>Forecasting!$C$8:$C$21</c:f>
              <c:numCache>
                <c:formatCode>yyyy"A"</c:formatCode>
                <c:ptCount val="14"/>
                <c:pt idx="0">
                  <c:v>42094</c:v>
                </c:pt>
                <c:pt idx="1">
                  <c:v>42459</c:v>
                </c:pt>
                <c:pt idx="2">
                  <c:v>42824</c:v>
                </c:pt>
                <c:pt idx="3">
                  <c:v>43189</c:v>
                </c:pt>
                <c:pt idx="4">
                  <c:v>43554</c:v>
                </c:pt>
                <c:pt idx="5">
                  <c:v>43919</c:v>
                </c:pt>
                <c:pt idx="6">
                  <c:v>44284</c:v>
                </c:pt>
                <c:pt idx="7">
                  <c:v>44649</c:v>
                </c:pt>
                <c:pt idx="8">
                  <c:v>45014</c:v>
                </c:pt>
                <c:pt idx="9">
                  <c:v>45379</c:v>
                </c:pt>
                <c:pt idx="10" formatCode="yyyy&quot;E&quot;">
                  <c:v>45744</c:v>
                </c:pt>
                <c:pt idx="11" formatCode="yyyy&quot;E&quot;">
                  <c:v>46109</c:v>
                </c:pt>
                <c:pt idx="12" formatCode="yyyy&quot;E&quot;">
                  <c:v>46474</c:v>
                </c:pt>
                <c:pt idx="13" formatCode="yyyy&quot;E&quot;">
                  <c:v>46839</c:v>
                </c:pt>
              </c:numCache>
            </c:numRef>
          </c:cat>
          <c:val>
            <c:numRef>
              <c:f>Forecasting!$I$8:$I$21</c:f>
              <c:numCache>
                <c:formatCode>General</c:formatCode>
                <c:ptCount val="14"/>
                <c:pt idx="0">
                  <c:v>1320.22</c:v>
                </c:pt>
                <c:pt idx="1">
                  <c:v>1518.2799999999993</c:v>
                </c:pt>
                <c:pt idx="2">
                  <c:v>1511.6100000000006</c:v>
                </c:pt>
                <c:pt idx="3">
                  <c:v>1617.4400000000007</c:v>
                </c:pt>
                <c:pt idx="4">
                  <c:v>1739.5599999999993</c:v>
                </c:pt>
                <c:pt idx="5">
                  <c:v>1792.3399999999995</c:v>
                </c:pt>
                <c:pt idx="6">
                  <c:v>2001.6699999999983</c:v>
                </c:pt>
                <c:pt idx="7">
                  <c:v>2252.0100000000007</c:v>
                </c:pt>
                <c:pt idx="8">
                  <c:v>2162.4899999999993</c:v>
                </c:pt>
                <c:pt idx="9">
                  <c:v>2399.7200000000012</c:v>
                </c:pt>
                <c:pt idx="10" formatCode="0.00">
                  <c:v>2469.2819999999997</c:v>
                </c:pt>
                <c:pt idx="11" formatCode="0.00">
                  <c:v>2585.2361818181816</c:v>
                </c:pt>
                <c:pt idx="12" formatCode="0.00">
                  <c:v>2701.1903636363636</c:v>
                </c:pt>
                <c:pt idx="13" formatCode="0.00">
                  <c:v>2817.1445454545456</c:v>
                </c:pt>
              </c:numCache>
            </c:numRef>
          </c:val>
          <c:extLst>
            <c:ext xmlns:c16="http://schemas.microsoft.com/office/drawing/2014/chart" uri="{C3380CC4-5D6E-409C-BE32-E72D297353CC}">
              <c16:uniqueId val="{00000000-7854-4FF7-BB05-0F904D03A752}"/>
            </c:ext>
          </c:extLst>
        </c:ser>
        <c:dLbls>
          <c:showLegendKey val="0"/>
          <c:showVal val="0"/>
          <c:showCatName val="0"/>
          <c:showSerName val="0"/>
          <c:showPercent val="0"/>
          <c:showBubbleSize val="0"/>
        </c:dLbls>
        <c:gapWidth val="150"/>
        <c:overlap val="-27"/>
        <c:axId val="1946998383"/>
        <c:axId val="1946995503"/>
      </c:barChart>
      <c:dateAx>
        <c:axId val="1946998383"/>
        <c:scaling>
          <c:orientation val="minMax"/>
        </c:scaling>
        <c:delete val="0"/>
        <c:axPos val="b"/>
        <c:numFmt formatCode="yyyy&quot;A&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95503"/>
        <c:crosses val="autoZero"/>
        <c:auto val="1"/>
        <c:lblOffset val="100"/>
        <c:baseTimeUnit val="years"/>
      </c:dateAx>
      <c:valAx>
        <c:axId val="194699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9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4225"/>
                </a:solidFill>
                <a:latin typeface="+mn-lt"/>
                <a:ea typeface="+mn-ea"/>
                <a:cs typeface="+mn-cs"/>
              </a:defRPr>
            </a:pPr>
            <a:r>
              <a:rPr lang="en-IN" b="1" baseline="0">
                <a:solidFill>
                  <a:srgbClr val="004225"/>
                </a:solidFill>
              </a:rPr>
              <a:t>EPS Forecasting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4225"/>
              </a:solidFill>
              <a:latin typeface="+mn-lt"/>
              <a:ea typeface="+mn-ea"/>
              <a:cs typeface="+mn-cs"/>
            </a:defRPr>
          </a:pPr>
          <a:endParaRPr lang="en-US"/>
        </a:p>
      </c:txPr>
    </c:title>
    <c:autoTitleDeleted val="0"/>
    <c:plotArea>
      <c:layout/>
      <c:barChart>
        <c:barDir val="col"/>
        <c:grouping val="clustered"/>
        <c:varyColors val="0"/>
        <c:ser>
          <c:idx val="0"/>
          <c:order val="0"/>
          <c:spPr>
            <a:solidFill>
              <a:srgbClr val="038654"/>
            </a:solidFill>
            <a:ln>
              <a:noFill/>
            </a:ln>
            <a:effectLst/>
          </c:spPr>
          <c:invertIfNegative val="0"/>
          <c:cat>
            <c:numRef>
              <c:f>Forecasting!$C$8:$C$21</c:f>
              <c:numCache>
                <c:formatCode>yyyy"A"</c:formatCode>
                <c:ptCount val="14"/>
                <c:pt idx="0">
                  <c:v>42094</c:v>
                </c:pt>
                <c:pt idx="1">
                  <c:v>42459</c:v>
                </c:pt>
                <c:pt idx="2">
                  <c:v>42824</c:v>
                </c:pt>
                <c:pt idx="3">
                  <c:v>43189</c:v>
                </c:pt>
                <c:pt idx="4">
                  <c:v>43554</c:v>
                </c:pt>
                <c:pt idx="5">
                  <c:v>43919</c:v>
                </c:pt>
                <c:pt idx="6">
                  <c:v>44284</c:v>
                </c:pt>
                <c:pt idx="7">
                  <c:v>44649</c:v>
                </c:pt>
                <c:pt idx="8">
                  <c:v>45014</c:v>
                </c:pt>
                <c:pt idx="9">
                  <c:v>45379</c:v>
                </c:pt>
                <c:pt idx="10" formatCode="yyyy&quot;E&quot;">
                  <c:v>45744</c:v>
                </c:pt>
                <c:pt idx="11" formatCode="yyyy&quot;E&quot;">
                  <c:v>46109</c:v>
                </c:pt>
                <c:pt idx="12" formatCode="yyyy&quot;E&quot;">
                  <c:v>46474</c:v>
                </c:pt>
                <c:pt idx="13" formatCode="yyyy&quot;E&quot;">
                  <c:v>46839</c:v>
                </c:pt>
              </c:numCache>
            </c:numRef>
          </c:cat>
          <c:val>
            <c:numRef>
              <c:f>Forecasting!$N$8:$N$21</c:f>
              <c:numCache>
                <c:formatCode>0.00</c:formatCode>
                <c:ptCount val="14"/>
                <c:pt idx="0">
                  <c:v>5.2048391688015947</c:v>
                </c:pt>
                <c:pt idx="1">
                  <c:v>5.8934114035586331</c:v>
                </c:pt>
                <c:pt idx="2">
                  <c:v>5.5883054215157566</c:v>
                </c:pt>
                <c:pt idx="3">
                  <c:v>6.0565427192733496</c:v>
                </c:pt>
                <c:pt idx="4">
                  <c:v>6.9323444488478696</c:v>
                </c:pt>
                <c:pt idx="5">
                  <c:v>7.0320298794635239</c:v>
                </c:pt>
                <c:pt idx="6">
                  <c:v>7.7495756478442805</c:v>
                </c:pt>
                <c:pt idx="7">
                  <c:v>8.1121104134849311</c:v>
                </c:pt>
                <c:pt idx="8">
                  <c:v>7.0884975730895086</c:v>
                </c:pt>
                <c:pt idx="9">
                  <c:v>7.4994356659142296</c:v>
                </c:pt>
                <c:pt idx="10">
                  <c:v>8.2762019287428394</c:v>
                </c:pt>
                <c:pt idx="11">
                  <c:v>8.5599278732089275</c:v>
                </c:pt>
                <c:pt idx="12">
                  <c:v>8.8436538176750119</c:v>
                </c:pt>
                <c:pt idx="13">
                  <c:v>9.1273797621410981</c:v>
                </c:pt>
              </c:numCache>
            </c:numRef>
          </c:val>
          <c:extLst>
            <c:ext xmlns:c16="http://schemas.microsoft.com/office/drawing/2014/chart" uri="{C3380CC4-5D6E-409C-BE32-E72D297353CC}">
              <c16:uniqueId val="{00000000-261D-430F-8D26-ED44316B7BC8}"/>
            </c:ext>
          </c:extLst>
        </c:ser>
        <c:dLbls>
          <c:showLegendKey val="0"/>
          <c:showVal val="0"/>
          <c:showCatName val="0"/>
          <c:showSerName val="0"/>
          <c:showPercent val="0"/>
          <c:showBubbleSize val="0"/>
        </c:dLbls>
        <c:gapWidth val="150"/>
        <c:overlap val="-27"/>
        <c:axId val="1946998383"/>
        <c:axId val="1946995503"/>
      </c:barChart>
      <c:dateAx>
        <c:axId val="1946998383"/>
        <c:scaling>
          <c:orientation val="minMax"/>
        </c:scaling>
        <c:delete val="0"/>
        <c:axPos val="b"/>
        <c:numFmt formatCode="yyyy&quot;A&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95503"/>
        <c:crosses val="autoZero"/>
        <c:auto val="1"/>
        <c:lblOffset val="100"/>
        <c:baseTimeUnit val="years"/>
      </c:dateAx>
      <c:valAx>
        <c:axId val="19469955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9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4225"/>
                </a:solidFill>
                <a:latin typeface="+mn-lt"/>
                <a:ea typeface="+mn-ea"/>
                <a:cs typeface="+mn-cs"/>
              </a:defRPr>
            </a:pPr>
            <a:r>
              <a:rPr lang="en-IN">
                <a:solidFill>
                  <a:srgbClr val="004225"/>
                </a:solidFill>
              </a:rPr>
              <a:t>Football</a:t>
            </a:r>
            <a:r>
              <a:rPr lang="en-IN" baseline="0">
                <a:solidFill>
                  <a:srgbClr val="004225"/>
                </a:solidFill>
              </a:rPr>
              <a:t> Field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4225"/>
              </a:solidFill>
              <a:latin typeface="+mn-lt"/>
              <a:ea typeface="+mn-ea"/>
              <a:cs typeface="+mn-cs"/>
            </a:defRPr>
          </a:pPr>
          <a:endParaRPr lang="en-US"/>
        </a:p>
      </c:txPr>
    </c:title>
    <c:autoTitleDeleted val="0"/>
    <c:plotArea>
      <c:layout/>
      <c:stockChart>
        <c:ser>
          <c:idx val="0"/>
          <c:order val="0"/>
          <c:spPr>
            <a:ln w="38100" cap="rnd">
              <a:noFill/>
              <a:round/>
            </a:ln>
            <a:effectLst/>
          </c:spPr>
          <c:marker>
            <c:symbol val="none"/>
          </c:marker>
          <c:cat>
            <c:strRef>
              <c:f>'Football Field Analysis'!$J$10:$J$14</c:f>
              <c:strCache>
                <c:ptCount val="5"/>
                <c:pt idx="0">
                  <c:v>Comps</c:v>
                </c:pt>
                <c:pt idx="1">
                  <c:v>DCF Bear</c:v>
                </c:pt>
                <c:pt idx="2">
                  <c:v>DCF Base</c:v>
                </c:pt>
                <c:pt idx="3">
                  <c:v>DCF Bull</c:v>
                </c:pt>
                <c:pt idx="4">
                  <c:v>52W H/L</c:v>
                </c:pt>
              </c:strCache>
            </c:strRef>
          </c:cat>
          <c:val>
            <c:numRef>
              <c:f>'Football Field Analysis'!$L$10:$L$14</c:f>
              <c:numCache>
                <c:formatCode>0</c:formatCode>
                <c:ptCount val="5"/>
                <c:pt idx="0">
                  <c:v>608</c:v>
                </c:pt>
                <c:pt idx="1">
                  <c:v>98.306447943381372</c:v>
                </c:pt>
                <c:pt idx="2">
                  <c:v>138.00478513047466</c:v>
                </c:pt>
                <c:pt idx="3">
                  <c:v>158.16901989217283</c:v>
                </c:pt>
                <c:pt idx="4">
                  <c:v>489</c:v>
                </c:pt>
              </c:numCache>
            </c:numRef>
          </c:val>
          <c:smooth val="0"/>
          <c:extLst>
            <c:ext xmlns:c16="http://schemas.microsoft.com/office/drawing/2014/chart" uri="{C3380CC4-5D6E-409C-BE32-E72D297353CC}">
              <c16:uniqueId val="{00000000-D1D8-4AD9-9908-1C0C159C4FEB}"/>
            </c:ext>
          </c:extLst>
        </c:ser>
        <c:ser>
          <c:idx val="1"/>
          <c:order val="1"/>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Analysis'!$J$10:$J$14</c:f>
              <c:strCache>
                <c:ptCount val="5"/>
                <c:pt idx="0">
                  <c:v>Comps</c:v>
                </c:pt>
                <c:pt idx="1">
                  <c:v>DCF Bear</c:v>
                </c:pt>
                <c:pt idx="2">
                  <c:v>DCF Base</c:v>
                </c:pt>
                <c:pt idx="3">
                  <c:v>DCF Bull</c:v>
                </c:pt>
                <c:pt idx="4">
                  <c:v>52W H/L</c:v>
                </c:pt>
              </c:strCache>
            </c:strRef>
          </c:cat>
          <c:val>
            <c:numRef>
              <c:f>'Football Field Analysis'!$M$10:$M$14</c:f>
              <c:numCache>
                <c:formatCode>0</c:formatCode>
                <c:ptCount val="5"/>
                <c:pt idx="0">
                  <c:v>608</c:v>
                </c:pt>
                <c:pt idx="1">
                  <c:v>98.306447943381372</c:v>
                </c:pt>
                <c:pt idx="2">
                  <c:v>138.00478513047466</c:v>
                </c:pt>
                <c:pt idx="3">
                  <c:v>158.16901989217283</c:v>
                </c:pt>
                <c:pt idx="4">
                  <c:v>489</c:v>
                </c:pt>
              </c:numCache>
            </c:numRef>
          </c:val>
          <c:smooth val="0"/>
          <c:extLst>
            <c:ext xmlns:c16="http://schemas.microsoft.com/office/drawing/2014/chart" uri="{C3380CC4-5D6E-409C-BE32-E72D297353CC}">
              <c16:uniqueId val="{00000001-D1D8-4AD9-9908-1C0C159C4FEB}"/>
            </c:ext>
          </c:extLst>
        </c:ser>
        <c:ser>
          <c:idx val="2"/>
          <c:order val="2"/>
          <c:spPr>
            <a:ln w="38100" cap="rnd">
              <a:noFill/>
              <a:round/>
            </a:ln>
            <a:effectLst/>
          </c:spPr>
          <c:marker>
            <c:symbol val="none"/>
          </c:marker>
          <c:cat>
            <c:strRef>
              <c:f>'Football Field Analysis'!$J$10:$J$14</c:f>
              <c:strCache>
                <c:ptCount val="5"/>
                <c:pt idx="0">
                  <c:v>Comps</c:v>
                </c:pt>
                <c:pt idx="1">
                  <c:v>DCF Bear</c:v>
                </c:pt>
                <c:pt idx="2">
                  <c:v>DCF Base</c:v>
                </c:pt>
                <c:pt idx="3">
                  <c:v>DCF Bull</c:v>
                </c:pt>
                <c:pt idx="4">
                  <c:v>52W H/L</c:v>
                </c:pt>
              </c:strCache>
            </c:strRef>
          </c:cat>
          <c:val>
            <c:numRef>
              <c:f>'Football Field Analysis'!$N$10:$N$14</c:f>
              <c:numCache>
                <c:formatCode>0</c:formatCode>
                <c:ptCount val="5"/>
                <c:pt idx="0">
                  <c:v>959</c:v>
                </c:pt>
                <c:pt idx="1">
                  <c:v>149.76725540813192</c:v>
                </c:pt>
                <c:pt idx="2">
                  <c:v>385.01666096127724</c:v>
                </c:pt>
                <c:pt idx="3">
                  <c:v>788.30135619524162</c:v>
                </c:pt>
                <c:pt idx="4">
                  <c:v>672</c:v>
                </c:pt>
              </c:numCache>
            </c:numRef>
          </c:val>
          <c:smooth val="0"/>
          <c:extLst>
            <c:ext xmlns:c16="http://schemas.microsoft.com/office/drawing/2014/chart" uri="{C3380CC4-5D6E-409C-BE32-E72D297353CC}">
              <c16:uniqueId val="{00000002-D1D8-4AD9-9908-1C0C159C4FEB}"/>
            </c:ext>
          </c:extLst>
        </c:ser>
        <c:ser>
          <c:idx val="3"/>
          <c:order val="3"/>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Analysis'!$J$10:$J$14</c:f>
              <c:strCache>
                <c:ptCount val="5"/>
                <c:pt idx="0">
                  <c:v>Comps</c:v>
                </c:pt>
                <c:pt idx="1">
                  <c:v>DCF Bear</c:v>
                </c:pt>
                <c:pt idx="2">
                  <c:v>DCF Base</c:v>
                </c:pt>
                <c:pt idx="3">
                  <c:v>DCF Bull</c:v>
                </c:pt>
                <c:pt idx="4">
                  <c:v>52W H/L</c:v>
                </c:pt>
              </c:strCache>
            </c:strRef>
          </c:cat>
          <c:val>
            <c:numRef>
              <c:f>'Football Field Analysis'!$O$10:$O$14</c:f>
              <c:numCache>
                <c:formatCode>0</c:formatCode>
                <c:ptCount val="5"/>
                <c:pt idx="0">
                  <c:v>959</c:v>
                </c:pt>
                <c:pt idx="1">
                  <c:v>149.76725540813192</c:v>
                </c:pt>
                <c:pt idx="2">
                  <c:v>385.01666096127724</c:v>
                </c:pt>
                <c:pt idx="3">
                  <c:v>788.30135619524162</c:v>
                </c:pt>
                <c:pt idx="4">
                  <c:v>672</c:v>
                </c:pt>
              </c:numCache>
            </c:numRef>
          </c:val>
          <c:smooth val="0"/>
          <c:extLst>
            <c:ext xmlns:c16="http://schemas.microsoft.com/office/drawing/2014/chart" uri="{C3380CC4-5D6E-409C-BE32-E72D297353CC}">
              <c16:uniqueId val="{00000003-D1D8-4AD9-9908-1C0C159C4FEB}"/>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38654"/>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01307295"/>
        <c:axId val="1601326975"/>
      </c:stockChart>
      <c:catAx>
        <c:axId val="16013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26975"/>
        <c:crosses val="autoZero"/>
        <c:auto val="1"/>
        <c:lblAlgn val="ctr"/>
        <c:lblOffset val="100"/>
        <c:noMultiLvlLbl val="0"/>
      </c:catAx>
      <c:valAx>
        <c:axId val="1601326975"/>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30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3220"/>
            </a:solidFill>
            <a:ln>
              <a:noFill/>
            </a:ln>
            <a:effectLst/>
          </c:spPr>
          <c:invertIfNegative val="0"/>
          <c:dPt>
            <c:idx val="0"/>
            <c:invertIfNegative val="0"/>
            <c:bubble3D val="0"/>
            <c:spPr>
              <a:solidFill>
                <a:srgbClr val="BCDDB9">
                  <a:alpha val="75000"/>
                </a:srgbClr>
              </a:solidFill>
              <a:ln>
                <a:noFill/>
              </a:ln>
              <a:effectLst/>
            </c:spPr>
            <c:extLst>
              <c:ext xmlns:c16="http://schemas.microsoft.com/office/drawing/2014/chart" uri="{C3380CC4-5D6E-409C-BE32-E72D297353CC}">
                <c16:uniqueId val="{00000002-2612-4718-BC06-D9D39AC9DD15}"/>
              </c:ext>
            </c:extLst>
          </c:dPt>
          <c:dPt>
            <c:idx val="1"/>
            <c:invertIfNegative val="0"/>
            <c:bubble3D val="0"/>
            <c:spPr>
              <a:solidFill>
                <a:srgbClr val="7BC4AC">
                  <a:alpha val="70000"/>
                </a:srgbClr>
              </a:solidFill>
              <a:ln>
                <a:noFill/>
              </a:ln>
              <a:effectLst/>
            </c:spPr>
            <c:extLst>
              <c:ext xmlns:c16="http://schemas.microsoft.com/office/drawing/2014/chart" uri="{C3380CC4-5D6E-409C-BE32-E72D297353CC}">
                <c16:uniqueId val="{00000003-2612-4718-BC06-D9D39AC9DD15}"/>
              </c:ext>
            </c:extLst>
          </c:dPt>
          <c:dPt>
            <c:idx val="2"/>
            <c:invertIfNegative val="0"/>
            <c:bubble3D val="0"/>
            <c:spPr>
              <a:solidFill>
                <a:srgbClr val="399C73">
                  <a:alpha val="88000"/>
                </a:srgbClr>
              </a:solidFill>
              <a:ln>
                <a:noFill/>
              </a:ln>
              <a:effectLst/>
            </c:spPr>
            <c:extLst>
              <c:ext xmlns:c16="http://schemas.microsoft.com/office/drawing/2014/chart" uri="{C3380CC4-5D6E-409C-BE32-E72D297353CC}">
                <c16:uniqueId val="{00000004-2612-4718-BC06-D9D39AC9DD15}"/>
              </c:ext>
            </c:extLst>
          </c:dPt>
          <c:dPt>
            <c:idx val="3"/>
            <c:invertIfNegative val="0"/>
            <c:bubble3D val="0"/>
            <c:spPr>
              <a:solidFill>
                <a:srgbClr val="058354"/>
              </a:solidFill>
              <a:ln>
                <a:noFill/>
              </a:ln>
              <a:effectLst/>
            </c:spPr>
            <c:extLst>
              <c:ext xmlns:c16="http://schemas.microsoft.com/office/drawing/2014/chart" uri="{C3380CC4-5D6E-409C-BE32-E72D297353CC}">
                <c16:uniqueId val="{00000001-2612-4718-BC06-D9D39AC9DD1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Analysis'!$G$65:$J$65</c:f>
              <c:numCache>
                <c:formatCode>mmm\-yy</c:formatCode>
                <c:ptCount val="4"/>
                <c:pt idx="0">
                  <c:v>44286</c:v>
                </c:pt>
                <c:pt idx="1">
                  <c:v>44651</c:v>
                </c:pt>
                <c:pt idx="2">
                  <c:v>45016</c:v>
                </c:pt>
                <c:pt idx="3">
                  <c:v>45382</c:v>
                </c:pt>
              </c:numCache>
            </c:numRef>
          </c:cat>
          <c:val>
            <c:numRef>
              <c:f>'Dupont Analysis'!$G$67:$J$67</c:f>
              <c:numCache>
                <c:formatCode>General</c:formatCode>
                <c:ptCount val="4"/>
                <c:pt idx="0">
                  <c:v>9561.65</c:v>
                </c:pt>
                <c:pt idx="1">
                  <c:v>10888.68</c:v>
                </c:pt>
                <c:pt idx="2">
                  <c:v>11529.89</c:v>
                </c:pt>
                <c:pt idx="3">
                  <c:v>12404.01</c:v>
                </c:pt>
              </c:numCache>
            </c:numRef>
          </c:val>
          <c:extLst>
            <c:ext xmlns:c16="http://schemas.microsoft.com/office/drawing/2014/chart" uri="{C3380CC4-5D6E-409C-BE32-E72D297353CC}">
              <c16:uniqueId val="{00000000-2612-4718-BC06-D9D39AC9DD15}"/>
            </c:ext>
          </c:extLst>
        </c:ser>
        <c:dLbls>
          <c:dLblPos val="outEnd"/>
          <c:showLegendKey val="0"/>
          <c:showVal val="1"/>
          <c:showCatName val="0"/>
          <c:showSerName val="0"/>
          <c:showPercent val="0"/>
          <c:showBubbleSize val="0"/>
        </c:dLbls>
        <c:gapWidth val="219"/>
        <c:overlap val="-18"/>
        <c:axId val="1835170496"/>
        <c:axId val="1835160416"/>
      </c:barChart>
      <c:dateAx>
        <c:axId val="1835170496"/>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60416"/>
        <c:crosses val="autoZero"/>
        <c:auto val="1"/>
        <c:lblOffset val="100"/>
        <c:baseTimeUnit val="years"/>
      </c:dateAx>
      <c:valAx>
        <c:axId val="1835160416"/>
        <c:scaling>
          <c:orientation val="minMax"/>
        </c:scaling>
        <c:delete val="1"/>
        <c:axPos val="l"/>
        <c:numFmt formatCode="General" sourceLinked="1"/>
        <c:majorTickMark val="none"/>
        <c:minorTickMark val="none"/>
        <c:tickLblPos val="nextTo"/>
        <c:crossAx val="1835170496"/>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3220"/>
            </a:solidFill>
            <a:ln>
              <a:noFill/>
            </a:ln>
            <a:effectLst/>
          </c:spPr>
          <c:invertIfNegative val="0"/>
          <c:dPt>
            <c:idx val="0"/>
            <c:invertIfNegative val="0"/>
            <c:bubble3D val="0"/>
            <c:spPr>
              <a:solidFill>
                <a:srgbClr val="BCDDB9">
                  <a:alpha val="75000"/>
                </a:srgbClr>
              </a:solidFill>
              <a:ln>
                <a:noFill/>
              </a:ln>
              <a:effectLst/>
            </c:spPr>
            <c:extLst>
              <c:ext xmlns:c16="http://schemas.microsoft.com/office/drawing/2014/chart" uri="{C3380CC4-5D6E-409C-BE32-E72D297353CC}">
                <c16:uniqueId val="{00000001-0176-4144-B735-289CD55A31A0}"/>
              </c:ext>
            </c:extLst>
          </c:dPt>
          <c:dPt>
            <c:idx val="1"/>
            <c:invertIfNegative val="0"/>
            <c:bubble3D val="0"/>
            <c:spPr>
              <a:solidFill>
                <a:srgbClr val="7BC4AC">
                  <a:alpha val="69804"/>
                </a:srgbClr>
              </a:solidFill>
              <a:ln>
                <a:noFill/>
              </a:ln>
              <a:effectLst/>
            </c:spPr>
            <c:extLst>
              <c:ext xmlns:c16="http://schemas.microsoft.com/office/drawing/2014/chart" uri="{C3380CC4-5D6E-409C-BE32-E72D297353CC}">
                <c16:uniqueId val="{00000003-0176-4144-B735-289CD55A31A0}"/>
              </c:ext>
            </c:extLst>
          </c:dPt>
          <c:dPt>
            <c:idx val="2"/>
            <c:invertIfNegative val="0"/>
            <c:bubble3D val="0"/>
            <c:spPr>
              <a:solidFill>
                <a:srgbClr val="399C73">
                  <a:alpha val="87843"/>
                </a:srgbClr>
              </a:solidFill>
              <a:ln>
                <a:noFill/>
              </a:ln>
              <a:effectLst/>
            </c:spPr>
            <c:extLst>
              <c:ext xmlns:c16="http://schemas.microsoft.com/office/drawing/2014/chart" uri="{C3380CC4-5D6E-409C-BE32-E72D297353CC}">
                <c16:uniqueId val="{00000005-0176-4144-B735-289CD55A31A0}"/>
              </c:ext>
            </c:extLst>
          </c:dPt>
          <c:dPt>
            <c:idx val="3"/>
            <c:invertIfNegative val="0"/>
            <c:bubble3D val="0"/>
            <c:spPr>
              <a:solidFill>
                <a:srgbClr val="058354"/>
              </a:solidFill>
              <a:ln>
                <a:noFill/>
              </a:ln>
              <a:effectLst/>
            </c:spPr>
            <c:extLst>
              <c:ext xmlns:c16="http://schemas.microsoft.com/office/drawing/2014/chart" uri="{C3380CC4-5D6E-409C-BE32-E72D297353CC}">
                <c16:uniqueId val="{00000007-0176-4144-B735-289CD55A31A0}"/>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Analysis'!$G$65:$J$65</c:f>
              <c:numCache>
                <c:formatCode>mmm\-yy</c:formatCode>
                <c:ptCount val="4"/>
                <c:pt idx="0">
                  <c:v>44286</c:v>
                </c:pt>
                <c:pt idx="1">
                  <c:v>44651</c:v>
                </c:pt>
                <c:pt idx="2">
                  <c:v>45016</c:v>
                </c:pt>
                <c:pt idx="3">
                  <c:v>45382</c:v>
                </c:pt>
              </c:numCache>
            </c:numRef>
          </c:cat>
          <c:val>
            <c:numRef>
              <c:f>'Dupont Analysis'!$G$66:$J$66</c:f>
              <c:numCache>
                <c:formatCode>General</c:formatCode>
                <c:ptCount val="4"/>
                <c:pt idx="0">
                  <c:v>1369.6599999999983</c:v>
                </c:pt>
                <c:pt idx="1">
                  <c:v>1434.1400000000008</c:v>
                </c:pt>
                <c:pt idx="2">
                  <c:v>1255.9399999999991</c:v>
                </c:pt>
                <c:pt idx="3">
                  <c:v>1328.9000000000015</c:v>
                </c:pt>
              </c:numCache>
            </c:numRef>
          </c:val>
          <c:extLst>
            <c:ext xmlns:c16="http://schemas.microsoft.com/office/drawing/2014/chart" uri="{C3380CC4-5D6E-409C-BE32-E72D297353CC}">
              <c16:uniqueId val="{00000008-0176-4144-B735-289CD55A31A0}"/>
            </c:ext>
          </c:extLst>
        </c:ser>
        <c:dLbls>
          <c:dLblPos val="outEnd"/>
          <c:showLegendKey val="0"/>
          <c:showVal val="1"/>
          <c:showCatName val="0"/>
          <c:showSerName val="0"/>
          <c:showPercent val="0"/>
          <c:showBubbleSize val="0"/>
        </c:dLbls>
        <c:gapWidth val="219"/>
        <c:overlap val="-27"/>
        <c:axId val="1835170496"/>
        <c:axId val="1835160416"/>
      </c:barChart>
      <c:dateAx>
        <c:axId val="1835170496"/>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60416"/>
        <c:crosses val="autoZero"/>
        <c:auto val="1"/>
        <c:lblOffset val="100"/>
        <c:baseTimeUnit val="years"/>
      </c:dateAx>
      <c:valAx>
        <c:axId val="1835160416"/>
        <c:scaling>
          <c:orientation val="minMax"/>
        </c:scaling>
        <c:delete val="1"/>
        <c:axPos val="l"/>
        <c:numFmt formatCode="General" sourceLinked="1"/>
        <c:majorTickMark val="none"/>
        <c:minorTickMark val="none"/>
        <c:tickLblPos val="nextTo"/>
        <c:crossAx val="183517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3220"/>
            </a:solidFill>
            <a:ln>
              <a:noFill/>
            </a:ln>
            <a:effectLst/>
          </c:spPr>
          <c:invertIfNegative val="0"/>
          <c:dPt>
            <c:idx val="0"/>
            <c:invertIfNegative val="0"/>
            <c:bubble3D val="0"/>
            <c:spPr>
              <a:solidFill>
                <a:srgbClr val="D0F0C0">
                  <a:alpha val="75000"/>
                </a:srgbClr>
              </a:solidFill>
              <a:ln>
                <a:noFill/>
              </a:ln>
              <a:effectLst/>
            </c:spPr>
            <c:extLst>
              <c:ext xmlns:c16="http://schemas.microsoft.com/office/drawing/2014/chart" uri="{C3380CC4-5D6E-409C-BE32-E72D297353CC}">
                <c16:uniqueId val="{00000001-7B9A-4FD6-80C0-41AE56AE8737}"/>
              </c:ext>
            </c:extLst>
          </c:dPt>
          <c:dPt>
            <c:idx val="1"/>
            <c:invertIfNegative val="0"/>
            <c:bubble3D val="0"/>
            <c:spPr>
              <a:solidFill>
                <a:srgbClr val="7BC4AC">
                  <a:alpha val="69804"/>
                </a:srgbClr>
              </a:solidFill>
              <a:ln>
                <a:noFill/>
              </a:ln>
              <a:effectLst/>
            </c:spPr>
            <c:extLst>
              <c:ext xmlns:c16="http://schemas.microsoft.com/office/drawing/2014/chart" uri="{C3380CC4-5D6E-409C-BE32-E72D297353CC}">
                <c16:uniqueId val="{00000003-7B9A-4FD6-80C0-41AE56AE8737}"/>
              </c:ext>
            </c:extLst>
          </c:dPt>
          <c:dPt>
            <c:idx val="2"/>
            <c:invertIfNegative val="0"/>
            <c:bubble3D val="0"/>
            <c:spPr>
              <a:solidFill>
                <a:srgbClr val="399C73">
                  <a:alpha val="87451"/>
                </a:srgbClr>
              </a:solidFill>
              <a:ln>
                <a:noFill/>
              </a:ln>
              <a:effectLst/>
            </c:spPr>
            <c:extLst>
              <c:ext xmlns:c16="http://schemas.microsoft.com/office/drawing/2014/chart" uri="{C3380CC4-5D6E-409C-BE32-E72D297353CC}">
                <c16:uniqueId val="{00000005-7B9A-4FD6-80C0-41AE56AE8737}"/>
              </c:ext>
            </c:extLst>
          </c:dPt>
          <c:dPt>
            <c:idx val="3"/>
            <c:invertIfNegative val="0"/>
            <c:bubble3D val="0"/>
            <c:spPr>
              <a:solidFill>
                <a:srgbClr val="058354"/>
              </a:solidFill>
              <a:ln>
                <a:noFill/>
              </a:ln>
              <a:effectLst/>
            </c:spPr>
            <c:extLst>
              <c:ext xmlns:c16="http://schemas.microsoft.com/office/drawing/2014/chart" uri="{C3380CC4-5D6E-409C-BE32-E72D297353CC}">
                <c16:uniqueId val="{00000007-7B9A-4FD6-80C0-41AE56AE873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Analysis'!$G$65:$J$65</c:f>
              <c:numCache>
                <c:formatCode>mmm\-yy</c:formatCode>
                <c:ptCount val="4"/>
                <c:pt idx="0">
                  <c:v>44286</c:v>
                </c:pt>
                <c:pt idx="1">
                  <c:v>44651</c:v>
                </c:pt>
                <c:pt idx="2">
                  <c:v>45016</c:v>
                </c:pt>
                <c:pt idx="3">
                  <c:v>45382</c:v>
                </c:pt>
              </c:numCache>
            </c:numRef>
          </c:cat>
          <c:val>
            <c:numRef>
              <c:f>'Dupont Analysis'!$G$71:$J$71</c:f>
              <c:numCache>
                <c:formatCode>General</c:formatCode>
                <c:ptCount val="4"/>
                <c:pt idx="0">
                  <c:v>10084.900000000001</c:v>
                </c:pt>
                <c:pt idx="1">
                  <c:v>11558.54</c:v>
                </c:pt>
                <c:pt idx="2">
                  <c:v>12968.07</c:v>
                </c:pt>
                <c:pt idx="3">
                  <c:v>14384.32</c:v>
                </c:pt>
              </c:numCache>
            </c:numRef>
          </c:val>
          <c:extLst>
            <c:ext xmlns:c16="http://schemas.microsoft.com/office/drawing/2014/chart" uri="{C3380CC4-5D6E-409C-BE32-E72D297353CC}">
              <c16:uniqueId val="{00000008-7B9A-4FD6-80C0-41AE56AE8737}"/>
            </c:ext>
          </c:extLst>
        </c:ser>
        <c:dLbls>
          <c:dLblPos val="outEnd"/>
          <c:showLegendKey val="0"/>
          <c:showVal val="1"/>
          <c:showCatName val="0"/>
          <c:showSerName val="0"/>
          <c:showPercent val="0"/>
          <c:showBubbleSize val="0"/>
        </c:dLbls>
        <c:gapWidth val="219"/>
        <c:overlap val="-27"/>
        <c:axId val="1835170496"/>
        <c:axId val="1835160416"/>
      </c:barChart>
      <c:dateAx>
        <c:axId val="1835170496"/>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60416"/>
        <c:crosses val="autoZero"/>
        <c:auto val="1"/>
        <c:lblOffset val="100"/>
        <c:baseTimeUnit val="years"/>
      </c:dateAx>
      <c:valAx>
        <c:axId val="1835160416"/>
        <c:scaling>
          <c:orientation val="minMax"/>
        </c:scaling>
        <c:delete val="1"/>
        <c:axPos val="l"/>
        <c:numFmt formatCode="General" sourceLinked="1"/>
        <c:majorTickMark val="none"/>
        <c:minorTickMark val="none"/>
        <c:tickLblPos val="nextTo"/>
        <c:crossAx val="183517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3220"/>
            </a:solidFill>
            <a:ln>
              <a:noFill/>
            </a:ln>
            <a:effectLst/>
          </c:spPr>
          <c:invertIfNegative val="0"/>
          <c:dPt>
            <c:idx val="0"/>
            <c:invertIfNegative val="0"/>
            <c:bubble3D val="0"/>
            <c:spPr>
              <a:solidFill>
                <a:srgbClr val="BCDDB9">
                  <a:alpha val="75000"/>
                </a:srgbClr>
              </a:solidFill>
              <a:ln>
                <a:noFill/>
              </a:ln>
              <a:effectLst/>
            </c:spPr>
            <c:extLst>
              <c:ext xmlns:c16="http://schemas.microsoft.com/office/drawing/2014/chart" uri="{C3380CC4-5D6E-409C-BE32-E72D297353CC}">
                <c16:uniqueId val="{00000001-4D38-4C89-A22E-9C4BA1580666}"/>
              </c:ext>
            </c:extLst>
          </c:dPt>
          <c:dPt>
            <c:idx val="1"/>
            <c:invertIfNegative val="0"/>
            <c:bubble3D val="0"/>
            <c:spPr>
              <a:solidFill>
                <a:srgbClr val="7BC4AC">
                  <a:alpha val="70000"/>
                </a:srgbClr>
              </a:solidFill>
              <a:ln>
                <a:noFill/>
              </a:ln>
              <a:effectLst/>
            </c:spPr>
            <c:extLst>
              <c:ext xmlns:c16="http://schemas.microsoft.com/office/drawing/2014/chart" uri="{C3380CC4-5D6E-409C-BE32-E72D297353CC}">
                <c16:uniqueId val="{00000003-4D38-4C89-A22E-9C4BA1580666}"/>
              </c:ext>
            </c:extLst>
          </c:dPt>
          <c:dPt>
            <c:idx val="2"/>
            <c:invertIfNegative val="0"/>
            <c:bubble3D val="0"/>
            <c:spPr>
              <a:solidFill>
                <a:srgbClr val="399C73">
                  <a:alpha val="88000"/>
                </a:srgbClr>
              </a:solidFill>
              <a:ln>
                <a:noFill/>
              </a:ln>
              <a:effectLst/>
            </c:spPr>
            <c:extLst>
              <c:ext xmlns:c16="http://schemas.microsoft.com/office/drawing/2014/chart" uri="{C3380CC4-5D6E-409C-BE32-E72D297353CC}">
                <c16:uniqueId val="{00000005-4D38-4C89-A22E-9C4BA1580666}"/>
              </c:ext>
            </c:extLst>
          </c:dPt>
          <c:dPt>
            <c:idx val="3"/>
            <c:invertIfNegative val="0"/>
            <c:bubble3D val="0"/>
            <c:spPr>
              <a:solidFill>
                <a:srgbClr val="058354"/>
              </a:solidFill>
              <a:ln>
                <a:noFill/>
              </a:ln>
              <a:effectLst/>
            </c:spPr>
            <c:extLst>
              <c:ext xmlns:c16="http://schemas.microsoft.com/office/drawing/2014/chart" uri="{C3380CC4-5D6E-409C-BE32-E72D297353CC}">
                <c16:uniqueId val="{00000007-4D38-4C89-A22E-9C4BA1580666}"/>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Analysis'!$G$65:$J$65</c:f>
              <c:numCache>
                <c:formatCode>mmm\-yy</c:formatCode>
                <c:ptCount val="4"/>
                <c:pt idx="0">
                  <c:v>44286</c:v>
                </c:pt>
                <c:pt idx="1">
                  <c:v>44651</c:v>
                </c:pt>
                <c:pt idx="2">
                  <c:v>45016</c:v>
                </c:pt>
                <c:pt idx="3">
                  <c:v>45382</c:v>
                </c:pt>
              </c:numCache>
            </c:numRef>
          </c:cat>
          <c:val>
            <c:numRef>
              <c:f>'Dupont Analysis'!$G$78:$J$78</c:f>
              <c:numCache>
                <c:formatCode>0.00%</c:formatCode>
                <c:ptCount val="4"/>
                <c:pt idx="0">
                  <c:v>0.19197324602222374</c:v>
                </c:pt>
                <c:pt idx="1">
                  <c:v>0.17876661828140292</c:v>
                </c:pt>
                <c:pt idx="2">
                  <c:v>0.14473890435712564</c:v>
                </c:pt>
                <c:pt idx="3">
                  <c:v>0.14107548159298849</c:v>
                </c:pt>
              </c:numCache>
            </c:numRef>
          </c:val>
          <c:extLst>
            <c:ext xmlns:c16="http://schemas.microsoft.com/office/drawing/2014/chart" uri="{C3380CC4-5D6E-409C-BE32-E72D297353CC}">
              <c16:uniqueId val="{00000008-4D38-4C89-A22E-9C4BA1580666}"/>
            </c:ext>
          </c:extLst>
        </c:ser>
        <c:dLbls>
          <c:dLblPos val="outEnd"/>
          <c:showLegendKey val="0"/>
          <c:showVal val="1"/>
          <c:showCatName val="0"/>
          <c:showSerName val="0"/>
          <c:showPercent val="0"/>
          <c:showBubbleSize val="0"/>
        </c:dLbls>
        <c:gapWidth val="219"/>
        <c:overlap val="-27"/>
        <c:axId val="1835170496"/>
        <c:axId val="1835160416"/>
      </c:barChart>
      <c:dateAx>
        <c:axId val="1835170496"/>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60416"/>
        <c:crosses val="autoZero"/>
        <c:auto val="1"/>
        <c:lblOffset val="100"/>
        <c:baseTimeUnit val="years"/>
      </c:dateAx>
      <c:valAx>
        <c:axId val="1835160416"/>
        <c:scaling>
          <c:orientation val="minMax"/>
        </c:scaling>
        <c:delete val="1"/>
        <c:axPos val="l"/>
        <c:numFmt formatCode="0.00%" sourceLinked="1"/>
        <c:majorTickMark val="none"/>
        <c:minorTickMark val="none"/>
        <c:tickLblPos val="nextTo"/>
        <c:crossAx val="183517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3220"/>
            </a:solidFill>
            <a:ln>
              <a:noFill/>
            </a:ln>
            <a:effectLst/>
          </c:spPr>
          <c:invertIfNegative val="0"/>
          <c:dPt>
            <c:idx val="0"/>
            <c:invertIfNegative val="0"/>
            <c:bubble3D val="0"/>
            <c:spPr>
              <a:solidFill>
                <a:srgbClr val="BCDDB9">
                  <a:alpha val="75000"/>
                </a:srgbClr>
              </a:solidFill>
              <a:ln>
                <a:noFill/>
              </a:ln>
              <a:effectLst/>
            </c:spPr>
            <c:extLst>
              <c:ext xmlns:c16="http://schemas.microsoft.com/office/drawing/2014/chart" uri="{C3380CC4-5D6E-409C-BE32-E72D297353CC}">
                <c16:uniqueId val="{00000001-332C-4F3D-AC02-38FF4A82890B}"/>
              </c:ext>
            </c:extLst>
          </c:dPt>
          <c:dPt>
            <c:idx val="1"/>
            <c:invertIfNegative val="0"/>
            <c:bubble3D val="0"/>
            <c:spPr>
              <a:solidFill>
                <a:srgbClr val="7BC4AC">
                  <a:alpha val="70000"/>
                </a:srgbClr>
              </a:solidFill>
              <a:ln>
                <a:noFill/>
              </a:ln>
              <a:effectLst/>
            </c:spPr>
            <c:extLst>
              <c:ext xmlns:c16="http://schemas.microsoft.com/office/drawing/2014/chart" uri="{C3380CC4-5D6E-409C-BE32-E72D297353CC}">
                <c16:uniqueId val="{00000003-332C-4F3D-AC02-38FF4A82890B}"/>
              </c:ext>
            </c:extLst>
          </c:dPt>
          <c:dPt>
            <c:idx val="2"/>
            <c:invertIfNegative val="0"/>
            <c:bubble3D val="0"/>
            <c:spPr>
              <a:solidFill>
                <a:srgbClr val="399C73">
                  <a:alpha val="88000"/>
                </a:srgbClr>
              </a:solidFill>
              <a:ln>
                <a:noFill/>
              </a:ln>
              <a:effectLst/>
            </c:spPr>
            <c:extLst>
              <c:ext xmlns:c16="http://schemas.microsoft.com/office/drawing/2014/chart" uri="{C3380CC4-5D6E-409C-BE32-E72D297353CC}">
                <c16:uniqueId val="{00000005-332C-4F3D-AC02-38FF4A82890B}"/>
              </c:ext>
            </c:extLst>
          </c:dPt>
          <c:dPt>
            <c:idx val="3"/>
            <c:invertIfNegative val="0"/>
            <c:bubble3D val="0"/>
            <c:spPr>
              <a:solidFill>
                <a:srgbClr val="058354"/>
              </a:solidFill>
              <a:ln>
                <a:noFill/>
              </a:ln>
              <a:effectLst/>
            </c:spPr>
            <c:extLst>
              <c:ext xmlns:c16="http://schemas.microsoft.com/office/drawing/2014/chart" uri="{C3380CC4-5D6E-409C-BE32-E72D297353CC}">
                <c16:uniqueId val="{00000007-332C-4F3D-AC02-38FF4A82890B}"/>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Analysis'!$G$65:$J$65</c:f>
              <c:numCache>
                <c:formatCode>mmm\-yy</c:formatCode>
                <c:ptCount val="4"/>
                <c:pt idx="0">
                  <c:v>44286</c:v>
                </c:pt>
                <c:pt idx="1">
                  <c:v>44651</c:v>
                </c:pt>
                <c:pt idx="2">
                  <c:v>45016</c:v>
                </c:pt>
                <c:pt idx="3">
                  <c:v>45382</c:v>
                </c:pt>
              </c:numCache>
            </c:numRef>
          </c:cat>
          <c:val>
            <c:numRef>
              <c:f>'Dupont Analysis'!$G$84:$J$84</c:f>
              <c:numCache>
                <c:formatCode>0.00%</c:formatCode>
                <c:ptCount val="4"/>
                <c:pt idx="0">
                  <c:v>0.13581294807087804</c:v>
                </c:pt>
                <c:pt idx="1">
                  <c:v>0.12407622415979878</c:v>
                </c:pt>
                <c:pt idx="2">
                  <c:v>9.684864440120998E-2</c:v>
                </c:pt>
                <c:pt idx="3">
                  <c:v>9.2385319570198771E-2</c:v>
                </c:pt>
              </c:numCache>
            </c:numRef>
          </c:val>
          <c:extLst>
            <c:ext xmlns:c16="http://schemas.microsoft.com/office/drawing/2014/chart" uri="{C3380CC4-5D6E-409C-BE32-E72D297353CC}">
              <c16:uniqueId val="{00000008-332C-4F3D-AC02-38FF4A82890B}"/>
            </c:ext>
          </c:extLst>
        </c:ser>
        <c:dLbls>
          <c:dLblPos val="outEnd"/>
          <c:showLegendKey val="0"/>
          <c:showVal val="1"/>
          <c:showCatName val="0"/>
          <c:showSerName val="0"/>
          <c:showPercent val="0"/>
          <c:showBubbleSize val="0"/>
        </c:dLbls>
        <c:gapWidth val="219"/>
        <c:overlap val="-27"/>
        <c:axId val="1835170496"/>
        <c:axId val="1835160416"/>
      </c:barChart>
      <c:dateAx>
        <c:axId val="1835170496"/>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60416"/>
        <c:crosses val="autoZero"/>
        <c:auto val="1"/>
        <c:lblOffset val="100"/>
        <c:baseTimeUnit val="years"/>
      </c:dateAx>
      <c:valAx>
        <c:axId val="1835160416"/>
        <c:scaling>
          <c:orientation val="minMax"/>
        </c:scaling>
        <c:delete val="1"/>
        <c:axPos val="l"/>
        <c:numFmt formatCode="0.00%" sourceLinked="1"/>
        <c:majorTickMark val="none"/>
        <c:minorTickMark val="none"/>
        <c:tickLblPos val="nextTo"/>
        <c:crossAx val="183517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3220"/>
            </a:solidFill>
            <a:ln>
              <a:noFill/>
            </a:ln>
            <a:effectLst/>
          </c:spPr>
          <c:invertIfNegative val="0"/>
          <c:dPt>
            <c:idx val="0"/>
            <c:invertIfNegative val="0"/>
            <c:bubble3D val="0"/>
            <c:spPr>
              <a:solidFill>
                <a:srgbClr val="BCDDB9">
                  <a:alpha val="75000"/>
                </a:srgbClr>
              </a:solidFill>
              <a:ln>
                <a:noFill/>
              </a:ln>
              <a:effectLst/>
            </c:spPr>
            <c:extLst>
              <c:ext xmlns:c16="http://schemas.microsoft.com/office/drawing/2014/chart" uri="{C3380CC4-5D6E-409C-BE32-E72D297353CC}">
                <c16:uniqueId val="{00000001-D4C0-42C3-BCBF-57CCB5EA70A7}"/>
              </c:ext>
            </c:extLst>
          </c:dPt>
          <c:dPt>
            <c:idx val="1"/>
            <c:invertIfNegative val="0"/>
            <c:bubble3D val="0"/>
            <c:spPr>
              <a:solidFill>
                <a:srgbClr val="7BC4AC">
                  <a:alpha val="70000"/>
                </a:srgbClr>
              </a:solidFill>
              <a:ln>
                <a:noFill/>
              </a:ln>
              <a:effectLst/>
            </c:spPr>
            <c:extLst>
              <c:ext xmlns:c16="http://schemas.microsoft.com/office/drawing/2014/chart" uri="{C3380CC4-5D6E-409C-BE32-E72D297353CC}">
                <c16:uniqueId val="{00000003-D4C0-42C3-BCBF-57CCB5EA70A7}"/>
              </c:ext>
            </c:extLst>
          </c:dPt>
          <c:dPt>
            <c:idx val="2"/>
            <c:invertIfNegative val="0"/>
            <c:bubble3D val="0"/>
            <c:spPr>
              <a:solidFill>
                <a:srgbClr val="399C73">
                  <a:alpha val="88000"/>
                </a:srgbClr>
              </a:solidFill>
              <a:ln>
                <a:noFill/>
              </a:ln>
              <a:effectLst/>
            </c:spPr>
            <c:extLst>
              <c:ext xmlns:c16="http://schemas.microsoft.com/office/drawing/2014/chart" uri="{C3380CC4-5D6E-409C-BE32-E72D297353CC}">
                <c16:uniqueId val="{00000005-D4C0-42C3-BCBF-57CCB5EA70A7}"/>
              </c:ext>
            </c:extLst>
          </c:dPt>
          <c:dPt>
            <c:idx val="3"/>
            <c:invertIfNegative val="0"/>
            <c:bubble3D val="0"/>
            <c:spPr>
              <a:solidFill>
                <a:srgbClr val="058354"/>
              </a:solidFill>
              <a:ln>
                <a:noFill/>
              </a:ln>
              <a:effectLst/>
            </c:spPr>
            <c:extLst>
              <c:ext xmlns:c16="http://schemas.microsoft.com/office/drawing/2014/chart" uri="{C3380CC4-5D6E-409C-BE32-E72D297353CC}">
                <c16:uniqueId val="{00000007-D4C0-42C3-BCBF-57CCB5EA70A7}"/>
              </c:ext>
            </c:extLst>
          </c:dPt>
          <c:dLbls>
            <c:numFmt formatCode="0.00\x"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Analysis'!$G$65:$J$65</c:f>
              <c:numCache>
                <c:formatCode>mmm\-yy</c:formatCode>
                <c:ptCount val="4"/>
                <c:pt idx="0">
                  <c:v>44286</c:v>
                </c:pt>
                <c:pt idx="1">
                  <c:v>44651</c:v>
                </c:pt>
                <c:pt idx="2">
                  <c:v>45016</c:v>
                </c:pt>
                <c:pt idx="3">
                  <c:v>45382</c:v>
                </c:pt>
              </c:numCache>
            </c:numRef>
          </c:cat>
          <c:val>
            <c:numRef>
              <c:f>'Dupont Analysis'!$G$76:$J$76</c:f>
              <c:numCache>
                <c:formatCode>0.00\x</c:formatCode>
                <c:ptCount val="4"/>
                <c:pt idx="0">
                  <c:v>1.4135121043248156</c:v>
                </c:pt>
                <c:pt idx="1">
                  <c:v>1.4407806128204537</c:v>
                </c:pt>
                <c:pt idx="2">
                  <c:v>1.4944855991739345</c:v>
                </c:pt>
                <c:pt idx="3">
                  <c:v>1.527033540061445</c:v>
                </c:pt>
              </c:numCache>
            </c:numRef>
          </c:val>
          <c:extLst>
            <c:ext xmlns:c16="http://schemas.microsoft.com/office/drawing/2014/chart" uri="{C3380CC4-5D6E-409C-BE32-E72D297353CC}">
              <c16:uniqueId val="{00000008-D4C0-42C3-BCBF-57CCB5EA70A7}"/>
            </c:ext>
          </c:extLst>
        </c:ser>
        <c:dLbls>
          <c:dLblPos val="outEnd"/>
          <c:showLegendKey val="0"/>
          <c:showVal val="1"/>
          <c:showCatName val="0"/>
          <c:showSerName val="0"/>
          <c:showPercent val="0"/>
          <c:showBubbleSize val="0"/>
        </c:dLbls>
        <c:gapWidth val="219"/>
        <c:overlap val="-27"/>
        <c:axId val="1835170496"/>
        <c:axId val="1835160416"/>
      </c:barChart>
      <c:dateAx>
        <c:axId val="1835170496"/>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60416"/>
        <c:crosses val="autoZero"/>
        <c:auto val="1"/>
        <c:lblOffset val="100"/>
        <c:baseTimeUnit val="years"/>
      </c:dateAx>
      <c:valAx>
        <c:axId val="1835160416"/>
        <c:scaling>
          <c:orientation val="minMax"/>
        </c:scaling>
        <c:delete val="1"/>
        <c:axPos val="l"/>
        <c:numFmt formatCode="0.00\x" sourceLinked="1"/>
        <c:majorTickMark val="none"/>
        <c:minorTickMark val="none"/>
        <c:tickLblPos val="nextTo"/>
        <c:crossAx val="183517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3220"/>
            </a:solidFill>
            <a:ln>
              <a:noFill/>
            </a:ln>
            <a:effectLst/>
          </c:spPr>
          <c:invertIfNegative val="0"/>
          <c:dPt>
            <c:idx val="0"/>
            <c:invertIfNegative val="0"/>
            <c:bubble3D val="0"/>
            <c:spPr>
              <a:solidFill>
                <a:srgbClr val="BCDDB9">
                  <a:alpha val="75000"/>
                </a:srgbClr>
              </a:solidFill>
              <a:ln>
                <a:noFill/>
              </a:ln>
              <a:effectLst/>
            </c:spPr>
            <c:extLst>
              <c:ext xmlns:c16="http://schemas.microsoft.com/office/drawing/2014/chart" uri="{C3380CC4-5D6E-409C-BE32-E72D297353CC}">
                <c16:uniqueId val="{00000001-03C5-4B96-A7C4-AF5B2DCEDC81}"/>
              </c:ext>
            </c:extLst>
          </c:dPt>
          <c:dPt>
            <c:idx val="1"/>
            <c:invertIfNegative val="0"/>
            <c:bubble3D val="0"/>
            <c:spPr>
              <a:solidFill>
                <a:srgbClr val="7BC4AC">
                  <a:alpha val="70000"/>
                </a:srgbClr>
              </a:solidFill>
              <a:ln>
                <a:noFill/>
              </a:ln>
              <a:effectLst/>
            </c:spPr>
            <c:extLst>
              <c:ext xmlns:c16="http://schemas.microsoft.com/office/drawing/2014/chart" uri="{C3380CC4-5D6E-409C-BE32-E72D297353CC}">
                <c16:uniqueId val="{00000003-03C5-4B96-A7C4-AF5B2DCEDC81}"/>
              </c:ext>
            </c:extLst>
          </c:dPt>
          <c:dPt>
            <c:idx val="2"/>
            <c:invertIfNegative val="0"/>
            <c:bubble3D val="0"/>
            <c:spPr>
              <a:solidFill>
                <a:srgbClr val="399C73">
                  <a:alpha val="88000"/>
                </a:srgbClr>
              </a:solidFill>
              <a:ln>
                <a:noFill/>
              </a:ln>
              <a:effectLst/>
            </c:spPr>
            <c:extLst>
              <c:ext xmlns:c16="http://schemas.microsoft.com/office/drawing/2014/chart" uri="{C3380CC4-5D6E-409C-BE32-E72D297353CC}">
                <c16:uniqueId val="{00000005-03C5-4B96-A7C4-AF5B2DCEDC81}"/>
              </c:ext>
            </c:extLst>
          </c:dPt>
          <c:dPt>
            <c:idx val="3"/>
            <c:invertIfNegative val="0"/>
            <c:bubble3D val="0"/>
            <c:spPr>
              <a:solidFill>
                <a:srgbClr val="058354"/>
              </a:solidFill>
              <a:ln>
                <a:noFill/>
              </a:ln>
              <a:effectLst/>
            </c:spPr>
            <c:extLst>
              <c:ext xmlns:c16="http://schemas.microsoft.com/office/drawing/2014/chart" uri="{C3380CC4-5D6E-409C-BE32-E72D297353CC}">
                <c16:uniqueId val="{00000007-03C5-4B96-A7C4-AF5B2DCEDC8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Z-Score'!$H$37:$K$37</c:f>
              <c:numCache>
                <c:formatCode>mmm\-yy</c:formatCode>
                <c:ptCount val="4"/>
                <c:pt idx="0">
                  <c:v>44286</c:v>
                </c:pt>
                <c:pt idx="1">
                  <c:v>44651</c:v>
                </c:pt>
                <c:pt idx="2">
                  <c:v>45016</c:v>
                </c:pt>
                <c:pt idx="3">
                  <c:v>45382</c:v>
                </c:pt>
              </c:numCache>
            </c:numRef>
          </c:cat>
          <c:val>
            <c:numRef>
              <c:f>'Altman''s Z-Score'!$H$40:$K$40</c:f>
              <c:numCache>
                <c:formatCode>0.00%</c:formatCode>
                <c:ptCount val="4"/>
                <c:pt idx="0">
                  <c:v>0.14979295168010986</c:v>
                </c:pt>
                <c:pt idx="1">
                  <c:v>5.8318802070358999E-2</c:v>
                </c:pt>
                <c:pt idx="2">
                  <c:v>9.3764558007893017E-3</c:v>
                </c:pt>
                <c:pt idx="3">
                  <c:v>1.6635618627764873E-2</c:v>
                </c:pt>
              </c:numCache>
            </c:numRef>
          </c:val>
          <c:extLst>
            <c:ext xmlns:c16="http://schemas.microsoft.com/office/drawing/2014/chart" uri="{C3380CC4-5D6E-409C-BE32-E72D297353CC}">
              <c16:uniqueId val="{00000008-03C5-4B96-A7C4-AF5B2DCEDC81}"/>
            </c:ext>
          </c:extLst>
        </c:ser>
        <c:dLbls>
          <c:dLblPos val="outEnd"/>
          <c:showLegendKey val="0"/>
          <c:showVal val="1"/>
          <c:showCatName val="0"/>
          <c:showSerName val="0"/>
          <c:showPercent val="0"/>
          <c:showBubbleSize val="0"/>
        </c:dLbls>
        <c:gapWidth val="219"/>
        <c:overlap val="-18"/>
        <c:axId val="1835170496"/>
        <c:axId val="1835160416"/>
      </c:barChart>
      <c:dateAx>
        <c:axId val="1835170496"/>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60416"/>
        <c:crosses val="autoZero"/>
        <c:auto val="1"/>
        <c:lblOffset val="100"/>
        <c:baseTimeUnit val="years"/>
      </c:dateAx>
      <c:valAx>
        <c:axId val="1835160416"/>
        <c:scaling>
          <c:orientation val="minMax"/>
        </c:scaling>
        <c:delete val="1"/>
        <c:axPos val="l"/>
        <c:numFmt formatCode="0.00%" sourceLinked="1"/>
        <c:majorTickMark val="none"/>
        <c:minorTickMark val="none"/>
        <c:tickLblPos val="nextTo"/>
        <c:crossAx val="1835170496"/>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3220"/>
            </a:solidFill>
            <a:ln>
              <a:noFill/>
            </a:ln>
            <a:effectLst/>
          </c:spPr>
          <c:invertIfNegative val="0"/>
          <c:dPt>
            <c:idx val="0"/>
            <c:invertIfNegative val="0"/>
            <c:bubble3D val="0"/>
            <c:spPr>
              <a:solidFill>
                <a:srgbClr val="BCDDB9">
                  <a:alpha val="75000"/>
                </a:srgbClr>
              </a:solidFill>
              <a:ln>
                <a:noFill/>
              </a:ln>
              <a:effectLst/>
            </c:spPr>
            <c:extLst>
              <c:ext xmlns:c16="http://schemas.microsoft.com/office/drawing/2014/chart" uri="{C3380CC4-5D6E-409C-BE32-E72D297353CC}">
                <c16:uniqueId val="{00000001-FDE2-4525-8CDF-B0092F7870FA}"/>
              </c:ext>
            </c:extLst>
          </c:dPt>
          <c:dPt>
            <c:idx val="1"/>
            <c:invertIfNegative val="0"/>
            <c:bubble3D val="0"/>
            <c:spPr>
              <a:solidFill>
                <a:srgbClr val="7BC4AC">
                  <a:alpha val="70000"/>
                </a:srgbClr>
              </a:solidFill>
              <a:ln>
                <a:noFill/>
              </a:ln>
              <a:effectLst/>
            </c:spPr>
            <c:extLst>
              <c:ext xmlns:c16="http://schemas.microsoft.com/office/drawing/2014/chart" uri="{C3380CC4-5D6E-409C-BE32-E72D297353CC}">
                <c16:uniqueId val="{00000003-FDE2-4525-8CDF-B0092F7870FA}"/>
              </c:ext>
            </c:extLst>
          </c:dPt>
          <c:dPt>
            <c:idx val="2"/>
            <c:invertIfNegative val="0"/>
            <c:bubble3D val="0"/>
            <c:spPr>
              <a:solidFill>
                <a:srgbClr val="399C73">
                  <a:alpha val="88000"/>
                </a:srgbClr>
              </a:solidFill>
              <a:ln>
                <a:noFill/>
              </a:ln>
              <a:effectLst/>
            </c:spPr>
            <c:extLst>
              <c:ext xmlns:c16="http://schemas.microsoft.com/office/drawing/2014/chart" uri="{C3380CC4-5D6E-409C-BE32-E72D297353CC}">
                <c16:uniqueId val="{00000005-FDE2-4525-8CDF-B0092F7870FA}"/>
              </c:ext>
            </c:extLst>
          </c:dPt>
          <c:dPt>
            <c:idx val="3"/>
            <c:invertIfNegative val="0"/>
            <c:bubble3D val="0"/>
            <c:spPr>
              <a:solidFill>
                <a:srgbClr val="058354"/>
              </a:solidFill>
              <a:ln>
                <a:noFill/>
              </a:ln>
              <a:effectLst/>
            </c:spPr>
            <c:extLst>
              <c:ext xmlns:c16="http://schemas.microsoft.com/office/drawing/2014/chart" uri="{C3380CC4-5D6E-409C-BE32-E72D297353CC}">
                <c16:uniqueId val="{00000007-FDE2-4525-8CDF-B0092F7870F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Z-Score'!$H$43:$K$43</c:f>
              <c:numCache>
                <c:formatCode>mmm\-yy</c:formatCode>
                <c:ptCount val="4"/>
                <c:pt idx="0">
                  <c:v>44286</c:v>
                </c:pt>
                <c:pt idx="1">
                  <c:v>44651</c:v>
                </c:pt>
                <c:pt idx="2">
                  <c:v>45016</c:v>
                </c:pt>
                <c:pt idx="3">
                  <c:v>45382</c:v>
                </c:pt>
              </c:numCache>
            </c:numRef>
          </c:cat>
          <c:val>
            <c:numRef>
              <c:f>'Altman''s Z-Score'!$H$46:$K$46</c:f>
              <c:numCache>
                <c:formatCode>0.00%</c:formatCode>
                <c:ptCount val="4"/>
                <c:pt idx="0">
                  <c:v>4.8936511951201786E-2</c:v>
                </c:pt>
                <c:pt idx="1">
                  <c:v>4.1911093092887819E-2</c:v>
                </c:pt>
                <c:pt idx="2">
                  <c:v>2.4508726747473619E-2</c:v>
                </c:pt>
                <c:pt idx="3">
                  <c:v>2.3438182207886113E-2</c:v>
                </c:pt>
              </c:numCache>
            </c:numRef>
          </c:val>
          <c:extLst>
            <c:ext xmlns:c16="http://schemas.microsoft.com/office/drawing/2014/chart" uri="{C3380CC4-5D6E-409C-BE32-E72D297353CC}">
              <c16:uniqueId val="{00000008-FDE2-4525-8CDF-B0092F7870FA}"/>
            </c:ext>
          </c:extLst>
        </c:ser>
        <c:dLbls>
          <c:dLblPos val="outEnd"/>
          <c:showLegendKey val="0"/>
          <c:showVal val="1"/>
          <c:showCatName val="0"/>
          <c:showSerName val="0"/>
          <c:showPercent val="0"/>
          <c:showBubbleSize val="0"/>
        </c:dLbls>
        <c:gapWidth val="219"/>
        <c:overlap val="-27"/>
        <c:axId val="1835170496"/>
        <c:axId val="1835160416"/>
      </c:barChart>
      <c:dateAx>
        <c:axId val="1835170496"/>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60416"/>
        <c:crosses val="autoZero"/>
        <c:auto val="1"/>
        <c:lblOffset val="100"/>
        <c:baseTimeUnit val="years"/>
      </c:dateAx>
      <c:valAx>
        <c:axId val="1835160416"/>
        <c:scaling>
          <c:orientation val="minMax"/>
        </c:scaling>
        <c:delete val="1"/>
        <c:axPos val="l"/>
        <c:numFmt formatCode="0.00%" sourceLinked="1"/>
        <c:majorTickMark val="none"/>
        <c:minorTickMark val="none"/>
        <c:tickLblPos val="nextTo"/>
        <c:crossAx val="183517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3220"/>
            </a:solidFill>
            <a:ln>
              <a:noFill/>
            </a:ln>
            <a:effectLst/>
          </c:spPr>
          <c:invertIfNegative val="0"/>
          <c:dPt>
            <c:idx val="0"/>
            <c:invertIfNegative val="0"/>
            <c:bubble3D val="0"/>
            <c:spPr>
              <a:solidFill>
                <a:srgbClr val="BCDDB9">
                  <a:alpha val="75000"/>
                </a:srgbClr>
              </a:solidFill>
              <a:ln>
                <a:noFill/>
              </a:ln>
              <a:effectLst/>
            </c:spPr>
            <c:extLst>
              <c:ext xmlns:c16="http://schemas.microsoft.com/office/drawing/2014/chart" uri="{C3380CC4-5D6E-409C-BE32-E72D297353CC}">
                <c16:uniqueId val="{00000001-9C31-4A68-A001-F66B4EDD5805}"/>
              </c:ext>
            </c:extLst>
          </c:dPt>
          <c:dPt>
            <c:idx val="1"/>
            <c:invertIfNegative val="0"/>
            <c:bubble3D val="0"/>
            <c:spPr>
              <a:solidFill>
                <a:srgbClr val="7BC4AC">
                  <a:alpha val="70000"/>
                </a:srgbClr>
              </a:solidFill>
              <a:ln>
                <a:noFill/>
              </a:ln>
              <a:effectLst/>
            </c:spPr>
            <c:extLst>
              <c:ext xmlns:c16="http://schemas.microsoft.com/office/drawing/2014/chart" uri="{C3380CC4-5D6E-409C-BE32-E72D297353CC}">
                <c16:uniqueId val="{00000003-9C31-4A68-A001-F66B4EDD5805}"/>
              </c:ext>
            </c:extLst>
          </c:dPt>
          <c:dPt>
            <c:idx val="2"/>
            <c:invertIfNegative val="0"/>
            <c:bubble3D val="0"/>
            <c:spPr>
              <a:solidFill>
                <a:srgbClr val="399C73">
                  <a:alpha val="88000"/>
                </a:srgbClr>
              </a:solidFill>
              <a:ln>
                <a:noFill/>
              </a:ln>
              <a:effectLst/>
            </c:spPr>
            <c:extLst>
              <c:ext xmlns:c16="http://schemas.microsoft.com/office/drawing/2014/chart" uri="{C3380CC4-5D6E-409C-BE32-E72D297353CC}">
                <c16:uniqueId val="{00000005-9C31-4A68-A001-F66B4EDD5805}"/>
              </c:ext>
            </c:extLst>
          </c:dPt>
          <c:dPt>
            <c:idx val="3"/>
            <c:invertIfNegative val="0"/>
            <c:bubble3D val="0"/>
            <c:spPr>
              <a:solidFill>
                <a:srgbClr val="058354"/>
              </a:solidFill>
              <a:ln>
                <a:noFill/>
              </a:ln>
              <a:effectLst/>
            </c:spPr>
            <c:extLst>
              <c:ext xmlns:c16="http://schemas.microsoft.com/office/drawing/2014/chart" uri="{C3380CC4-5D6E-409C-BE32-E72D297353CC}">
                <c16:uniqueId val="{00000007-9C31-4A68-A001-F66B4EDD580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Z-Score'!$H$49:$K$49</c:f>
              <c:numCache>
                <c:formatCode>mmm\-yy</c:formatCode>
                <c:ptCount val="4"/>
                <c:pt idx="0">
                  <c:v>44286</c:v>
                </c:pt>
                <c:pt idx="1">
                  <c:v>44651</c:v>
                </c:pt>
                <c:pt idx="2">
                  <c:v>45016</c:v>
                </c:pt>
                <c:pt idx="3">
                  <c:v>45382</c:v>
                </c:pt>
              </c:numCache>
            </c:numRef>
          </c:cat>
          <c:val>
            <c:numRef>
              <c:f>'Altman''s Z-Score'!$H$52:$K$52</c:f>
              <c:numCache>
                <c:formatCode>0.00%</c:formatCode>
                <c:ptCount val="4"/>
                <c:pt idx="0">
                  <c:v>0.16260539341026936</c:v>
                </c:pt>
                <c:pt idx="1">
                  <c:v>0.16274363270177294</c:v>
                </c:pt>
                <c:pt idx="2">
                  <c:v>0.13562057033696931</c:v>
                </c:pt>
                <c:pt idx="3">
                  <c:v>0.13234072223736409</c:v>
                </c:pt>
              </c:numCache>
            </c:numRef>
          </c:val>
          <c:extLst>
            <c:ext xmlns:c16="http://schemas.microsoft.com/office/drawing/2014/chart" uri="{C3380CC4-5D6E-409C-BE32-E72D297353CC}">
              <c16:uniqueId val="{00000008-9C31-4A68-A001-F66B4EDD5805}"/>
            </c:ext>
          </c:extLst>
        </c:ser>
        <c:dLbls>
          <c:dLblPos val="outEnd"/>
          <c:showLegendKey val="0"/>
          <c:showVal val="1"/>
          <c:showCatName val="0"/>
          <c:showSerName val="0"/>
          <c:showPercent val="0"/>
          <c:showBubbleSize val="0"/>
        </c:dLbls>
        <c:gapWidth val="219"/>
        <c:overlap val="-27"/>
        <c:axId val="1835170496"/>
        <c:axId val="1835160416"/>
      </c:barChart>
      <c:dateAx>
        <c:axId val="1835170496"/>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60416"/>
        <c:crosses val="autoZero"/>
        <c:auto val="1"/>
        <c:lblOffset val="100"/>
        <c:baseTimeUnit val="years"/>
      </c:dateAx>
      <c:valAx>
        <c:axId val="1835160416"/>
        <c:scaling>
          <c:orientation val="minMax"/>
        </c:scaling>
        <c:delete val="1"/>
        <c:axPos val="l"/>
        <c:numFmt formatCode="0.00%" sourceLinked="1"/>
        <c:majorTickMark val="none"/>
        <c:minorTickMark val="none"/>
        <c:tickLblPos val="nextTo"/>
        <c:crossAx val="183517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3220"/>
            </a:solidFill>
            <a:ln>
              <a:noFill/>
            </a:ln>
            <a:effectLst/>
          </c:spPr>
          <c:invertIfNegative val="0"/>
          <c:dPt>
            <c:idx val="0"/>
            <c:invertIfNegative val="0"/>
            <c:bubble3D val="0"/>
            <c:spPr>
              <a:solidFill>
                <a:srgbClr val="BCDDB9">
                  <a:alpha val="75000"/>
                </a:srgbClr>
              </a:solidFill>
              <a:ln>
                <a:noFill/>
              </a:ln>
              <a:effectLst/>
            </c:spPr>
            <c:extLst>
              <c:ext xmlns:c16="http://schemas.microsoft.com/office/drawing/2014/chart" uri="{C3380CC4-5D6E-409C-BE32-E72D297353CC}">
                <c16:uniqueId val="{00000001-977F-4EFE-A423-B54E360756A2}"/>
              </c:ext>
            </c:extLst>
          </c:dPt>
          <c:dPt>
            <c:idx val="1"/>
            <c:invertIfNegative val="0"/>
            <c:bubble3D val="0"/>
            <c:spPr>
              <a:solidFill>
                <a:srgbClr val="7BC4AC">
                  <a:alpha val="70000"/>
                </a:srgbClr>
              </a:solidFill>
              <a:ln>
                <a:noFill/>
              </a:ln>
              <a:effectLst/>
            </c:spPr>
            <c:extLst>
              <c:ext xmlns:c16="http://schemas.microsoft.com/office/drawing/2014/chart" uri="{C3380CC4-5D6E-409C-BE32-E72D297353CC}">
                <c16:uniqueId val="{00000003-977F-4EFE-A423-B54E360756A2}"/>
              </c:ext>
            </c:extLst>
          </c:dPt>
          <c:dPt>
            <c:idx val="2"/>
            <c:invertIfNegative val="0"/>
            <c:bubble3D val="0"/>
            <c:spPr>
              <a:solidFill>
                <a:srgbClr val="399C73">
                  <a:alpha val="88000"/>
                </a:srgbClr>
              </a:solidFill>
              <a:ln>
                <a:noFill/>
              </a:ln>
              <a:effectLst/>
            </c:spPr>
            <c:extLst>
              <c:ext xmlns:c16="http://schemas.microsoft.com/office/drawing/2014/chart" uri="{C3380CC4-5D6E-409C-BE32-E72D297353CC}">
                <c16:uniqueId val="{00000005-977F-4EFE-A423-B54E360756A2}"/>
              </c:ext>
            </c:extLst>
          </c:dPt>
          <c:dPt>
            <c:idx val="3"/>
            <c:invertIfNegative val="0"/>
            <c:bubble3D val="0"/>
            <c:spPr>
              <a:solidFill>
                <a:srgbClr val="058354"/>
              </a:solidFill>
              <a:ln>
                <a:noFill/>
              </a:ln>
              <a:effectLst/>
            </c:spPr>
            <c:extLst>
              <c:ext xmlns:c16="http://schemas.microsoft.com/office/drawing/2014/chart" uri="{C3380CC4-5D6E-409C-BE32-E72D297353CC}">
                <c16:uniqueId val="{00000007-977F-4EFE-A423-B54E360756A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Z-Score'!$H$55:$K$55</c:f>
              <c:numCache>
                <c:formatCode>mmm\-yy</c:formatCode>
                <c:ptCount val="4"/>
                <c:pt idx="0">
                  <c:v>44286</c:v>
                </c:pt>
                <c:pt idx="1">
                  <c:v>44651</c:v>
                </c:pt>
                <c:pt idx="2">
                  <c:v>45016</c:v>
                </c:pt>
                <c:pt idx="3">
                  <c:v>45382</c:v>
                </c:pt>
              </c:numCache>
            </c:numRef>
          </c:cat>
          <c:val>
            <c:numRef>
              <c:f>'Altman''s Z-Score'!$H$58:$K$58</c:f>
              <c:numCache>
                <c:formatCode>0.00%</c:formatCode>
                <c:ptCount val="4"/>
                <c:pt idx="0">
                  <c:v>35.904267034499348</c:v>
                </c:pt>
                <c:pt idx="1">
                  <c:v>33.001259547565503</c:v>
                </c:pt>
                <c:pt idx="2">
                  <c:v>27.543237390984327</c:v>
                </c:pt>
                <c:pt idx="3">
                  <c:v>23.861749254176996</c:v>
                </c:pt>
              </c:numCache>
            </c:numRef>
          </c:val>
          <c:extLst>
            <c:ext xmlns:c16="http://schemas.microsoft.com/office/drawing/2014/chart" uri="{C3380CC4-5D6E-409C-BE32-E72D297353CC}">
              <c16:uniqueId val="{00000008-977F-4EFE-A423-B54E360756A2}"/>
            </c:ext>
          </c:extLst>
        </c:ser>
        <c:dLbls>
          <c:dLblPos val="outEnd"/>
          <c:showLegendKey val="0"/>
          <c:showVal val="1"/>
          <c:showCatName val="0"/>
          <c:showSerName val="0"/>
          <c:showPercent val="0"/>
          <c:showBubbleSize val="0"/>
        </c:dLbls>
        <c:gapWidth val="219"/>
        <c:overlap val="-27"/>
        <c:axId val="1835170496"/>
        <c:axId val="1835160416"/>
      </c:barChart>
      <c:dateAx>
        <c:axId val="1835170496"/>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60416"/>
        <c:crosses val="autoZero"/>
        <c:auto val="1"/>
        <c:lblOffset val="100"/>
        <c:baseTimeUnit val="years"/>
      </c:dateAx>
      <c:valAx>
        <c:axId val="1835160416"/>
        <c:scaling>
          <c:orientation val="minMax"/>
        </c:scaling>
        <c:delete val="1"/>
        <c:axPos val="l"/>
        <c:numFmt formatCode="0.00%" sourceLinked="1"/>
        <c:majorTickMark val="none"/>
        <c:minorTickMark val="none"/>
        <c:tickLblPos val="nextTo"/>
        <c:crossAx val="183517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3220"/>
            </a:solidFill>
            <a:ln>
              <a:noFill/>
            </a:ln>
            <a:effectLst/>
          </c:spPr>
          <c:invertIfNegative val="0"/>
          <c:dPt>
            <c:idx val="0"/>
            <c:invertIfNegative val="0"/>
            <c:bubble3D val="0"/>
            <c:spPr>
              <a:solidFill>
                <a:srgbClr val="BCDDB9">
                  <a:alpha val="75000"/>
                </a:srgbClr>
              </a:solidFill>
              <a:ln>
                <a:noFill/>
              </a:ln>
              <a:effectLst/>
            </c:spPr>
            <c:extLst>
              <c:ext xmlns:c16="http://schemas.microsoft.com/office/drawing/2014/chart" uri="{C3380CC4-5D6E-409C-BE32-E72D297353CC}">
                <c16:uniqueId val="{00000001-AEB1-4764-8F24-450FD204A5FA}"/>
              </c:ext>
            </c:extLst>
          </c:dPt>
          <c:dPt>
            <c:idx val="1"/>
            <c:invertIfNegative val="0"/>
            <c:bubble3D val="0"/>
            <c:spPr>
              <a:solidFill>
                <a:srgbClr val="7BC4AC">
                  <a:alpha val="70000"/>
                </a:srgbClr>
              </a:solidFill>
              <a:ln>
                <a:noFill/>
              </a:ln>
              <a:effectLst/>
            </c:spPr>
            <c:extLst>
              <c:ext xmlns:c16="http://schemas.microsoft.com/office/drawing/2014/chart" uri="{C3380CC4-5D6E-409C-BE32-E72D297353CC}">
                <c16:uniqueId val="{00000003-AEB1-4764-8F24-450FD204A5FA}"/>
              </c:ext>
            </c:extLst>
          </c:dPt>
          <c:dPt>
            <c:idx val="2"/>
            <c:invertIfNegative val="0"/>
            <c:bubble3D val="0"/>
            <c:spPr>
              <a:solidFill>
                <a:srgbClr val="399C73">
                  <a:alpha val="88000"/>
                </a:srgbClr>
              </a:solidFill>
              <a:ln>
                <a:noFill/>
              </a:ln>
              <a:effectLst/>
            </c:spPr>
            <c:extLst>
              <c:ext xmlns:c16="http://schemas.microsoft.com/office/drawing/2014/chart" uri="{C3380CC4-5D6E-409C-BE32-E72D297353CC}">
                <c16:uniqueId val="{00000005-AEB1-4764-8F24-450FD204A5FA}"/>
              </c:ext>
            </c:extLst>
          </c:dPt>
          <c:dPt>
            <c:idx val="3"/>
            <c:invertIfNegative val="0"/>
            <c:bubble3D val="0"/>
            <c:spPr>
              <a:solidFill>
                <a:srgbClr val="058354"/>
              </a:solidFill>
              <a:ln>
                <a:noFill/>
              </a:ln>
              <a:effectLst/>
            </c:spPr>
            <c:extLst>
              <c:ext xmlns:c16="http://schemas.microsoft.com/office/drawing/2014/chart" uri="{C3380CC4-5D6E-409C-BE32-E72D297353CC}">
                <c16:uniqueId val="{00000007-AEB1-4764-8F24-450FD204A5F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Z-Score'!$H$61:$K$61</c:f>
              <c:numCache>
                <c:formatCode>mmm\-yy</c:formatCode>
                <c:ptCount val="4"/>
                <c:pt idx="0">
                  <c:v>44286</c:v>
                </c:pt>
                <c:pt idx="1">
                  <c:v>44651</c:v>
                </c:pt>
                <c:pt idx="2">
                  <c:v>45016</c:v>
                </c:pt>
                <c:pt idx="3">
                  <c:v>45382</c:v>
                </c:pt>
              </c:numCache>
            </c:numRef>
          </c:cat>
          <c:val>
            <c:numRef>
              <c:f>'Altman''s Z-Score'!$H$64:$K$64</c:f>
              <c:numCache>
                <c:formatCode>0.00%</c:formatCode>
                <c:ptCount val="4"/>
                <c:pt idx="0">
                  <c:v>0.882623079749142</c:v>
                </c:pt>
                <c:pt idx="1">
                  <c:v>0.88642169480928634</c:v>
                </c:pt>
                <c:pt idx="2">
                  <c:v>0.84453952013876066</c:v>
                </c:pt>
                <c:pt idx="3">
                  <c:v>0.82056857603285449</c:v>
                </c:pt>
              </c:numCache>
            </c:numRef>
          </c:val>
          <c:extLst>
            <c:ext xmlns:c16="http://schemas.microsoft.com/office/drawing/2014/chart" uri="{C3380CC4-5D6E-409C-BE32-E72D297353CC}">
              <c16:uniqueId val="{00000008-AEB1-4764-8F24-450FD204A5FA}"/>
            </c:ext>
          </c:extLst>
        </c:ser>
        <c:dLbls>
          <c:dLblPos val="outEnd"/>
          <c:showLegendKey val="0"/>
          <c:showVal val="1"/>
          <c:showCatName val="0"/>
          <c:showSerName val="0"/>
          <c:showPercent val="0"/>
          <c:showBubbleSize val="0"/>
        </c:dLbls>
        <c:gapWidth val="219"/>
        <c:overlap val="-27"/>
        <c:axId val="1835170496"/>
        <c:axId val="1835160416"/>
      </c:barChart>
      <c:dateAx>
        <c:axId val="1835170496"/>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160416"/>
        <c:crosses val="autoZero"/>
        <c:auto val="1"/>
        <c:lblOffset val="100"/>
        <c:baseTimeUnit val="years"/>
      </c:dateAx>
      <c:valAx>
        <c:axId val="1835160416"/>
        <c:scaling>
          <c:orientation val="minMax"/>
        </c:scaling>
        <c:delete val="1"/>
        <c:axPos val="l"/>
        <c:numFmt formatCode="0.00%" sourceLinked="1"/>
        <c:majorTickMark val="none"/>
        <c:minorTickMark val="none"/>
        <c:tickLblPos val="nextTo"/>
        <c:crossAx val="183517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7BC4AC"/>
              </a:solidFill>
              <a:round/>
            </a:ln>
            <a:effectLst/>
          </c:spPr>
          <c:marker>
            <c:symbol val="none"/>
          </c:marker>
          <c:cat>
            <c:strRef>
              <c:f>Rough!$B$6:$B$267</c:f>
              <c:strCache>
                <c:ptCount val="262"/>
                <c:pt idx="0">
                  <c:v>Sep 30, 2024</c:v>
                </c:pt>
                <c:pt idx="1">
                  <c:v>Sep 23, 2024</c:v>
                </c:pt>
                <c:pt idx="2">
                  <c:v>Sep 16, 2024</c:v>
                </c:pt>
                <c:pt idx="3">
                  <c:v>Sep 9, 2024</c:v>
                </c:pt>
                <c:pt idx="4">
                  <c:v>Sep 2, 2024</c:v>
                </c:pt>
                <c:pt idx="5">
                  <c:v>Aug 26, 2024</c:v>
                </c:pt>
                <c:pt idx="6">
                  <c:v>Aug 19, 2024</c:v>
                </c:pt>
                <c:pt idx="7">
                  <c:v>Aug 12, 2024</c:v>
                </c:pt>
                <c:pt idx="8">
                  <c:v>Aug 5, 2024</c:v>
                </c:pt>
                <c:pt idx="9">
                  <c:v>Jul 29, 2024</c:v>
                </c:pt>
                <c:pt idx="10">
                  <c:v>Jul 22, 2024</c:v>
                </c:pt>
                <c:pt idx="11">
                  <c:v>Jul 15, 2024</c:v>
                </c:pt>
                <c:pt idx="12">
                  <c:v>Jul 8, 2024</c:v>
                </c:pt>
                <c:pt idx="13">
                  <c:v>Jul 1, 2024</c:v>
                </c:pt>
                <c:pt idx="14">
                  <c:v>Jun 24, 2024</c:v>
                </c:pt>
                <c:pt idx="15">
                  <c:v>Jun 17, 2024</c:v>
                </c:pt>
                <c:pt idx="16">
                  <c:v>Jun 10, 2024</c:v>
                </c:pt>
                <c:pt idx="17">
                  <c:v>Jun 3, 2024</c:v>
                </c:pt>
                <c:pt idx="18">
                  <c:v>May 27, 2024</c:v>
                </c:pt>
                <c:pt idx="19">
                  <c:v>May 20, 2024</c:v>
                </c:pt>
                <c:pt idx="20">
                  <c:v>May 13, 2024</c:v>
                </c:pt>
                <c:pt idx="21">
                  <c:v>May 6, 2024</c:v>
                </c:pt>
                <c:pt idx="22">
                  <c:v>Apr 29, 2024</c:v>
                </c:pt>
                <c:pt idx="23">
                  <c:v>Apr 22, 2024</c:v>
                </c:pt>
                <c:pt idx="24">
                  <c:v>Apr 15, 2024</c:v>
                </c:pt>
                <c:pt idx="25">
                  <c:v>Apr 8, 2024</c:v>
                </c:pt>
                <c:pt idx="26">
                  <c:v>Apr 1, 2024</c:v>
                </c:pt>
                <c:pt idx="27">
                  <c:v>Mar 25, 2024</c:v>
                </c:pt>
                <c:pt idx="28">
                  <c:v>Mar 18, 2024</c:v>
                </c:pt>
                <c:pt idx="29">
                  <c:v>Mar 11, 2024</c:v>
                </c:pt>
                <c:pt idx="30">
                  <c:v>Mar 4, 2024</c:v>
                </c:pt>
                <c:pt idx="31">
                  <c:v>Feb 26, 2024</c:v>
                </c:pt>
                <c:pt idx="32">
                  <c:v>Feb 19, 2024</c:v>
                </c:pt>
                <c:pt idx="33">
                  <c:v>Feb 12, 2024</c:v>
                </c:pt>
                <c:pt idx="34">
                  <c:v>Feb 5, 2024</c:v>
                </c:pt>
                <c:pt idx="35">
                  <c:v>Jan 29, 2024</c:v>
                </c:pt>
                <c:pt idx="36">
                  <c:v>Jan 22, 2024</c:v>
                </c:pt>
                <c:pt idx="37">
                  <c:v>Jan 15, 2024</c:v>
                </c:pt>
                <c:pt idx="38">
                  <c:v>Jan 8, 2024</c:v>
                </c:pt>
                <c:pt idx="39">
                  <c:v>Jan 1, 2024</c:v>
                </c:pt>
                <c:pt idx="40">
                  <c:v>Dec 25, 2023</c:v>
                </c:pt>
                <c:pt idx="41">
                  <c:v>Dec 18, 2023</c:v>
                </c:pt>
                <c:pt idx="42">
                  <c:v>Dec 11, 2023</c:v>
                </c:pt>
                <c:pt idx="43">
                  <c:v>Dec 4, 2023</c:v>
                </c:pt>
                <c:pt idx="44">
                  <c:v>Nov 27, 2023</c:v>
                </c:pt>
                <c:pt idx="45">
                  <c:v>Nov 20, 2023</c:v>
                </c:pt>
                <c:pt idx="46">
                  <c:v>Nov 13, 2023</c:v>
                </c:pt>
                <c:pt idx="47">
                  <c:v>Nov 6, 2023</c:v>
                </c:pt>
                <c:pt idx="48">
                  <c:v>Oct 30, 2023</c:v>
                </c:pt>
                <c:pt idx="49">
                  <c:v>Oct 23, 2023</c:v>
                </c:pt>
                <c:pt idx="50">
                  <c:v>Oct 16, 2023</c:v>
                </c:pt>
                <c:pt idx="51">
                  <c:v>Oct 9, 2023</c:v>
                </c:pt>
                <c:pt idx="52">
                  <c:v>Oct 2, 2023</c:v>
                </c:pt>
                <c:pt idx="53">
                  <c:v>Sep 25, 2023</c:v>
                </c:pt>
                <c:pt idx="54">
                  <c:v>Sep 18, 2023</c:v>
                </c:pt>
                <c:pt idx="55">
                  <c:v>Sep 11, 2023</c:v>
                </c:pt>
                <c:pt idx="56">
                  <c:v>Sep 4, 2023</c:v>
                </c:pt>
                <c:pt idx="57">
                  <c:v>Aug 28, 2023</c:v>
                </c:pt>
                <c:pt idx="58">
                  <c:v>Aug 21, 2023</c:v>
                </c:pt>
                <c:pt idx="59">
                  <c:v>Aug 14, 2023</c:v>
                </c:pt>
                <c:pt idx="60">
                  <c:v>Aug 7, 2023</c:v>
                </c:pt>
                <c:pt idx="61">
                  <c:v>Jul 31, 2023</c:v>
                </c:pt>
                <c:pt idx="62">
                  <c:v>Jul 24, 2023</c:v>
                </c:pt>
                <c:pt idx="63">
                  <c:v>Jul 17, 2023</c:v>
                </c:pt>
                <c:pt idx="64">
                  <c:v>Jul 10, 2023</c:v>
                </c:pt>
                <c:pt idx="65">
                  <c:v>Jul 3, 2023</c:v>
                </c:pt>
                <c:pt idx="66">
                  <c:v>Jun 26, 2023</c:v>
                </c:pt>
                <c:pt idx="67">
                  <c:v>Jun 19, 2023</c:v>
                </c:pt>
                <c:pt idx="68">
                  <c:v>Jun 12, 2023</c:v>
                </c:pt>
                <c:pt idx="69">
                  <c:v>Jun 5, 2023</c:v>
                </c:pt>
                <c:pt idx="70">
                  <c:v>May 29, 2023</c:v>
                </c:pt>
                <c:pt idx="71">
                  <c:v>May 22, 2023</c:v>
                </c:pt>
                <c:pt idx="72">
                  <c:v>May 15, 2023</c:v>
                </c:pt>
                <c:pt idx="73">
                  <c:v>May 8, 2023</c:v>
                </c:pt>
                <c:pt idx="74">
                  <c:v>May 1, 2023</c:v>
                </c:pt>
                <c:pt idx="75">
                  <c:v>Apr 24, 2023</c:v>
                </c:pt>
                <c:pt idx="76">
                  <c:v>Apr 17, 2023</c:v>
                </c:pt>
                <c:pt idx="77">
                  <c:v>Apr 10, 2023</c:v>
                </c:pt>
                <c:pt idx="78">
                  <c:v>Apr 3, 2023</c:v>
                </c:pt>
                <c:pt idx="79">
                  <c:v>Mar 27, 2023</c:v>
                </c:pt>
                <c:pt idx="80">
                  <c:v>Mar 20, 2023</c:v>
                </c:pt>
                <c:pt idx="81">
                  <c:v>Mar 13, 2023</c:v>
                </c:pt>
                <c:pt idx="82">
                  <c:v>Mar 6, 2023</c:v>
                </c:pt>
                <c:pt idx="83">
                  <c:v>Feb 27, 2023</c:v>
                </c:pt>
                <c:pt idx="84">
                  <c:v>Feb 20, 2023</c:v>
                </c:pt>
                <c:pt idx="85">
                  <c:v>Feb 13, 2023</c:v>
                </c:pt>
                <c:pt idx="86">
                  <c:v>Feb 6, 2023</c:v>
                </c:pt>
                <c:pt idx="87">
                  <c:v>Jan 30, 2023</c:v>
                </c:pt>
                <c:pt idx="88">
                  <c:v>Jan 23, 2023</c:v>
                </c:pt>
                <c:pt idx="89">
                  <c:v>Jan 16, 2023</c:v>
                </c:pt>
                <c:pt idx="90">
                  <c:v>Jan 9, 2023</c:v>
                </c:pt>
                <c:pt idx="91">
                  <c:v>Jan 2, 2023</c:v>
                </c:pt>
                <c:pt idx="92">
                  <c:v>Dec 26, 2022</c:v>
                </c:pt>
                <c:pt idx="93">
                  <c:v>Dec 19, 2022</c:v>
                </c:pt>
                <c:pt idx="94">
                  <c:v>Dec 12, 2022</c:v>
                </c:pt>
                <c:pt idx="95">
                  <c:v>Dec 5, 2022</c:v>
                </c:pt>
                <c:pt idx="96">
                  <c:v>Nov 28, 2022</c:v>
                </c:pt>
                <c:pt idx="97">
                  <c:v>Nov 21, 2022</c:v>
                </c:pt>
                <c:pt idx="98">
                  <c:v>Nov 14, 2022</c:v>
                </c:pt>
                <c:pt idx="99">
                  <c:v>Nov 7, 2022</c:v>
                </c:pt>
                <c:pt idx="100">
                  <c:v>Oct 31, 2022</c:v>
                </c:pt>
                <c:pt idx="101">
                  <c:v>Oct 24, 2022</c:v>
                </c:pt>
                <c:pt idx="102">
                  <c:v>Oct 17, 2022</c:v>
                </c:pt>
                <c:pt idx="103">
                  <c:v>Oct 10, 2022</c:v>
                </c:pt>
                <c:pt idx="104">
                  <c:v>Oct 3, 2022</c:v>
                </c:pt>
                <c:pt idx="105">
                  <c:v>Sep 26, 2022</c:v>
                </c:pt>
                <c:pt idx="106">
                  <c:v>Sep 19, 2022</c:v>
                </c:pt>
                <c:pt idx="107">
                  <c:v>Sep 12, 2022</c:v>
                </c:pt>
                <c:pt idx="108">
                  <c:v>Sep 5, 2022</c:v>
                </c:pt>
                <c:pt idx="109">
                  <c:v>Aug 29, 2022</c:v>
                </c:pt>
                <c:pt idx="110">
                  <c:v>Aug 22, 2022</c:v>
                </c:pt>
                <c:pt idx="111">
                  <c:v>Aug 15, 2022</c:v>
                </c:pt>
                <c:pt idx="112">
                  <c:v>Aug 8, 2022</c:v>
                </c:pt>
                <c:pt idx="113">
                  <c:v>Aug 1, 2022</c:v>
                </c:pt>
                <c:pt idx="114">
                  <c:v>Jul 25, 2022</c:v>
                </c:pt>
                <c:pt idx="115">
                  <c:v>Jul 18, 2022</c:v>
                </c:pt>
                <c:pt idx="116">
                  <c:v>Jul 11, 2022</c:v>
                </c:pt>
                <c:pt idx="117">
                  <c:v>Jul 4, 2022</c:v>
                </c:pt>
                <c:pt idx="118">
                  <c:v>Jun 27, 2022</c:v>
                </c:pt>
                <c:pt idx="119">
                  <c:v>Jun 20, 2022</c:v>
                </c:pt>
                <c:pt idx="120">
                  <c:v>Jun 13, 2022</c:v>
                </c:pt>
                <c:pt idx="121">
                  <c:v>Jun 6, 2022</c:v>
                </c:pt>
                <c:pt idx="122">
                  <c:v>May 30, 2022</c:v>
                </c:pt>
                <c:pt idx="123">
                  <c:v>May 23, 2022</c:v>
                </c:pt>
                <c:pt idx="124">
                  <c:v>May 16, 2022</c:v>
                </c:pt>
                <c:pt idx="125">
                  <c:v>May 9, 2022</c:v>
                </c:pt>
                <c:pt idx="126">
                  <c:v>May 2, 2022</c:v>
                </c:pt>
                <c:pt idx="127">
                  <c:v>Apr 25, 2022</c:v>
                </c:pt>
                <c:pt idx="128">
                  <c:v>Apr 18, 2022</c:v>
                </c:pt>
                <c:pt idx="129">
                  <c:v>Apr 11, 2022</c:v>
                </c:pt>
                <c:pt idx="130">
                  <c:v>Apr 4, 2022</c:v>
                </c:pt>
                <c:pt idx="131">
                  <c:v>Mar 28, 2022</c:v>
                </c:pt>
                <c:pt idx="132">
                  <c:v>Mar 21, 2022</c:v>
                </c:pt>
                <c:pt idx="133">
                  <c:v>Mar 14, 2022</c:v>
                </c:pt>
                <c:pt idx="134">
                  <c:v>Mar 7, 2022</c:v>
                </c:pt>
                <c:pt idx="135">
                  <c:v>Feb 28, 2022</c:v>
                </c:pt>
                <c:pt idx="136">
                  <c:v>Feb 21, 2022</c:v>
                </c:pt>
                <c:pt idx="137">
                  <c:v>Feb 14, 2022</c:v>
                </c:pt>
                <c:pt idx="138">
                  <c:v>Feb 7, 2022</c:v>
                </c:pt>
                <c:pt idx="139">
                  <c:v>Jan 31, 2022</c:v>
                </c:pt>
                <c:pt idx="140">
                  <c:v>Jan 24, 2022</c:v>
                </c:pt>
                <c:pt idx="141">
                  <c:v>Jan 17, 2022</c:v>
                </c:pt>
                <c:pt idx="142">
                  <c:v>Jan 10, 2022</c:v>
                </c:pt>
                <c:pt idx="143">
                  <c:v>Jan 3, 2022</c:v>
                </c:pt>
                <c:pt idx="144">
                  <c:v>Dec 27, 2021</c:v>
                </c:pt>
                <c:pt idx="145">
                  <c:v>Dec 20, 2021</c:v>
                </c:pt>
                <c:pt idx="146">
                  <c:v>Dec 13, 2021</c:v>
                </c:pt>
                <c:pt idx="147">
                  <c:v>Dec 6, 2021</c:v>
                </c:pt>
                <c:pt idx="148">
                  <c:v>Nov 29, 2021</c:v>
                </c:pt>
                <c:pt idx="149">
                  <c:v>Nov 22, 2021</c:v>
                </c:pt>
                <c:pt idx="150">
                  <c:v>Nov 15, 2021</c:v>
                </c:pt>
                <c:pt idx="151">
                  <c:v>Nov 8, 2021</c:v>
                </c:pt>
                <c:pt idx="152">
                  <c:v>Nov 1, 2021</c:v>
                </c:pt>
                <c:pt idx="153">
                  <c:v>Oct 25, 2021</c:v>
                </c:pt>
                <c:pt idx="154">
                  <c:v>Oct 18, 2021</c:v>
                </c:pt>
                <c:pt idx="155">
                  <c:v>Oct 11, 2021</c:v>
                </c:pt>
                <c:pt idx="156">
                  <c:v>Oct 4, 2021</c:v>
                </c:pt>
                <c:pt idx="157">
                  <c:v>Sep 27, 2021</c:v>
                </c:pt>
                <c:pt idx="158">
                  <c:v>Sep 20, 2021</c:v>
                </c:pt>
                <c:pt idx="159">
                  <c:v>Sep 13, 2021</c:v>
                </c:pt>
                <c:pt idx="160">
                  <c:v>Sep 6, 2021</c:v>
                </c:pt>
                <c:pt idx="161">
                  <c:v>Aug 30, 2021</c:v>
                </c:pt>
                <c:pt idx="162">
                  <c:v>Aug 23, 2021</c:v>
                </c:pt>
                <c:pt idx="163">
                  <c:v>Aug 16, 2021</c:v>
                </c:pt>
                <c:pt idx="164">
                  <c:v>Aug 9, 2021</c:v>
                </c:pt>
                <c:pt idx="165">
                  <c:v>Aug 2, 2021</c:v>
                </c:pt>
                <c:pt idx="166">
                  <c:v>Jul 26, 2021</c:v>
                </c:pt>
                <c:pt idx="167">
                  <c:v>Jul 19, 2021</c:v>
                </c:pt>
                <c:pt idx="168">
                  <c:v>Jul 12, 2021</c:v>
                </c:pt>
                <c:pt idx="169">
                  <c:v>Jul 5, 2021</c:v>
                </c:pt>
                <c:pt idx="170">
                  <c:v>Jun 28, 2021</c:v>
                </c:pt>
                <c:pt idx="171">
                  <c:v>Jun 21, 2021</c:v>
                </c:pt>
                <c:pt idx="172">
                  <c:v>Jun 14, 2021</c:v>
                </c:pt>
                <c:pt idx="173">
                  <c:v>Jun 7, 2021</c:v>
                </c:pt>
                <c:pt idx="174">
                  <c:v>May 31, 2021</c:v>
                </c:pt>
                <c:pt idx="175">
                  <c:v>May 24, 2021</c:v>
                </c:pt>
                <c:pt idx="176">
                  <c:v>May 17, 2021</c:v>
                </c:pt>
                <c:pt idx="177">
                  <c:v>May 10, 2021</c:v>
                </c:pt>
                <c:pt idx="178">
                  <c:v>May 3, 2021</c:v>
                </c:pt>
                <c:pt idx="179">
                  <c:v>Apr 26, 2021</c:v>
                </c:pt>
                <c:pt idx="180">
                  <c:v>Apr 19, 2021</c:v>
                </c:pt>
                <c:pt idx="181">
                  <c:v>Apr 12, 2021</c:v>
                </c:pt>
                <c:pt idx="182">
                  <c:v>Apr 5, 2021</c:v>
                </c:pt>
                <c:pt idx="183">
                  <c:v>Mar 29, 2021</c:v>
                </c:pt>
                <c:pt idx="184">
                  <c:v>Mar 22, 2021</c:v>
                </c:pt>
                <c:pt idx="185">
                  <c:v>Mar 15, 2021</c:v>
                </c:pt>
                <c:pt idx="186">
                  <c:v>Mar 8, 2021</c:v>
                </c:pt>
                <c:pt idx="187">
                  <c:v>Mar 1, 2021</c:v>
                </c:pt>
                <c:pt idx="188">
                  <c:v>Feb 22, 2021</c:v>
                </c:pt>
                <c:pt idx="189">
                  <c:v>Feb 15, 2021</c:v>
                </c:pt>
                <c:pt idx="190">
                  <c:v>Feb 8, 2021</c:v>
                </c:pt>
                <c:pt idx="191">
                  <c:v>Feb 1, 2021</c:v>
                </c:pt>
                <c:pt idx="192">
                  <c:v>Jan 25, 2021</c:v>
                </c:pt>
                <c:pt idx="193">
                  <c:v>Jan 18, 2021</c:v>
                </c:pt>
                <c:pt idx="194">
                  <c:v>Jan 11, 2021</c:v>
                </c:pt>
                <c:pt idx="195">
                  <c:v>Jan 4, 2021</c:v>
                </c:pt>
                <c:pt idx="196">
                  <c:v>Dec 28, 2020</c:v>
                </c:pt>
                <c:pt idx="197">
                  <c:v>Dec 21, 2020</c:v>
                </c:pt>
                <c:pt idx="198">
                  <c:v>Dec 14, 2020</c:v>
                </c:pt>
                <c:pt idx="199">
                  <c:v>Dec 7, 2020</c:v>
                </c:pt>
                <c:pt idx="200">
                  <c:v>Nov 30, 2020</c:v>
                </c:pt>
                <c:pt idx="201">
                  <c:v>Nov 23, 2020</c:v>
                </c:pt>
                <c:pt idx="202">
                  <c:v>Nov 16, 2020</c:v>
                </c:pt>
                <c:pt idx="203">
                  <c:v>Nov 9, 2020</c:v>
                </c:pt>
                <c:pt idx="204">
                  <c:v>Nov 2, 2020</c:v>
                </c:pt>
                <c:pt idx="205">
                  <c:v>Oct 26, 2020</c:v>
                </c:pt>
                <c:pt idx="206">
                  <c:v>Oct 19, 2020</c:v>
                </c:pt>
                <c:pt idx="207">
                  <c:v>Oct 12, 2020</c:v>
                </c:pt>
                <c:pt idx="208">
                  <c:v>Oct 5, 2020</c:v>
                </c:pt>
                <c:pt idx="209">
                  <c:v>Sep 28, 2020</c:v>
                </c:pt>
                <c:pt idx="210">
                  <c:v>Sep 21, 2020</c:v>
                </c:pt>
                <c:pt idx="211">
                  <c:v>Sep 14, 2020</c:v>
                </c:pt>
                <c:pt idx="212">
                  <c:v>Sep 7, 2020</c:v>
                </c:pt>
                <c:pt idx="213">
                  <c:v>Aug 31, 2020</c:v>
                </c:pt>
                <c:pt idx="214">
                  <c:v>Aug 24, 2020</c:v>
                </c:pt>
                <c:pt idx="215">
                  <c:v>Aug 17, 2020</c:v>
                </c:pt>
                <c:pt idx="216">
                  <c:v>Aug 10, 2020</c:v>
                </c:pt>
                <c:pt idx="217">
                  <c:v>Aug 3, 2020</c:v>
                </c:pt>
                <c:pt idx="218">
                  <c:v>Jul 27, 2020</c:v>
                </c:pt>
                <c:pt idx="219">
                  <c:v>Jul 20, 2020</c:v>
                </c:pt>
                <c:pt idx="220">
                  <c:v>Jul 13, 2020</c:v>
                </c:pt>
                <c:pt idx="221">
                  <c:v>Jul 6, 2020</c:v>
                </c:pt>
                <c:pt idx="222">
                  <c:v>Jun 29, 2020</c:v>
                </c:pt>
                <c:pt idx="223">
                  <c:v>Jun 22, 2020</c:v>
                </c:pt>
                <c:pt idx="224">
                  <c:v>Jun 15, 2020</c:v>
                </c:pt>
                <c:pt idx="225">
                  <c:v>Jun 8, 2020</c:v>
                </c:pt>
                <c:pt idx="226">
                  <c:v>Jun 1, 2020</c:v>
                </c:pt>
                <c:pt idx="227">
                  <c:v>May 25, 2020</c:v>
                </c:pt>
                <c:pt idx="228">
                  <c:v>May 18, 2020</c:v>
                </c:pt>
                <c:pt idx="229">
                  <c:v>May 11, 2020</c:v>
                </c:pt>
                <c:pt idx="230">
                  <c:v>May 4, 2020</c:v>
                </c:pt>
                <c:pt idx="231">
                  <c:v>Apr 27, 2020</c:v>
                </c:pt>
                <c:pt idx="232">
                  <c:v>Apr 20, 2020</c:v>
                </c:pt>
                <c:pt idx="233">
                  <c:v>Apr 13, 2020</c:v>
                </c:pt>
                <c:pt idx="234">
                  <c:v>Apr 6, 2020</c:v>
                </c:pt>
                <c:pt idx="235">
                  <c:v>Mar 30, 2020</c:v>
                </c:pt>
                <c:pt idx="236">
                  <c:v>Mar 23, 2020</c:v>
                </c:pt>
                <c:pt idx="237">
                  <c:v>Mar 16, 2020</c:v>
                </c:pt>
                <c:pt idx="238">
                  <c:v>Mar 9, 2020</c:v>
                </c:pt>
                <c:pt idx="239">
                  <c:v>Mar 2, 2020</c:v>
                </c:pt>
                <c:pt idx="240">
                  <c:v>Feb 24, 2020</c:v>
                </c:pt>
                <c:pt idx="241">
                  <c:v>Feb 17, 2020</c:v>
                </c:pt>
                <c:pt idx="242">
                  <c:v>Feb 10, 2020</c:v>
                </c:pt>
                <c:pt idx="243">
                  <c:v>Feb 3, 2020</c:v>
                </c:pt>
                <c:pt idx="244">
                  <c:v>Jan 27, 2020</c:v>
                </c:pt>
                <c:pt idx="245">
                  <c:v>Jan 20, 2020</c:v>
                </c:pt>
                <c:pt idx="246">
                  <c:v>Jan 13, 2020</c:v>
                </c:pt>
                <c:pt idx="247">
                  <c:v>Jan 6, 2020</c:v>
                </c:pt>
                <c:pt idx="248">
                  <c:v>Dec 30, 2019</c:v>
                </c:pt>
                <c:pt idx="249">
                  <c:v>Dec 23, 2019</c:v>
                </c:pt>
                <c:pt idx="250">
                  <c:v>Dec 16, 2019</c:v>
                </c:pt>
                <c:pt idx="251">
                  <c:v>Dec 9, 2019</c:v>
                </c:pt>
                <c:pt idx="252">
                  <c:v>Dec 2, 2019</c:v>
                </c:pt>
                <c:pt idx="253">
                  <c:v>Nov 25, 2019</c:v>
                </c:pt>
                <c:pt idx="254">
                  <c:v>Nov 18, 2019</c:v>
                </c:pt>
                <c:pt idx="255">
                  <c:v>Nov 11, 2019</c:v>
                </c:pt>
                <c:pt idx="256">
                  <c:v>Nov 4, 2019</c:v>
                </c:pt>
                <c:pt idx="257">
                  <c:v>Oct 28, 2019</c:v>
                </c:pt>
                <c:pt idx="258">
                  <c:v>Oct 21, 2019</c:v>
                </c:pt>
                <c:pt idx="259">
                  <c:v>Oct 14, 2019</c:v>
                </c:pt>
                <c:pt idx="260">
                  <c:v>Oct 7, 2019</c:v>
                </c:pt>
                <c:pt idx="261">
                  <c:v>Sep 30, 2019</c:v>
                </c:pt>
              </c:strCache>
            </c:strRef>
          </c:cat>
          <c:val>
            <c:numRef>
              <c:f>Rough!$C$6:$C$267</c:f>
              <c:numCache>
                <c:formatCode>0.00</c:formatCode>
                <c:ptCount val="262"/>
                <c:pt idx="0">
                  <c:v>625.20000000000005</c:v>
                </c:pt>
                <c:pt idx="1">
                  <c:v>633</c:v>
                </c:pt>
                <c:pt idx="2">
                  <c:v>667.55</c:v>
                </c:pt>
                <c:pt idx="3">
                  <c:v>660.9</c:v>
                </c:pt>
                <c:pt idx="4">
                  <c:v>644.4</c:v>
                </c:pt>
                <c:pt idx="5">
                  <c:v>637.15</c:v>
                </c:pt>
                <c:pt idx="6">
                  <c:v>643.25</c:v>
                </c:pt>
                <c:pt idx="7">
                  <c:v>617.6</c:v>
                </c:pt>
                <c:pt idx="8">
                  <c:v>623.95000000000005</c:v>
                </c:pt>
                <c:pt idx="9">
                  <c:v>627.54999999999995</c:v>
                </c:pt>
                <c:pt idx="10">
                  <c:v>632.45000000000005</c:v>
                </c:pt>
                <c:pt idx="11">
                  <c:v>630.20000000000005</c:v>
                </c:pt>
                <c:pt idx="12">
                  <c:v>627.30999999999995</c:v>
                </c:pt>
                <c:pt idx="13">
                  <c:v>603.86</c:v>
                </c:pt>
                <c:pt idx="14">
                  <c:v>598.14</c:v>
                </c:pt>
                <c:pt idx="15">
                  <c:v>587.42999999999995</c:v>
                </c:pt>
                <c:pt idx="16">
                  <c:v>606.04999999999995</c:v>
                </c:pt>
                <c:pt idx="17">
                  <c:v>610.49</c:v>
                </c:pt>
                <c:pt idx="18">
                  <c:v>542.78</c:v>
                </c:pt>
                <c:pt idx="19">
                  <c:v>555.72</c:v>
                </c:pt>
                <c:pt idx="20">
                  <c:v>537.70000000000005</c:v>
                </c:pt>
                <c:pt idx="21">
                  <c:v>548.45000000000005</c:v>
                </c:pt>
                <c:pt idx="22">
                  <c:v>529.48</c:v>
                </c:pt>
                <c:pt idx="23">
                  <c:v>506.83</c:v>
                </c:pt>
                <c:pt idx="24">
                  <c:v>502.05</c:v>
                </c:pt>
                <c:pt idx="25">
                  <c:v>498.47</c:v>
                </c:pt>
                <c:pt idx="26">
                  <c:v>505.73</c:v>
                </c:pt>
                <c:pt idx="27">
                  <c:v>520.91999999999996</c:v>
                </c:pt>
                <c:pt idx="28">
                  <c:v>518.58000000000004</c:v>
                </c:pt>
                <c:pt idx="29">
                  <c:v>524.29999999999995</c:v>
                </c:pt>
                <c:pt idx="30">
                  <c:v>532.97</c:v>
                </c:pt>
                <c:pt idx="31">
                  <c:v>538.79</c:v>
                </c:pt>
                <c:pt idx="32">
                  <c:v>533.02</c:v>
                </c:pt>
                <c:pt idx="33">
                  <c:v>542.17999999999995</c:v>
                </c:pt>
                <c:pt idx="34">
                  <c:v>536.9</c:v>
                </c:pt>
                <c:pt idx="35">
                  <c:v>542.33000000000004</c:v>
                </c:pt>
                <c:pt idx="36">
                  <c:v>529.33000000000004</c:v>
                </c:pt>
                <c:pt idx="37">
                  <c:v>539.99</c:v>
                </c:pt>
                <c:pt idx="38">
                  <c:v>547.36</c:v>
                </c:pt>
                <c:pt idx="39">
                  <c:v>566.62</c:v>
                </c:pt>
                <c:pt idx="40">
                  <c:v>554.82000000000005</c:v>
                </c:pt>
                <c:pt idx="41">
                  <c:v>527.04</c:v>
                </c:pt>
                <c:pt idx="42">
                  <c:v>537.4</c:v>
                </c:pt>
                <c:pt idx="43">
                  <c:v>545.16999999999996</c:v>
                </c:pt>
                <c:pt idx="44">
                  <c:v>538.84</c:v>
                </c:pt>
                <c:pt idx="45">
                  <c:v>535.05999999999995</c:v>
                </c:pt>
                <c:pt idx="46">
                  <c:v>538.39</c:v>
                </c:pt>
                <c:pt idx="47">
                  <c:v>528.34</c:v>
                </c:pt>
                <c:pt idx="48">
                  <c:v>530.47</c:v>
                </c:pt>
                <c:pt idx="49">
                  <c:v>519.63</c:v>
                </c:pt>
                <c:pt idx="50">
                  <c:v>519.88</c:v>
                </c:pt>
                <c:pt idx="51">
                  <c:v>533.79</c:v>
                </c:pt>
                <c:pt idx="52">
                  <c:v>542.02</c:v>
                </c:pt>
                <c:pt idx="53">
                  <c:v>546.41999999999996</c:v>
                </c:pt>
                <c:pt idx="54">
                  <c:v>556.03</c:v>
                </c:pt>
                <c:pt idx="55">
                  <c:v>560.19000000000005</c:v>
                </c:pt>
                <c:pt idx="56">
                  <c:v>561.78</c:v>
                </c:pt>
                <c:pt idx="57">
                  <c:v>548.16</c:v>
                </c:pt>
                <c:pt idx="58">
                  <c:v>552.80999999999995</c:v>
                </c:pt>
                <c:pt idx="59">
                  <c:v>560.19000000000005</c:v>
                </c:pt>
                <c:pt idx="60">
                  <c:v>557.87</c:v>
                </c:pt>
                <c:pt idx="61">
                  <c:v>564.35</c:v>
                </c:pt>
                <c:pt idx="62">
                  <c:v>576.24</c:v>
                </c:pt>
                <c:pt idx="63">
                  <c:v>557.28</c:v>
                </c:pt>
                <c:pt idx="64">
                  <c:v>578.28</c:v>
                </c:pt>
                <c:pt idx="65">
                  <c:v>564.17999999999995</c:v>
                </c:pt>
                <c:pt idx="66">
                  <c:v>564.91999999999996</c:v>
                </c:pt>
                <c:pt idx="67">
                  <c:v>555.46</c:v>
                </c:pt>
                <c:pt idx="68">
                  <c:v>562.9</c:v>
                </c:pt>
                <c:pt idx="69">
                  <c:v>542.25</c:v>
                </c:pt>
                <c:pt idx="70">
                  <c:v>549.39</c:v>
                </c:pt>
                <c:pt idx="71">
                  <c:v>534.51</c:v>
                </c:pt>
                <c:pt idx="72">
                  <c:v>511.83</c:v>
                </c:pt>
                <c:pt idx="73">
                  <c:v>511.09</c:v>
                </c:pt>
                <c:pt idx="74">
                  <c:v>497.93</c:v>
                </c:pt>
                <c:pt idx="75">
                  <c:v>525.44000000000005</c:v>
                </c:pt>
                <c:pt idx="76">
                  <c:v>517.79</c:v>
                </c:pt>
                <c:pt idx="77">
                  <c:v>519.77</c:v>
                </c:pt>
                <c:pt idx="78">
                  <c:v>518.53</c:v>
                </c:pt>
                <c:pt idx="79">
                  <c:v>537.27</c:v>
                </c:pt>
                <c:pt idx="80">
                  <c:v>528.89</c:v>
                </c:pt>
                <c:pt idx="81">
                  <c:v>528.64</c:v>
                </c:pt>
                <c:pt idx="82">
                  <c:v>522.53</c:v>
                </c:pt>
                <c:pt idx="83">
                  <c:v>527.30999999999995</c:v>
                </c:pt>
                <c:pt idx="84">
                  <c:v>527.41</c:v>
                </c:pt>
                <c:pt idx="85">
                  <c:v>527.01</c:v>
                </c:pt>
                <c:pt idx="86">
                  <c:v>524.94000000000005</c:v>
                </c:pt>
                <c:pt idx="87">
                  <c:v>526.22</c:v>
                </c:pt>
                <c:pt idx="88">
                  <c:v>554.17999999999995</c:v>
                </c:pt>
                <c:pt idx="89">
                  <c:v>558.07000000000005</c:v>
                </c:pt>
                <c:pt idx="90">
                  <c:v>536.08000000000004</c:v>
                </c:pt>
                <c:pt idx="91">
                  <c:v>545.11</c:v>
                </c:pt>
                <c:pt idx="92">
                  <c:v>553.59</c:v>
                </c:pt>
                <c:pt idx="93">
                  <c:v>557.91999999999996</c:v>
                </c:pt>
                <c:pt idx="94">
                  <c:v>571.63</c:v>
                </c:pt>
                <c:pt idx="95">
                  <c:v>590.36</c:v>
                </c:pt>
                <c:pt idx="96">
                  <c:v>582.87</c:v>
                </c:pt>
                <c:pt idx="97">
                  <c:v>548.75</c:v>
                </c:pt>
                <c:pt idx="98">
                  <c:v>540.82000000000005</c:v>
                </c:pt>
                <c:pt idx="99">
                  <c:v>545.35</c:v>
                </c:pt>
                <c:pt idx="100">
                  <c:v>547.25</c:v>
                </c:pt>
                <c:pt idx="101">
                  <c:v>540.91999999999996</c:v>
                </c:pt>
                <c:pt idx="102">
                  <c:v>528.05999999999995</c:v>
                </c:pt>
                <c:pt idx="103">
                  <c:v>521.58000000000004</c:v>
                </c:pt>
                <c:pt idx="104">
                  <c:v>530.22</c:v>
                </c:pt>
                <c:pt idx="105">
                  <c:v>562.41</c:v>
                </c:pt>
                <c:pt idx="106">
                  <c:v>558.09</c:v>
                </c:pt>
                <c:pt idx="107">
                  <c:v>536.35</c:v>
                </c:pt>
                <c:pt idx="108">
                  <c:v>564.33000000000004</c:v>
                </c:pt>
                <c:pt idx="109">
                  <c:v>560.20000000000005</c:v>
                </c:pt>
                <c:pt idx="110">
                  <c:v>561.48</c:v>
                </c:pt>
                <c:pt idx="111">
                  <c:v>576.4</c:v>
                </c:pt>
                <c:pt idx="112">
                  <c:v>570.9</c:v>
                </c:pt>
                <c:pt idx="113">
                  <c:v>568.5</c:v>
                </c:pt>
                <c:pt idx="114">
                  <c:v>573.36</c:v>
                </c:pt>
                <c:pt idx="115">
                  <c:v>562.96</c:v>
                </c:pt>
                <c:pt idx="116">
                  <c:v>535.66</c:v>
                </c:pt>
                <c:pt idx="117">
                  <c:v>531.30999999999995</c:v>
                </c:pt>
                <c:pt idx="118">
                  <c:v>499.42</c:v>
                </c:pt>
                <c:pt idx="119">
                  <c:v>497.95</c:v>
                </c:pt>
                <c:pt idx="120">
                  <c:v>473.39</c:v>
                </c:pt>
                <c:pt idx="121">
                  <c:v>490.63</c:v>
                </c:pt>
                <c:pt idx="122">
                  <c:v>502.06</c:v>
                </c:pt>
                <c:pt idx="123">
                  <c:v>486.18</c:v>
                </c:pt>
                <c:pt idx="124">
                  <c:v>491.7</c:v>
                </c:pt>
                <c:pt idx="125">
                  <c:v>489.21</c:v>
                </c:pt>
                <c:pt idx="126">
                  <c:v>498.98</c:v>
                </c:pt>
                <c:pt idx="127">
                  <c:v>543.82000000000005</c:v>
                </c:pt>
                <c:pt idx="128">
                  <c:v>546.9</c:v>
                </c:pt>
                <c:pt idx="129">
                  <c:v>543.04</c:v>
                </c:pt>
                <c:pt idx="130">
                  <c:v>544.05999999999995</c:v>
                </c:pt>
                <c:pt idx="131">
                  <c:v>529.9</c:v>
                </c:pt>
                <c:pt idx="132">
                  <c:v>507.77</c:v>
                </c:pt>
                <c:pt idx="133">
                  <c:v>547.29</c:v>
                </c:pt>
                <c:pt idx="134">
                  <c:v>534.88</c:v>
                </c:pt>
                <c:pt idx="135">
                  <c:v>526.58000000000004</c:v>
                </c:pt>
                <c:pt idx="136">
                  <c:v>532.24</c:v>
                </c:pt>
                <c:pt idx="137">
                  <c:v>535.12</c:v>
                </c:pt>
                <c:pt idx="138">
                  <c:v>547.87</c:v>
                </c:pt>
                <c:pt idx="139">
                  <c:v>555.83000000000004</c:v>
                </c:pt>
                <c:pt idx="140">
                  <c:v>521.59</c:v>
                </c:pt>
                <c:pt idx="141">
                  <c:v>538.79</c:v>
                </c:pt>
                <c:pt idx="142">
                  <c:v>562.48</c:v>
                </c:pt>
                <c:pt idx="143">
                  <c:v>573.91</c:v>
                </c:pt>
                <c:pt idx="144">
                  <c:v>566.63</c:v>
                </c:pt>
                <c:pt idx="145">
                  <c:v>550.66</c:v>
                </c:pt>
                <c:pt idx="146">
                  <c:v>551.67999999999995</c:v>
                </c:pt>
                <c:pt idx="147">
                  <c:v>564.42999999999995</c:v>
                </c:pt>
                <c:pt idx="148">
                  <c:v>567.9</c:v>
                </c:pt>
                <c:pt idx="149">
                  <c:v>588.07000000000005</c:v>
                </c:pt>
                <c:pt idx="150">
                  <c:v>594.66</c:v>
                </c:pt>
                <c:pt idx="151">
                  <c:v>586.08000000000004</c:v>
                </c:pt>
                <c:pt idx="152">
                  <c:v>595.9</c:v>
                </c:pt>
                <c:pt idx="153">
                  <c:v>569.92999999999995</c:v>
                </c:pt>
                <c:pt idx="154">
                  <c:v>574.70000000000005</c:v>
                </c:pt>
                <c:pt idx="155">
                  <c:v>598.48</c:v>
                </c:pt>
                <c:pt idx="156">
                  <c:v>590.51</c:v>
                </c:pt>
                <c:pt idx="157">
                  <c:v>601.16</c:v>
                </c:pt>
                <c:pt idx="158">
                  <c:v>634.17999999999995</c:v>
                </c:pt>
                <c:pt idx="159">
                  <c:v>636.17999999999995</c:v>
                </c:pt>
                <c:pt idx="160">
                  <c:v>620.95000000000005</c:v>
                </c:pt>
                <c:pt idx="161">
                  <c:v>623.82000000000005</c:v>
                </c:pt>
                <c:pt idx="162">
                  <c:v>592.21</c:v>
                </c:pt>
                <c:pt idx="163">
                  <c:v>595.08000000000004</c:v>
                </c:pt>
                <c:pt idx="164">
                  <c:v>572.30999999999995</c:v>
                </c:pt>
                <c:pt idx="165">
                  <c:v>569.29999999999995</c:v>
                </c:pt>
                <c:pt idx="166">
                  <c:v>581.41</c:v>
                </c:pt>
                <c:pt idx="167">
                  <c:v>571.19000000000005</c:v>
                </c:pt>
                <c:pt idx="168">
                  <c:v>561.66</c:v>
                </c:pt>
                <c:pt idx="169">
                  <c:v>576.47</c:v>
                </c:pt>
                <c:pt idx="170">
                  <c:v>571.48</c:v>
                </c:pt>
                <c:pt idx="171">
                  <c:v>546.32000000000005</c:v>
                </c:pt>
                <c:pt idx="172">
                  <c:v>558.55999999999995</c:v>
                </c:pt>
                <c:pt idx="173">
                  <c:v>547.04999999999995</c:v>
                </c:pt>
                <c:pt idx="174">
                  <c:v>526.58000000000004</c:v>
                </c:pt>
                <c:pt idx="175">
                  <c:v>513.36</c:v>
                </c:pt>
                <c:pt idx="176">
                  <c:v>519.51</c:v>
                </c:pt>
                <c:pt idx="177">
                  <c:v>517.82000000000005</c:v>
                </c:pt>
                <c:pt idx="178">
                  <c:v>517.42999999999995</c:v>
                </c:pt>
                <c:pt idx="179">
                  <c:v>520.77</c:v>
                </c:pt>
                <c:pt idx="180">
                  <c:v>541.96</c:v>
                </c:pt>
                <c:pt idx="181">
                  <c:v>556.53</c:v>
                </c:pt>
                <c:pt idx="182">
                  <c:v>542.5</c:v>
                </c:pt>
                <c:pt idx="183">
                  <c:v>521.35</c:v>
                </c:pt>
                <c:pt idx="184">
                  <c:v>512.78</c:v>
                </c:pt>
                <c:pt idx="185">
                  <c:v>507.94</c:v>
                </c:pt>
                <c:pt idx="186">
                  <c:v>506.64</c:v>
                </c:pt>
                <c:pt idx="187">
                  <c:v>507.56</c:v>
                </c:pt>
                <c:pt idx="188">
                  <c:v>486.94</c:v>
                </c:pt>
                <c:pt idx="189">
                  <c:v>496.96</c:v>
                </c:pt>
                <c:pt idx="190">
                  <c:v>516.85</c:v>
                </c:pt>
                <c:pt idx="191">
                  <c:v>504.99</c:v>
                </c:pt>
                <c:pt idx="192">
                  <c:v>498.02</c:v>
                </c:pt>
                <c:pt idx="193">
                  <c:v>515.83000000000004</c:v>
                </c:pt>
                <c:pt idx="194">
                  <c:v>523.38</c:v>
                </c:pt>
                <c:pt idx="195">
                  <c:v>522.75</c:v>
                </c:pt>
                <c:pt idx="196">
                  <c:v>517.04</c:v>
                </c:pt>
                <c:pt idx="197">
                  <c:v>498.02</c:v>
                </c:pt>
                <c:pt idx="198">
                  <c:v>492.99</c:v>
                </c:pt>
                <c:pt idx="199">
                  <c:v>497.3</c:v>
                </c:pt>
                <c:pt idx="200">
                  <c:v>486.17</c:v>
                </c:pt>
                <c:pt idx="201">
                  <c:v>483.75</c:v>
                </c:pt>
                <c:pt idx="202">
                  <c:v>492.07</c:v>
                </c:pt>
                <c:pt idx="203">
                  <c:v>498.84</c:v>
                </c:pt>
                <c:pt idx="204">
                  <c:v>508.53</c:v>
                </c:pt>
                <c:pt idx="205">
                  <c:v>493.34</c:v>
                </c:pt>
                <c:pt idx="206">
                  <c:v>500.77</c:v>
                </c:pt>
                <c:pt idx="207">
                  <c:v>493.58</c:v>
                </c:pt>
                <c:pt idx="208">
                  <c:v>500.72</c:v>
                </c:pt>
                <c:pt idx="209">
                  <c:v>495.61</c:v>
                </c:pt>
                <c:pt idx="210">
                  <c:v>475.16</c:v>
                </c:pt>
                <c:pt idx="211">
                  <c:v>490.45</c:v>
                </c:pt>
                <c:pt idx="212">
                  <c:v>490.25</c:v>
                </c:pt>
                <c:pt idx="213">
                  <c:v>466.67</c:v>
                </c:pt>
                <c:pt idx="214">
                  <c:v>471.78</c:v>
                </c:pt>
                <c:pt idx="215">
                  <c:v>474.53</c:v>
                </c:pt>
                <c:pt idx="216">
                  <c:v>477.97</c:v>
                </c:pt>
                <c:pt idx="217">
                  <c:v>492.59</c:v>
                </c:pt>
                <c:pt idx="218">
                  <c:v>493.79</c:v>
                </c:pt>
                <c:pt idx="219">
                  <c:v>453.36</c:v>
                </c:pt>
                <c:pt idx="220">
                  <c:v>471.87</c:v>
                </c:pt>
                <c:pt idx="221">
                  <c:v>455.91</c:v>
                </c:pt>
                <c:pt idx="222">
                  <c:v>449.08</c:v>
                </c:pt>
                <c:pt idx="223">
                  <c:v>442.64</c:v>
                </c:pt>
                <c:pt idx="224">
                  <c:v>426</c:v>
                </c:pt>
                <c:pt idx="225">
                  <c:v>438.12</c:v>
                </c:pt>
                <c:pt idx="226">
                  <c:v>445.04</c:v>
                </c:pt>
                <c:pt idx="227">
                  <c:v>448.5</c:v>
                </c:pt>
                <c:pt idx="228">
                  <c:v>415.09</c:v>
                </c:pt>
                <c:pt idx="229">
                  <c:v>426.82</c:v>
                </c:pt>
                <c:pt idx="230">
                  <c:v>429.61</c:v>
                </c:pt>
                <c:pt idx="231">
                  <c:v>470.47</c:v>
                </c:pt>
                <c:pt idx="232">
                  <c:v>479.85</c:v>
                </c:pt>
                <c:pt idx="233">
                  <c:v>471.24</c:v>
                </c:pt>
                <c:pt idx="234">
                  <c:v>466.68</c:v>
                </c:pt>
                <c:pt idx="235">
                  <c:v>411.34</c:v>
                </c:pt>
                <c:pt idx="236">
                  <c:v>406.73</c:v>
                </c:pt>
                <c:pt idx="237">
                  <c:v>427.25</c:v>
                </c:pt>
                <c:pt idx="238">
                  <c:v>433.26</c:v>
                </c:pt>
                <c:pt idx="239">
                  <c:v>481.29</c:v>
                </c:pt>
                <c:pt idx="240">
                  <c:v>477.01</c:v>
                </c:pt>
                <c:pt idx="241">
                  <c:v>486.68</c:v>
                </c:pt>
                <c:pt idx="242">
                  <c:v>486.63</c:v>
                </c:pt>
                <c:pt idx="243">
                  <c:v>493.89</c:v>
                </c:pt>
                <c:pt idx="244">
                  <c:v>467.69</c:v>
                </c:pt>
                <c:pt idx="245">
                  <c:v>481.24</c:v>
                </c:pt>
                <c:pt idx="246">
                  <c:v>470.81</c:v>
                </c:pt>
                <c:pt idx="247">
                  <c:v>448.89</c:v>
                </c:pt>
                <c:pt idx="248">
                  <c:v>438.07</c:v>
                </c:pt>
                <c:pt idx="249">
                  <c:v>442.11</c:v>
                </c:pt>
                <c:pt idx="250">
                  <c:v>442.11</c:v>
                </c:pt>
                <c:pt idx="251">
                  <c:v>442.3</c:v>
                </c:pt>
                <c:pt idx="252">
                  <c:v>445.96</c:v>
                </c:pt>
                <c:pt idx="253">
                  <c:v>441.44</c:v>
                </c:pt>
                <c:pt idx="254">
                  <c:v>445.96</c:v>
                </c:pt>
                <c:pt idx="255">
                  <c:v>442.64</c:v>
                </c:pt>
                <c:pt idx="256">
                  <c:v>454.09</c:v>
                </c:pt>
                <c:pt idx="257">
                  <c:v>444.7</c:v>
                </c:pt>
                <c:pt idx="258">
                  <c:v>449.92</c:v>
                </c:pt>
                <c:pt idx="259">
                  <c:v>447.24</c:v>
                </c:pt>
                <c:pt idx="260">
                  <c:v>427.2</c:v>
                </c:pt>
                <c:pt idx="261">
                  <c:v>408.12</c:v>
                </c:pt>
              </c:numCache>
            </c:numRef>
          </c:val>
          <c:smooth val="0"/>
          <c:extLst>
            <c:ext xmlns:c16="http://schemas.microsoft.com/office/drawing/2014/chart" uri="{C3380CC4-5D6E-409C-BE32-E72D297353CC}">
              <c16:uniqueId val="{00000000-601B-4BE8-837B-F4AF2D890C43}"/>
            </c:ext>
          </c:extLst>
        </c:ser>
        <c:dLbls>
          <c:showLegendKey val="0"/>
          <c:showVal val="0"/>
          <c:showCatName val="0"/>
          <c:showSerName val="0"/>
          <c:showPercent val="0"/>
          <c:showBubbleSize val="0"/>
        </c:dLbls>
        <c:smooth val="0"/>
        <c:axId val="677737648"/>
        <c:axId val="677713648"/>
      </c:lineChart>
      <c:catAx>
        <c:axId val="677737648"/>
        <c:scaling>
          <c:orientation val="minMax"/>
        </c:scaling>
        <c:delete val="1"/>
        <c:axPos val="b"/>
        <c:numFmt formatCode="m/d/yyyy" sourceLinked="0"/>
        <c:majorTickMark val="none"/>
        <c:minorTickMark val="none"/>
        <c:tickLblPos val="nextTo"/>
        <c:crossAx val="677713648"/>
        <c:crosses val="autoZero"/>
        <c:auto val="1"/>
        <c:lblAlgn val="ctr"/>
        <c:lblOffset val="100"/>
        <c:noMultiLvlLbl val="0"/>
      </c:catAx>
      <c:valAx>
        <c:axId val="6777136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376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27861962873975"/>
          <c:y val="9.2967458928745014E-2"/>
          <c:w val="0.73431741748393986"/>
          <c:h val="0.84370559818130153"/>
        </c:manualLayout>
      </c:layout>
      <c:areaChart>
        <c:grouping val="stacked"/>
        <c:varyColors val="0"/>
        <c:ser>
          <c:idx val="0"/>
          <c:order val="0"/>
          <c:spPr>
            <a:solidFill>
              <a:srgbClr val="7BC4AC"/>
            </a:solidFill>
            <a:ln>
              <a:noFill/>
            </a:ln>
            <a:effectLst/>
          </c:spPr>
          <c:cat>
            <c:strRef>
              <c:f>Rough!$O$5:$O$266</c:f>
              <c:strCache>
                <c:ptCount val="262"/>
                <c:pt idx="0">
                  <c:v>Sep 30, 2024</c:v>
                </c:pt>
                <c:pt idx="1">
                  <c:v>Sep 23, 2024</c:v>
                </c:pt>
                <c:pt idx="2">
                  <c:v>Sep 16, 2024</c:v>
                </c:pt>
                <c:pt idx="3">
                  <c:v>Sep 9, 2024</c:v>
                </c:pt>
                <c:pt idx="4">
                  <c:v>Sep 2, 2024</c:v>
                </c:pt>
                <c:pt idx="5">
                  <c:v>Aug 26, 2024</c:v>
                </c:pt>
                <c:pt idx="6">
                  <c:v>Aug 19, 2024</c:v>
                </c:pt>
                <c:pt idx="7">
                  <c:v>Aug 12, 2024</c:v>
                </c:pt>
                <c:pt idx="8">
                  <c:v>Aug 5, 2024</c:v>
                </c:pt>
                <c:pt idx="9">
                  <c:v>Jul 29, 2024</c:v>
                </c:pt>
                <c:pt idx="10">
                  <c:v>Jul 22, 2024</c:v>
                </c:pt>
                <c:pt idx="11">
                  <c:v>Jul 15, 2024</c:v>
                </c:pt>
                <c:pt idx="12">
                  <c:v>Jul 8, 2024</c:v>
                </c:pt>
                <c:pt idx="13">
                  <c:v>Jul 1, 2024</c:v>
                </c:pt>
                <c:pt idx="14">
                  <c:v>Jun 24, 2024</c:v>
                </c:pt>
                <c:pt idx="15">
                  <c:v>Jun 17, 2024</c:v>
                </c:pt>
                <c:pt idx="16">
                  <c:v>Jun 10, 2024</c:v>
                </c:pt>
                <c:pt idx="17">
                  <c:v>Jun 3, 2024</c:v>
                </c:pt>
                <c:pt idx="18">
                  <c:v>May 27, 2024</c:v>
                </c:pt>
                <c:pt idx="19">
                  <c:v>May 20, 2024</c:v>
                </c:pt>
                <c:pt idx="20">
                  <c:v>May 13, 2024</c:v>
                </c:pt>
                <c:pt idx="21">
                  <c:v>May 6, 2024</c:v>
                </c:pt>
                <c:pt idx="22">
                  <c:v>Apr 29, 2024</c:v>
                </c:pt>
                <c:pt idx="23">
                  <c:v>Apr 22, 2024</c:v>
                </c:pt>
                <c:pt idx="24">
                  <c:v>Apr 15, 2024</c:v>
                </c:pt>
                <c:pt idx="25">
                  <c:v>Apr 8, 2024</c:v>
                </c:pt>
                <c:pt idx="26">
                  <c:v>Apr 1, 2024</c:v>
                </c:pt>
                <c:pt idx="27">
                  <c:v>Mar 25, 2024</c:v>
                </c:pt>
                <c:pt idx="28">
                  <c:v>Mar 18, 2024</c:v>
                </c:pt>
                <c:pt idx="29">
                  <c:v>Mar 11, 2024</c:v>
                </c:pt>
                <c:pt idx="30">
                  <c:v>Mar 4, 2024</c:v>
                </c:pt>
                <c:pt idx="31">
                  <c:v>Feb 26, 2024</c:v>
                </c:pt>
                <c:pt idx="32">
                  <c:v>Feb 19, 2024</c:v>
                </c:pt>
                <c:pt idx="33">
                  <c:v>Feb 12, 2024</c:v>
                </c:pt>
                <c:pt idx="34">
                  <c:v>Feb 5, 2024</c:v>
                </c:pt>
                <c:pt idx="35">
                  <c:v>Jan 29, 2024</c:v>
                </c:pt>
                <c:pt idx="36">
                  <c:v>Jan 22, 2024</c:v>
                </c:pt>
                <c:pt idx="37">
                  <c:v>Jan 15, 2024</c:v>
                </c:pt>
                <c:pt idx="38">
                  <c:v>Jan 8, 2024</c:v>
                </c:pt>
                <c:pt idx="39">
                  <c:v>Jan 1, 2024</c:v>
                </c:pt>
                <c:pt idx="40">
                  <c:v>Dec 25, 2023</c:v>
                </c:pt>
                <c:pt idx="41">
                  <c:v>Dec 18, 2023</c:v>
                </c:pt>
                <c:pt idx="42">
                  <c:v>Dec 11, 2023</c:v>
                </c:pt>
                <c:pt idx="43">
                  <c:v>Dec 4, 2023</c:v>
                </c:pt>
                <c:pt idx="44">
                  <c:v>Nov 27, 2023</c:v>
                </c:pt>
                <c:pt idx="45">
                  <c:v>Nov 20, 2023</c:v>
                </c:pt>
                <c:pt idx="46">
                  <c:v>Nov 13, 2023</c:v>
                </c:pt>
                <c:pt idx="47">
                  <c:v>Nov 6, 2023</c:v>
                </c:pt>
                <c:pt idx="48">
                  <c:v>Oct 30, 2023</c:v>
                </c:pt>
                <c:pt idx="49">
                  <c:v>Oct 23, 2023</c:v>
                </c:pt>
                <c:pt idx="50">
                  <c:v>Oct 16, 2023</c:v>
                </c:pt>
                <c:pt idx="51">
                  <c:v>Oct 9, 2023</c:v>
                </c:pt>
                <c:pt idx="52">
                  <c:v>Oct 2, 2023</c:v>
                </c:pt>
                <c:pt idx="53">
                  <c:v>Sep 25, 2023</c:v>
                </c:pt>
                <c:pt idx="54">
                  <c:v>Sep 18, 2023</c:v>
                </c:pt>
                <c:pt idx="55">
                  <c:v>Sep 11, 2023</c:v>
                </c:pt>
                <c:pt idx="56">
                  <c:v>Sep 4, 2023</c:v>
                </c:pt>
                <c:pt idx="57">
                  <c:v>Aug 28, 2023</c:v>
                </c:pt>
                <c:pt idx="58">
                  <c:v>Aug 21, 2023</c:v>
                </c:pt>
                <c:pt idx="59">
                  <c:v>Aug 14, 2023</c:v>
                </c:pt>
                <c:pt idx="60">
                  <c:v>Aug 7, 2023</c:v>
                </c:pt>
                <c:pt idx="61">
                  <c:v>Jul 31, 2023</c:v>
                </c:pt>
                <c:pt idx="62">
                  <c:v>Jul 24, 2023</c:v>
                </c:pt>
                <c:pt idx="63">
                  <c:v>Jul 17, 2023</c:v>
                </c:pt>
                <c:pt idx="64">
                  <c:v>Jul 10, 2023</c:v>
                </c:pt>
                <c:pt idx="65">
                  <c:v>Jul 3, 2023</c:v>
                </c:pt>
                <c:pt idx="66">
                  <c:v>Jun 26, 2023</c:v>
                </c:pt>
                <c:pt idx="67">
                  <c:v>Jun 19, 2023</c:v>
                </c:pt>
                <c:pt idx="68">
                  <c:v>Jun 12, 2023</c:v>
                </c:pt>
                <c:pt idx="69">
                  <c:v>Jun 5, 2023</c:v>
                </c:pt>
                <c:pt idx="70">
                  <c:v>May 29, 2023</c:v>
                </c:pt>
                <c:pt idx="71">
                  <c:v>May 22, 2023</c:v>
                </c:pt>
                <c:pt idx="72">
                  <c:v>May 15, 2023</c:v>
                </c:pt>
                <c:pt idx="73">
                  <c:v>May 8, 2023</c:v>
                </c:pt>
                <c:pt idx="74">
                  <c:v>May 1, 2023</c:v>
                </c:pt>
                <c:pt idx="75">
                  <c:v>Apr 24, 2023</c:v>
                </c:pt>
                <c:pt idx="76">
                  <c:v>Apr 17, 2023</c:v>
                </c:pt>
                <c:pt idx="77">
                  <c:v>Apr 10, 2023</c:v>
                </c:pt>
                <c:pt idx="78">
                  <c:v>Apr 3, 2023</c:v>
                </c:pt>
                <c:pt idx="79">
                  <c:v>Mar 27, 2023</c:v>
                </c:pt>
                <c:pt idx="80">
                  <c:v>Mar 20, 2023</c:v>
                </c:pt>
                <c:pt idx="81">
                  <c:v>Mar 13, 2023</c:v>
                </c:pt>
                <c:pt idx="82">
                  <c:v>Mar 6, 2023</c:v>
                </c:pt>
                <c:pt idx="83">
                  <c:v>Feb 27, 2023</c:v>
                </c:pt>
                <c:pt idx="84">
                  <c:v>Feb 20, 2023</c:v>
                </c:pt>
                <c:pt idx="85">
                  <c:v>Feb 13, 2023</c:v>
                </c:pt>
                <c:pt idx="86">
                  <c:v>Feb 6, 2023</c:v>
                </c:pt>
                <c:pt idx="87">
                  <c:v>Jan 30, 2023</c:v>
                </c:pt>
                <c:pt idx="88">
                  <c:v>Jan 23, 2023</c:v>
                </c:pt>
                <c:pt idx="89">
                  <c:v>Jan 16, 2023</c:v>
                </c:pt>
                <c:pt idx="90">
                  <c:v>Jan 9, 2023</c:v>
                </c:pt>
                <c:pt idx="91">
                  <c:v>Jan 2, 2023</c:v>
                </c:pt>
                <c:pt idx="92">
                  <c:v>Dec 26, 2022</c:v>
                </c:pt>
                <c:pt idx="93">
                  <c:v>Dec 19, 2022</c:v>
                </c:pt>
                <c:pt idx="94">
                  <c:v>Dec 12, 2022</c:v>
                </c:pt>
                <c:pt idx="95">
                  <c:v>Dec 5, 2022</c:v>
                </c:pt>
                <c:pt idx="96">
                  <c:v>Nov 28, 2022</c:v>
                </c:pt>
                <c:pt idx="97">
                  <c:v>Nov 21, 2022</c:v>
                </c:pt>
                <c:pt idx="98">
                  <c:v>Nov 14, 2022</c:v>
                </c:pt>
                <c:pt idx="99">
                  <c:v>Nov 7, 2022</c:v>
                </c:pt>
                <c:pt idx="100">
                  <c:v>Oct 31, 2022</c:v>
                </c:pt>
                <c:pt idx="101">
                  <c:v>Oct 24, 2022</c:v>
                </c:pt>
                <c:pt idx="102">
                  <c:v>Oct 17, 2022</c:v>
                </c:pt>
                <c:pt idx="103">
                  <c:v>Oct 10, 2022</c:v>
                </c:pt>
                <c:pt idx="104">
                  <c:v>Oct 3, 2022</c:v>
                </c:pt>
                <c:pt idx="105">
                  <c:v>Sep 26, 2022</c:v>
                </c:pt>
                <c:pt idx="106">
                  <c:v>Sep 19, 2022</c:v>
                </c:pt>
                <c:pt idx="107">
                  <c:v>Sep 12, 2022</c:v>
                </c:pt>
                <c:pt idx="108">
                  <c:v>Sep 5, 2022</c:v>
                </c:pt>
                <c:pt idx="109">
                  <c:v>Aug 29, 2022</c:v>
                </c:pt>
                <c:pt idx="110">
                  <c:v>Aug 22, 2022</c:v>
                </c:pt>
                <c:pt idx="111">
                  <c:v>Aug 15, 2022</c:v>
                </c:pt>
                <c:pt idx="112">
                  <c:v>Aug 8, 2022</c:v>
                </c:pt>
                <c:pt idx="113">
                  <c:v>Aug 1, 2022</c:v>
                </c:pt>
                <c:pt idx="114">
                  <c:v>Jul 25, 2022</c:v>
                </c:pt>
                <c:pt idx="115">
                  <c:v>Jul 18, 2022</c:v>
                </c:pt>
                <c:pt idx="116">
                  <c:v>Jul 11, 2022</c:v>
                </c:pt>
                <c:pt idx="117">
                  <c:v>Jul 4, 2022</c:v>
                </c:pt>
                <c:pt idx="118">
                  <c:v>Jun 27, 2022</c:v>
                </c:pt>
                <c:pt idx="119">
                  <c:v>Jun 20, 2022</c:v>
                </c:pt>
                <c:pt idx="120">
                  <c:v>Jun 13, 2022</c:v>
                </c:pt>
                <c:pt idx="121">
                  <c:v>Jun 6, 2022</c:v>
                </c:pt>
                <c:pt idx="122">
                  <c:v>May 30, 2022</c:v>
                </c:pt>
                <c:pt idx="123">
                  <c:v>May 23, 2022</c:v>
                </c:pt>
                <c:pt idx="124">
                  <c:v>May 16, 2022</c:v>
                </c:pt>
                <c:pt idx="125">
                  <c:v>May 9, 2022</c:v>
                </c:pt>
                <c:pt idx="126">
                  <c:v>May 2, 2022</c:v>
                </c:pt>
                <c:pt idx="127">
                  <c:v>Apr 25, 2022</c:v>
                </c:pt>
                <c:pt idx="128">
                  <c:v>Apr 18, 2022</c:v>
                </c:pt>
                <c:pt idx="129">
                  <c:v>Apr 11, 2022</c:v>
                </c:pt>
                <c:pt idx="130">
                  <c:v>Apr 4, 2022</c:v>
                </c:pt>
                <c:pt idx="131">
                  <c:v>Mar 28, 2022</c:v>
                </c:pt>
                <c:pt idx="132">
                  <c:v>Mar 21, 2022</c:v>
                </c:pt>
                <c:pt idx="133">
                  <c:v>Mar 14, 2022</c:v>
                </c:pt>
                <c:pt idx="134">
                  <c:v>Mar 7, 2022</c:v>
                </c:pt>
                <c:pt idx="135">
                  <c:v>Feb 28, 2022</c:v>
                </c:pt>
                <c:pt idx="136">
                  <c:v>Feb 21, 2022</c:v>
                </c:pt>
                <c:pt idx="137">
                  <c:v>Feb 14, 2022</c:v>
                </c:pt>
                <c:pt idx="138">
                  <c:v>Feb 7, 2022</c:v>
                </c:pt>
                <c:pt idx="139">
                  <c:v>Jan 31, 2022</c:v>
                </c:pt>
                <c:pt idx="140">
                  <c:v>Jan 24, 2022</c:v>
                </c:pt>
                <c:pt idx="141">
                  <c:v>Jan 17, 2022</c:v>
                </c:pt>
                <c:pt idx="142">
                  <c:v>Jan 10, 2022</c:v>
                </c:pt>
                <c:pt idx="143">
                  <c:v>Jan 3, 2022</c:v>
                </c:pt>
                <c:pt idx="144">
                  <c:v>Dec 27, 2021</c:v>
                </c:pt>
                <c:pt idx="145">
                  <c:v>Dec 20, 2021</c:v>
                </c:pt>
                <c:pt idx="146">
                  <c:v>Dec 13, 2021</c:v>
                </c:pt>
                <c:pt idx="147">
                  <c:v>Dec 6, 2021</c:v>
                </c:pt>
                <c:pt idx="148">
                  <c:v>Nov 29, 2021</c:v>
                </c:pt>
                <c:pt idx="149">
                  <c:v>Nov 22, 2021</c:v>
                </c:pt>
                <c:pt idx="150">
                  <c:v>Nov 15, 2021</c:v>
                </c:pt>
                <c:pt idx="151">
                  <c:v>Nov 8, 2021</c:v>
                </c:pt>
                <c:pt idx="152">
                  <c:v>Nov 1, 2021</c:v>
                </c:pt>
                <c:pt idx="153">
                  <c:v>Oct 25, 2021</c:v>
                </c:pt>
                <c:pt idx="154">
                  <c:v>Oct 18, 2021</c:v>
                </c:pt>
                <c:pt idx="155">
                  <c:v>Oct 11, 2021</c:v>
                </c:pt>
                <c:pt idx="156">
                  <c:v>Oct 4, 2021</c:v>
                </c:pt>
                <c:pt idx="157">
                  <c:v>Sep 27, 2021</c:v>
                </c:pt>
                <c:pt idx="158">
                  <c:v>Sep 20, 2021</c:v>
                </c:pt>
                <c:pt idx="159">
                  <c:v>Sep 13, 2021</c:v>
                </c:pt>
                <c:pt idx="160">
                  <c:v>Sep 6, 2021</c:v>
                </c:pt>
                <c:pt idx="161">
                  <c:v>Aug 30, 2021</c:v>
                </c:pt>
                <c:pt idx="162">
                  <c:v>Aug 23, 2021</c:v>
                </c:pt>
                <c:pt idx="163">
                  <c:v>Aug 16, 2021</c:v>
                </c:pt>
                <c:pt idx="164">
                  <c:v>Aug 9, 2021</c:v>
                </c:pt>
                <c:pt idx="165">
                  <c:v>Aug 2, 2021</c:v>
                </c:pt>
                <c:pt idx="166">
                  <c:v>Jul 26, 2021</c:v>
                </c:pt>
                <c:pt idx="167">
                  <c:v>Jul 19, 2021</c:v>
                </c:pt>
                <c:pt idx="168">
                  <c:v>Jul 12, 2021</c:v>
                </c:pt>
                <c:pt idx="169">
                  <c:v>Jul 5, 2021</c:v>
                </c:pt>
                <c:pt idx="170">
                  <c:v>Jun 28, 2021</c:v>
                </c:pt>
                <c:pt idx="171">
                  <c:v>Jun 21, 2021</c:v>
                </c:pt>
                <c:pt idx="172">
                  <c:v>Jun 14, 2021</c:v>
                </c:pt>
                <c:pt idx="173">
                  <c:v>Jun 7, 2021</c:v>
                </c:pt>
                <c:pt idx="174">
                  <c:v>May 31, 2021</c:v>
                </c:pt>
                <c:pt idx="175">
                  <c:v>May 24, 2021</c:v>
                </c:pt>
                <c:pt idx="176">
                  <c:v>May 17, 2021</c:v>
                </c:pt>
                <c:pt idx="177">
                  <c:v>May 10, 2021</c:v>
                </c:pt>
                <c:pt idx="178">
                  <c:v>May 3, 2021</c:v>
                </c:pt>
                <c:pt idx="179">
                  <c:v>Apr 26, 2021</c:v>
                </c:pt>
                <c:pt idx="180">
                  <c:v>Apr 19, 2021</c:v>
                </c:pt>
                <c:pt idx="181">
                  <c:v>Apr 12, 2021</c:v>
                </c:pt>
                <c:pt idx="182">
                  <c:v>Apr 5, 2021</c:v>
                </c:pt>
                <c:pt idx="183">
                  <c:v>Mar 29, 2021</c:v>
                </c:pt>
                <c:pt idx="184">
                  <c:v>Mar 22, 2021</c:v>
                </c:pt>
                <c:pt idx="185">
                  <c:v>Mar 15, 2021</c:v>
                </c:pt>
                <c:pt idx="186">
                  <c:v>Mar 8, 2021</c:v>
                </c:pt>
                <c:pt idx="187">
                  <c:v>Mar 1, 2021</c:v>
                </c:pt>
                <c:pt idx="188">
                  <c:v>Feb 22, 2021</c:v>
                </c:pt>
                <c:pt idx="189">
                  <c:v>Feb 15, 2021</c:v>
                </c:pt>
                <c:pt idx="190">
                  <c:v>Feb 8, 2021</c:v>
                </c:pt>
                <c:pt idx="191">
                  <c:v>Feb 1, 2021</c:v>
                </c:pt>
                <c:pt idx="192">
                  <c:v>Jan 25, 2021</c:v>
                </c:pt>
                <c:pt idx="193">
                  <c:v>Jan 18, 2021</c:v>
                </c:pt>
                <c:pt idx="194">
                  <c:v>Jan 11, 2021</c:v>
                </c:pt>
                <c:pt idx="195">
                  <c:v>Jan 4, 2021</c:v>
                </c:pt>
                <c:pt idx="196">
                  <c:v>Dec 28, 2020</c:v>
                </c:pt>
                <c:pt idx="197">
                  <c:v>Dec 21, 2020</c:v>
                </c:pt>
                <c:pt idx="198">
                  <c:v>Dec 14, 2020</c:v>
                </c:pt>
                <c:pt idx="199">
                  <c:v>Dec 7, 2020</c:v>
                </c:pt>
                <c:pt idx="200">
                  <c:v>Nov 30, 2020</c:v>
                </c:pt>
                <c:pt idx="201">
                  <c:v>Nov 23, 2020</c:v>
                </c:pt>
                <c:pt idx="202">
                  <c:v>Nov 16, 2020</c:v>
                </c:pt>
                <c:pt idx="203">
                  <c:v>Nov 9, 2020</c:v>
                </c:pt>
                <c:pt idx="204">
                  <c:v>Nov 2, 2020</c:v>
                </c:pt>
                <c:pt idx="205">
                  <c:v>Oct 26, 2020</c:v>
                </c:pt>
                <c:pt idx="206">
                  <c:v>Oct 19, 2020</c:v>
                </c:pt>
                <c:pt idx="207">
                  <c:v>Oct 12, 2020</c:v>
                </c:pt>
                <c:pt idx="208">
                  <c:v>Oct 5, 2020</c:v>
                </c:pt>
                <c:pt idx="209">
                  <c:v>Sep 28, 2020</c:v>
                </c:pt>
                <c:pt idx="210">
                  <c:v>Sep 21, 2020</c:v>
                </c:pt>
                <c:pt idx="211">
                  <c:v>Sep 14, 2020</c:v>
                </c:pt>
                <c:pt idx="212">
                  <c:v>Sep 7, 2020</c:v>
                </c:pt>
                <c:pt idx="213">
                  <c:v>Aug 31, 2020</c:v>
                </c:pt>
                <c:pt idx="214">
                  <c:v>Aug 24, 2020</c:v>
                </c:pt>
                <c:pt idx="215">
                  <c:v>Aug 17, 2020</c:v>
                </c:pt>
                <c:pt idx="216">
                  <c:v>Aug 10, 2020</c:v>
                </c:pt>
                <c:pt idx="217">
                  <c:v>Aug 3, 2020</c:v>
                </c:pt>
                <c:pt idx="218">
                  <c:v>Jul 27, 2020</c:v>
                </c:pt>
                <c:pt idx="219">
                  <c:v>Jul 20, 2020</c:v>
                </c:pt>
                <c:pt idx="220">
                  <c:v>Jul 13, 2020</c:v>
                </c:pt>
                <c:pt idx="221">
                  <c:v>Jul 6, 2020</c:v>
                </c:pt>
                <c:pt idx="222">
                  <c:v>Jun 29, 2020</c:v>
                </c:pt>
                <c:pt idx="223">
                  <c:v>Jun 22, 2020</c:v>
                </c:pt>
                <c:pt idx="224">
                  <c:v>Jun 15, 2020</c:v>
                </c:pt>
                <c:pt idx="225">
                  <c:v>Jun 8, 2020</c:v>
                </c:pt>
                <c:pt idx="226">
                  <c:v>Jun 1, 2020</c:v>
                </c:pt>
                <c:pt idx="227">
                  <c:v>May 25, 2020</c:v>
                </c:pt>
                <c:pt idx="228">
                  <c:v>May 18, 2020</c:v>
                </c:pt>
                <c:pt idx="229">
                  <c:v>May 11, 2020</c:v>
                </c:pt>
                <c:pt idx="230">
                  <c:v>May 4, 2020</c:v>
                </c:pt>
                <c:pt idx="231">
                  <c:v>Apr 27, 2020</c:v>
                </c:pt>
                <c:pt idx="232">
                  <c:v>Apr 20, 2020</c:v>
                </c:pt>
                <c:pt idx="233">
                  <c:v>Apr 13, 2020</c:v>
                </c:pt>
                <c:pt idx="234">
                  <c:v>Apr 6, 2020</c:v>
                </c:pt>
                <c:pt idx="235">
                  <c:v>Mar 30, 2020</c:v>
                </c:pt>
                <c:pt idx="236">
                  <c:v>Mar 23, 2020</c:v>
                </c:pt>
                <c:pt idx="237">
                  <c:v>Mar 16, 2020</c:v>
                </c:pt>
                <c:pt idx="238">
                  <c:v>Mar 9, 2020</c:v>
                </c:pt>
                <c:pt idx="239">
                  <c:v>Mar 2, 2020</c:v>
                </c:pt>
                <c:pt idx="240">
                  <c:v>Feb 24, 2020</c:v>
                </c:pt>
                <c:pt idx="241">
                  <c:v>Feb 17, 2020</c:v>
                </c:pt>
                <c:pt idx="242">
                  <c:v>Feb 10, 2020</c:v>
                </c:pt>
                <c:pt idx="243">
                  <c:v>Feb 3, 2020</c:v>
                </c:pt>
                <c:pt idx="244">
                  <c:v>Jan 27, 2020</c:v>
                </c:pt>
                <c:pt idx="245">
                  <c:v>Jan 20, 2020</c:v>
                </c:pt>
                <c:pt idx="246">
                  <c:v>Jan 13, 2020</c:v>
                </c:pt>
                <c:pt idx="247">
                  <c:v>Jan 6, 2020</c:v>
                </c:pt>
                <c:pt idx="248">
                  <c:v>Dec 30, 2019</c:v>
                </c:pt>
                <c:pt idx="249">
                  <c:v>Dec 23, 2019</c:v>
                </c:pt>
                <c:pt idx="250">
                  <c:v>Dec 16, 2019</c:v>
                </c:pt>
                <c:pt idx="251">
                  <c:v>Dec 9, 2019</c:v>
                </c:pt>
                <c:pt idx="252">
                  <c:v>Dec 2, 2019</c:v>
                </c:pt>
                <c:pt idx="253">
                  <c:v>Nov 25, 2019</c:v>
                </c:pt>
                <c:pt idx="254">
                  <c:v>Nov 18, 2019</c:v>
                </c:pt>
                <c:pt idx="255">
                  <c:v>Nov 11, 2019</c:v>
                </c:pt>
                <c:pt idx="256">
                  <c:v>Nov 4, 2019</c:v>
                </c:pt>
                <c:pt idx="257">
                  <c:v>Oct 28, 2019</c:v>
                </c:pt>
                <c:pt idx="258">
                  <c:v>Oct 21, 2019</c:v>
                </c:pt>
                <c:pt idx="259">
                  <c:v>Oct 14, 2019</c:v>
                </c:pt>
                <c:pt idx="260">
                  <c:v>Oct 7, 2019</c:v>
                </c:pt>
                <c:pt idx="261">
                  <c:v>Sep 30, 2019</c:v>
                </c:pt>
              </c:strCache>
            </c:strRef>
          </c:cat>
          <c:val>
            <c:numRef>
              <c:f>Rough!$Q$5:$Q$266</c:f>
              <c:numCache>
                <c:formatCode>General</c:formatCode>
                <c:ptCount val="262"/>
                <c:pt idx="0">
                  <c:v>2475325</c:v>
                </c:pt>
                <c:pt idx="1">
                  <c:v>17868760</c:v>
                </c:pt>
                <c:pt idx="2">
                  <c:v>7632637</c:v>
                </c:pt>
                <c:pt idx="3">
                  <c:v>18256985</c:v>
                </c:pt>
                <c:pt idx="4">
                  <c:v>9667567</c:v>
                </c:pt>
                <c:pt idx="5">
                  <c:v>9894879</c:v>
                </c:pt>
                <c:pt idx="6">
                  <c:v>12691816</c:v>
                </c:pt>
                <c:pt idx="7">
                  <c:v>7102525</c:v>
                </c:pt>
                <c:pt idx="8">
                  <c:v>12623277</c:v>
                </c:pt>
                <c:pt idx="9">
                  <c:v>19007259</c:v>
                </c:pt>
                <c:pt idx="10">
                  <c:v>20203634</c:v>
                </c:pt>
                <c:pt idx="11">
                  <c:v>9390369</c:v>
                </c:pt>
                <c:pt idx="12">
                  <c:v>16046668</c:v>
                </c:pt>
                <c:pt idx="13">
                  <c:v>11331582</c:v>
                </c:pt>
                <c:pt idx="14">
                  <c:v>9912218</c:v>
                </c:pt>
                <c:pt idx="15">
                  <c:v>12762613</c:v>
                </c:pt>
                <c:pt idx="16">
                  <c:v>23377157</c:v>
                </c:pt>
                <c:pt idx="17">
                  <c:v>54891671</c:v>
                </c:pt>
                <c:pt idx="18">
                  <c:v>23003651</c:v>
                </c:pt>
                <c:pt idx="19">
                  <c:v>11439091</c:v>
                </c:pt>
                <c:pt idx="20">
                  <c:v>14023713</c:v>
                </c:pt>
                <c:pt idx="21">
                  <c:v>29806470</c:v>
                </c:pt>
                <c:pt idx="22">
                  <c:v>17566107</c:v>
                </c:pt>
                <c:pt idx="23">
                  <c:v>7363492</c:v>
                </c:pt>
                <c:pt idx="24">
                  <c:v>11316824</c:v>
                </c:pt>
                <c:pt idx="25">
                  <c:v>11964365</c:v>
                </c:pt>
                <c:pt idx="26">
                  <c:v>21259788</c:v>
                </c:pt>
                <c:pt idx="27">
                  <c:v>6912626</c:v>
                </c:pt>
                <c:pt idx="28">
                  <c:v>6289594</c:v>
                </c:pt>
                <c:pt idx="29">
                  <c:v>8421159</c:v>
                </c:pt>
                <c:pt idx="30">
                  <c:v>5472280</c:v>
                </c:pt>
                <c:pt idx="31">
                  <c:v>10048023</c:v>
                </c:pt>
                <c:pt idx="32">
                  <c:v>6472648</c:v>
                </c:pt>
                <c:pt idx="33">
                  <c:v>4854761</c:v>
                </c:pt>
                <c:pt idx="34">
                  <c:v>7724595</c:v>
                </c:pt>
                <c:pt idx="35">
                  <c:v>20831947</c:v>
                </c:pt>
                <c:pt idx="36">
                  <c:v>4095201</c:v>
                </c:pt>
                <c:pt idx="37">
                  <c:v>9113123</c:v>
                </c:pt>
                <c:pt idx="38">
                  <c:v>9137067</c:v>
                </c:pt>
                <c:pt idx="39">
                  <c:v>11252183</c:v>
                </c:pt>
                <c:pt idx="40">
                  <c:v>12597273</c:v>
                </c:pt>
                <c:pt idx="41">
                  <c:v>18562244</c:v>
                </c:pt>
                <c:pt idx="42">
                  <c:v>9059804</c:v>
                </c:pt>
                <c:pt idx="43">
                  <c:v>8507384</c:v>
                </c:pt>
                <c:pt idx="44">
                  <c:v>8819300</c:v>
                </c:pt>
                <c:pt idx="45">
                  <c:v>5212091</c:v>
                </c:pt>
                <c:pt idx="46">
                  <c:v>7503185</c:v>
                </c:pt>
                <c:pt idx="47">
                  <c:v>4807078</c:v>
                </c:pt>
                <c:pt idx="48">
                  <c:v>9367669</c:v>
                </c:pt>
                <c:pt idx="49">
                  <c:v>8077126</c:v>
                </c:pt>
                <c:pt idx="50">
                  <c:v>16792857</c:v>
                </c:pt>
                <c:pt idx="51">
                  <c:v>5442815</c:v>
                </c:pt>
                <c:pt idx="52">
                  <c:v>5592439</c:v>
                </c:pt>
                <c:pt idx="53">
                  <c:v>7112583</c:v>
                </c:pt>
                <c:pt idx="54">
                  <c:v>7063951</c:v>
                </c:pt>
                <c:pt idx="55">
                  <c:v>6446255</c:v>
                </c:pt>
                <c:pt idx="56">
                  <c:v>4620822</c:v>
                </c:pt>
                <c:pt idx="57">
                  <c:v>10630873</c:v>
                </c:pt>
                <c:pt idx="58">
                  <c:v>7646727</c:v>
                </c:pt>
                <c:pt idx="59">
                  <c:v>5223657</c:v>
                </c:pt>
                <c:pt idx="60">
                  <c:v>7585120</c:v>
                </c:pt>
                <c:pt idx="61">
                  <c:v>17309427</c:v>
                </c:pt>
                <c:pt idx="62">
                  <c:v>8095124</c:v>
                </c:pt>
                <c:pt idx="63">
                  <c:v>8371643</c:v>
                </c:pt>
                <c:pt idx="64">
                  <c:v>6527635</c:v>
                </c:pt>
                <c:pt idx="65">
                  <c:v>7838676</c:v>
                </c:pt>
                <c:pt idx="66">
                  <c:v>6915395</c:v>
                </c:pt>
                <c:pt idx="67">
                  <c:v>7166449</c:v>
                </c:pt>
                <c:pt idx="68">
                  <c:v>9498379</c:v>
                </c:pt>
                <c:pt idx="69">
                  <c:v>10771159</c:v>
                </c:pt>
                <c:pt idx="70">
                  <c:v>11696258</c:v>
                </c:pt>
                <c:pt idx="71">
                  <c:v>9592583</c:v>
                </c:pt>
                <c:pt idx="72">
                  <c:v>10690573</c:v>
                </c:pt>
                <c:pt idx="73">
                  <c:v>10408423</c:v>
                </c:pt>
                <c:pt idx="74">
                  <c:v>14618679</c:v>
                </c:pt>
                <c:pt idx="75">
                  <c:v>9248926</c:v>
                </c:pt>
                <c:pt idx="76">
                  <c:v>9517844</c:v>
                </c:pt>
                <c:pt idx="77">
                  <c:v>15867682</c:v>
                </c:pt>
                <c:pt idx="78">
                  <c:v>7940515</c:v>
                </c:pt>
                <c:pt idx="79">
                  <c:v>5658182</c:v>
                </c:pt>
                <c:pt idx="80">
                  <c:v>5868820</c:v>
                </c:pt>
                <c:pt idx="81">
                  <c:v>9040262</c:v>
                </c:pt>
                <c:pt idx="82">
                  <c:v>5020764</c:v>
                </c:pt>
                <c:pt idx="83">
                  <c:v>8030420</c:v>
                </c:pt>
                <c:pt idx="84">
                  <c:v>9024658</c:v>
                </c:pt>
                <c:pt idx="85">
                  <c:v>7550022</c:v>
                </c:pt>
                <c:pt idx="86">
                  <c:v>8191315</c:v>
                </c:pt>
                <c:pt idx="87">
                  <c:v>12541352</c:v>
                </c:pt>
                <c:pt idx="88">
                  <c:v>3543876</c:v>
                </c:pt>
                <c:pt idx="89">
                  <c:v>6719107</c:v>
                </c:pt>
                <c:pt idx="90">
                  <c:v>11160571</c:v>
                </c:pt>
                <c:pt idx="91">
                  <c:v>8123019</c:v>
                </c:pt>
                <c:pt idx="92">
                  <c:v>6408861</c:v>
                </c:pt>
                <c:pt idx="93">
                  <c:v>15378349</c:v>
                </c:pt>
                <c:pt idx="94">
                  <c:v>7916327</c:v>
                </c:pt>
                <c:pt idx="95">
                  <c:v>13439902</c:v>
                </c:pt>
                <c:pt idx="96">
                  <c:v>24995458</c:v>
                </c:pt>
                <c:pt idx="97">
                  <c:v>6283748</c:v>
                </c:pt>
                <c:pt idx="98">
                  <c:v>9802350</c:v>
                </c:pt>
                <c:pt idx="99">
                  <c:v>4436829</c:v>
                </c:pt>
                <c:pt idx="100">
                  <c:v>5235745</c:v>
                </c:pt>
                <c:pt idx="101">
                  <c:v>8506584</c:v>
                </c:pt>
                <c:pt idx="102">
                  <c:v>8193928</c:v>
                </c:pt>
                <c:pt idx="103">
                  <c:v>17020984</c:v>
                </c:pt>
                <c:pt idx="104">
                  <c:v>11033360</c:v>
                </c:pt>
                <c:pt idx="105">
                  <c:v>8636774</c:v>
                </c:pt>
                <c:pt idx="106">
                  <c:v>6942300</c:v>
                </c:pt>
                <c:pt idx="107">
                  <c:v>5703473</c:v>
                </c:pt>
                <c:pt idx="108">
                  <c:v>3553595</c:v>
                </c:pt>
                <c:pt idx="109">
                  <c:v>9098974</c:v>
                </c:pt>
                <c:pt idx="110">
                  <c:v>7827090</c:v>
                </c:pt>
                <c:pt idx="111">
                  <c:v>6839661</c:v>
                </c:pt>
                <c:pt idx="112">
                  <c:v>5259354</c:v>
                </c:pt>
                <c:pt idx="113">
                  <c:v>8221253</c:v>
                </c:pt>
                <c:pt idx="114">
                  <c:v>8217915</c:v>
                </c:pt>
                <c:pt idx="115">
                  <c:v>10139317</c:v>
                </c:pt>
                <c:pt idx="116">
                  <c:v>5263501</c:v>
                </c:pt>
                <c:pt idx="117">
                  <c:v>8751686</c:v>
                </c:pt>
                <c:pt idx="118">
                  <c:v>7132422</c:v>
                </c:pt>
                <c:pt idx="119">
                  <c:v>9372346</c:v>
                </c:pt>
                <c:pt idx="120">
                  <c:v>11310124</c:v>
                </c:pt>
                <c:pt idx="121">
                  <c:v>9133658</c:v>
                </c:pt>
                <c:pt idx="122">
                  <c:v>12709246</c:v>
                </c:pt>
                <c:pt idx="123">
                  <c:v>7875801</c:v>
                </c:pt>
                <c:pt idx="124">
                  <c:v>10185429</c:v>
                </c:pt>
                <c:pt idx="125">
                  <c:v>10469009</c:v>
                </c:pt>
                <c:pt idx="126">
                  <c:v>11837909</c:v>
                </c:pt>
                <c:pt idx="127">
                  <c:v>10477995</c:v>
                </c:pt>
                <c:pt idx="128">
                  <c:v>8997666</c:v>
                </c:pt>
                <c:pt idx="129">
                  <c:v>4250977</c:v>
                </c:pt>
                <c:pt idx="130">
                  <c:v>10156895</c:v>
                </c:pt>
                <c:pt idx="131">
                  <c:v>12250186</c:v>
                </c:pt>
                <c:pt idx="132">
                  <c:v>10911623</c:v>
                </c:pt>
                <c:pt idx="133">
                  <c:v>9449712</c:v>
                </c:pt>
                <c:pt idx="134">
                  <c:v>11188792</c:v>
                </c:pt>
                <c:pt idx="135">
                  <c:v>14135482</c:v>
                </c:pt>
                <c:pt idx="136">
                  <c:v>7884642</c:v>
                </c:pt>
                <c:pt idx="137">
                  <c:v>6264727</c:v>
                </c:pt>
                <c:pt idx="138">
                  <c:v>7780459</c:v>
                </c:pt>
                <c:pt idx="139">
                  <c:v>8917534</c:v>
                </c:pt>
                <c:pt idx="140">
                  <c:v>7889916</c:v>
                </c:pt>
                <c:pt idx="141">
                  <c:v>7171742</c:v>
                </c:pt>
                <c:pt idx="142">
                  <c:v>6346433</c:v>
                </c:pt>
                <c:pt idx="143">
                  <c:v>7965470</c:v>
                </c:pt>
                <c:pt idx="144">
                  <c:v>4262118</c:v>
                </c:pt>
                <c:pt idx="145">
                  <c:v>4231429</c:v>
                </c:pt>
                <c:pt idx="146">
                  <c:v>6492557</c:v>
                </c:pt>
                <c:pt idx="147">
                  <c:v>6524214</c:v>
                </c:pt>
                <c:pt idx="148">
                  <c:v>12785105</c:v>
                </c:pt>
                <c:pt idx="149">
                  <c:v>10824363</c:v>
                </c:pt>
                <c:pt idx="150">
                  <c:v>5323418</c:v>
                </c:pt>
                <c:pt idx="151">
                  <c:v>9442356</c:v>
                </c:pt>
                <c:pt idx="152">
                  <c:v>17547083</c:v>
                </c:pt>
                <c:pt idx="153">
                  <c:v>9750829</c:v>
                </c:pt>
                <c:pt idx="154">
                  <c:v>9106240</c:v>
                </c:pt>
                <c:pt idx="155">
                  <c:v>8449692</c:v>
                </c:pt>
                <c:pt idx="156">
                  <c:v>11977149</c:v>
                </c:pt>
                <c:pt idx="157">
                  <c:v>8470851</c:v>
                </c:pt>
                <c:pt idx="158">
                  <c:v>8364415</c:v>
                </c:pt>
                <c:pt idx="159">
                  <c:v>8982825</c:v>
                </c:pt>
                <c:pt idx="160">
                  <c:v>7336786</c:v>
                </c:pt>
                <c:pt idx="161">
                  <c:v>11487742</c:v>
                </c:pt>
                <c:pt idx="162">
                  <c:v>10288233</c:v>
                </c:pt>
                <c:pt idx="163">
                  <c:v>12286069</c:v>
                </c:pt>
                <c:pt idx="164">
                  <c:v>14446004</c:v>
                </c:pt>
                <c:pt idx="165">
                  <c:v>30445036</c:v>
                </c:pt>
                <c:pt idx="166">
                  <c:v>11183153</c:v>
                </c:pt>
                <c:pt idx="167">
                  <c:v>5690122</c:v>
                </c:pt>
                <c:pt idx="168">
                  <c:v>6725992</c:v>
                </c:pt>
                <c:pt idx="169">
                  <c:v>8412332</c:v>
                </c:pt>
                <c:pt idx="170">
                  <c:v>11779735</c:v>
                </c:pt>
                <c:pt idx="171">
                  <c:v>8645455</c:v>
                </c:pt>
                <c:pt idx="172">
                  <c:v>11050327</c:v>
                </c:pt>
                <c:pt idx="173">
                  <c:v>12118863</c:v>
                </c:pt>
                <c:pt idx="174">
                  <c:v>12739726</c:v>
                </c:pt>
                <c:pt idx="175">
                  <c:v>14444576</c:v>
                </c:pt>
                <c:pt idx="176">
                  <c:v>10631040</c:v>
                </c:pt>
                <c:pt idx="177">
                  <c:v>16139853</c:v>
                </c:pt>
                <c:pt idx="178">
                  <c:v>15554034</c:v>
                </c:pt>
                <c:pt idx="179">
                  <c:v>11956395</c:v>
                </c:pt>
                <c:pt idx="180">
                  <c:v>9151673</c:v>
                </c:pt>
                <c:pt idx="181">
                  <c:v>14255040</c:v>
                </c:pt>
                <c:pt idx="182">
                  <c:v>10508261</c:v>
                </c:pt>
                <c:pt idx="183">
                  <c:v>5028402</c:v>
                </c:pt>
                <c:pt idx="184">
                  <c:v>8036651</c:v>
                </c:pt>
                <c:pt idx="185">
                  <c:v>9978587</c:v>
                </c:pt>
                <c:pt idx="186">
                  <c:v>7025133</c:v>
                </c:pt>
                <c:pt idx="187">
                  <c:v>14403374</c:v>
                </c:pt>
                <c:pt idx="188">
                  <c:v>18489185</c:v>
                </c:pt>
                <c:pt idx="189">
                  <c:v>25396777</c:v>
                </c:pt>
                <c:pt idx="190">
                  <c:v>17529732</c:v>
                </c:pt>
                <c:pt idx="191">
                  <c:v>15255116</c:v>
                </c:pt>
                <c:pt idx="192">
                  <c:v>13671737</c:v>
                </c:pt>
                <c:pt idx="193">
                  <c:v>11410797</c:v>
                </c:pt>
                <c:pt idx="194">
                  <c:v>18423138</c:v>
                </c:pt>
                <c:pt idx="195">
                  <c:v>15495255</c:v>
                </c:pt>
                <c:pt idx="196">
                  <c:v>23886521</c:v>
                </c:pt>
                <c:pt idx="197">
                  <c:v>15829855</c:v>
                </c:pt>
                <c:pt idx="198">
                  <c:v>16645385</c:v>
                </c:pt>
                <c:pt idx="199">
                  <c:v>26424427</c:v>
                </c:pt>
                <c:pt idx="200">
                  <c:v>12156385</c:v>
                </c:pt>
                <c:pt idx="201">
                  <c:v>21682655</c:v>
                </c:pt>
                <c:pt idx="202">
                  <c:v>16805930</c:v>
                </c:pt>
                <c:pt idx="203">
                  <c:v>23815668</c:v>
                </c:pt>
                <c:pt idx="204">
                  <c:v>28205203</c:v>
                </c:pt>
                <c:pt idx="205">
                  <c:v>13271934</c:v>
                </c:pt>
                <c:pt idx="206">
                  <c:v>22370886</c:v>
                </c:pt>
                <c:pt idx="207">
                  <c:v>15018472</c:v>
                </c:pt>
                <c:pt idx="208">
                  <c:v>17917721</c:v>
                </c:pt>
                <c:pt idx="209">
                  <c:v>12562239</c:v>
                </c:pt>
                <c:pt idx="210">
                  <c:v>11894355</c:v>
                </c:pt>
                <c:pt idx="211">
                  <c:v>14809409</c:v>
                </c:pt>
                <c:pt idx="212">
                  <c:v>14728222</c:v>
                </c:pt>
                <c:pt idx="213">
                  <c:v>15539879</c:v>
                </c:pt>
                <c:pt idx="214">
                  <c:v>12555582</c:v>
                </c:pt>
                <c:pt idx="215">
                  <c:v>13099727</c:v>
                </c:pt>
                <c:pt idx="216">
                  <c:v>23224590</c:v>
                </c:pt>
                <c:pt idx="217">
                  <c:v>14185484</c:v>
                </c:pt>
                <c:pt idx="218">
                  <c:v>30627636</c:v>
                </c:pt>
                <c:pt idx="219">
                  <c:v>14403652</c:v>
                </c:pt>
                <c:pt idx="220">
                  <c:v>17579265</c:v>
                </c:pt>
                <c:pt idx="221">
                  <c:v>14007222</c:v>
                </c:pt>
                <c:pt idx="222">
                  <c:v>17160724</c:v>
                </c:pt>
                <c:pt idx="223">
                  <c:v>19101180</c:v>
                </c:pt>
                <c:pt idx="224">
                  <c:v>18596356</c:v>
                </c:pt>
                <c:pt idx="225">
                  <c:v>17601805</c:v>
                </c:pt>
                <c:pt idx="226">
                  <c:v>18471077</c:v>
                </c:pt>
                <c:pt idx="227">
                  <c:v>27682894</c:v>
                </c:pt>
                <c:pt idx="228">
                  <c:v>15492976</c:v>
                </c:pt>
                <c:pt idx="229">
                  <c:v>15319154</c:v>
                </c:pt>
                <c:pt idx="230">
                  <c:v>17626228</c:v>
                </c:pt>
                <c:pt idx="231">
                  <c:v>13291131</c:v>
                </c:pt>
                <c:pt idx="232">
                  <c:v>17254207</c:v>
                </c:pt>
                <c:pt idx="233">
                  <c:v>13981512</c:v>
                </c:pt>
                <c:pt idx="234">
                  <c:v>15542308</c:v>
                </c:pt>
                <c:pt idx="235">
                  <c:v>12868506</c:v>
                </c:pt>
                <c:pt idx="236">
                  <c:v>21496850</c:v>
                </c:pt>
                <c:pt idx="237">
                  <c:v>15612706</c:v>
                </c:pt>
                <c:pt idx="238">
                  <c:v>11959813</c:v>
                </c:pt>
                <c:pt idx="239">
                  <c:v>16873213</c:v>
                </c:pt>
                <c:pt idx="240">
                  <c:v>15760670</c:v>
                </c:pt>
                <c:pt idx="241">
                  <c:v>9555222</c:v>
                </c:pt>
                <c:pt idx="242">
                  <c:v>8006367</c:v>
                </c:pt>
                <c:pt idx="243">
                  <c:v>11715521</c:v>
                </c:pt>
                <c:pt idx="244">
                  <c:v>21844058</c:v>
                </c:pt>
                <c:pt idx="245">
                  <c:v>6698080</c:v>
                </c:pt>
                <c:pt idx="246">
                  <c:v>8935665</c:v>
                </c:pt>
                <c:pt idx="247">
                  <c:v>6522860</c:v>
                </c:pt>
                <c:pt idx="248">
                  <c:v>4892062</c:v>
                </c:pt>
                <c:pt idx="249">
                  <c:v>3913898</c:v>
                </c:pt>
                <c:pt idx="250">
                  <c:v>6046089</c:v>
                </c:pt>
                <c:pt idx="251">
                  <c:v>7562964</c:v>
                </c:pt>
                <c:pt idx="252">
                  <c:v>12996355</c:v>
                </c:pt>
                <c:pt idx="253">
                  <c:v>13773739</c:v>
                </c:pt>
                <c:pt idx="254">
                  <c:v>8806385</c:v>
                </c:pt>
                <c:pt idx="255">
                  <c:v>5022111</c:v>
                </c:pt>
                <c:pt idx="256">
                  <c:v>17439501</c:v>
                </c:pt>
                <c:pt idx="257">
                  <c:v>6635292</c:v>
                </c:pt>
                <c:pt idx="258">
                  <c:v>5645899</c:v>
                </c:pt>
                <c:pt idx="259">
                  <c:v>7746197</c:v>
                </c:pt>
                <c:pt idx="260">
                  <c:v>4451998</c:v>
                </c:pt>
                <c:pt idx="261">
                  <c:v>6146549</c:v>
                </c:pt>
              </c:numCache>
            </c:numRef>
          </c:val>
          <c:extLst>
            <c:ext xmlns:c16="http://schemas.microsoft.com/office/drawing/2014/chart" uri="{C3380CC4-5D6E-409C-BE32-E72D297353CC}">
              <c16:uniqueId val="{00000000-A834-4BAF-AEF5-BC43EB906535}"/>
            </c:ext>
          </c:extLst>
        </c:ser>
        <c:dLbls>
          <c:showLegendKey val="0"/>
          <c:showVal val="0"/>
          <c:showCatName val="0"/>
          <c:showSerName val="0"/>
          <c:showPercent val="0"/>
          <c:showBubbleSize val="0"/>
        </c:dLbls>
        <c:axId val="677715568"/>
        <c:axId val="677731888"/>
      </c:areaChart>
      <c:catAx>
        <c:axId val="677715568"/>
        <c:scaling>
          <c:orientation val="minMax"/>
        </c:scaling>
        <c:delete val="1"/>
        <c:axPos val="b"/>
        <c:numFmt formatCode="General" sourceLinked="1"/>
        <c:majorTickMark val="out"/>
        <c:minorTickMark val="none"/>
        <c:tickLblPos val="nextTo"/>
        <c:crossAx val="677731888"/>
        <c:crosses val="autoZero"/>
        <c:auto val="1"/>
        <c:lblAlgn val="ctr"/>
        <c:lblOffset val="100"/>
        <c:noMultiLvlLbl val="0"/>
      </c:catAx>
      <c:valAx>
        <c:axId val="677731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1556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320847512357487"/>
          <c:y val="7.4525540076721172E-2"/>
          <c:w val="0.61500120055970919"/>
          <c:h val="0.86154442670190701"/>
        </c:manualLayout>
      </c:layout>
      <c:barChart>
        <c:barDir val="bar"/>
        <c:grouping val="clustered"/>
        <c:varyColors val="0"/>
        <c:ser>
          <c:idx val="0"/>
          <c:order val="0"/>
          <c:spPr>
            <a:solidFill>
              <a:srgbClr val="038654"/>
            </a:solidFill>
            <a:ln>
              <a:noFill/>
            </a:ln>
            <a:effectLst/>
          </c:spPr>
          <c:invertIfNegative val="0"/>
          <c:dPt>
            <c:idx val="1"/>
            <c:invertIfNegative val="0"/>
            <c:bubble3D val="0"/>
            <c:spPr>
              <a:solidFill>
                <a:srgbClr val="399C73">
                  <a:alpha val="87000"/>
                </a:srgbClr>
              </a:solidFill>
              <a:ln>
                <a:noFill/>
              </a:ln>
              <a:effectLst/>
            </c:spPr>
            <c:extLst>
              <c:ext xmlns:c16="http://schemas.microsoft.com/office/drawing/2014/chart" uri="{C3380CC4-5D6E-409C-BE32-E72D297353CC}">
                <c16:uniqueId val="{00000000-C873-418E-A790-904756943138}"/>
              </c:ext>
            </c:extLst>
          </c:dPt>
          <c:dPt>
            <c:idx val="2"/>
            <c:invertIfNegative val="0"/>
            <c:bubble3D val="0"/>
            <c:spPr>
              <a:solidFill>
                <a:srgbClr val="7BC4AC"/>
              </a:solidFill>
              <a:ln>
                <a:noFill/>
              </a:ln>
              <a:effectLst/>
            </c:spPr>
            <c:extLst>
              <c:ext xmlns:c16="http://schemas.microsoft.com/office/drawing/2014/chart" uri="{C3380CC4-5D6E-409C-BE32-E72D297353CC}">
                <c16:uniqueId val="{00000001-C873-418E-A790-904756943138}"/>
              </c:ext>
            </c:extLst>
          </c:dPt>
          <c:dPt>
            <c:idx val="3"/>
            <c:invertIfNegative val="0"/>
            <c:bubble3D val="0"/>
            <c:spPr>
              <a:solidFill>
                <a:srgbClr val="A9FFA7"/>
              </a:solidFill>
              <a:ln>
                <a:noFill/>
              </a:ln>
              <a:effectLst/>
            </c:spPr>
            <c:extLst>
              <c:ext xmlns:c16="http://schemas.microsoft.com/office/drawing/2014/chart" uri="{C3380CC4-5D6E-409C-BE32-E72D297353CC}">
                <c16:uniqueId val="{00000002-C873-418E-A790-9047569431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Rough!$U$51:$U$54</c:f>
              <c:strCache>
                <c:ptCount val="4"/>
                <c:pt idx="0">
                  <c:v>Promoters</c:v>
                </c:pt>
                <c:pt idx="1">
                  <c:v>FII</c:v>
                </c:pt>
                <c:pt idx="2">
                  <c:v>DII</c:v>
                </c:pt>
                <c:pt idx="3">
                  <c:v>Public &amp; 
Government</c:v>
                </c:pt>
              </c:strCache>
            </c:strRef>
          </c:cat>
          <c:val>
            <c:numRef>
              <c:f>Rough!$V$51:$V$54</c:f>
              <c:numCache>
                <c:formatCode>0.00%</c:formatCode>
                <c:ptCount val="4"/>
                <c:pt idx="0">
                  <c:v>0.66249999999999998</c:v>
                </c:pt>
                <c:pt idx="1">
                  <c:v>0.14990000000000001</c:v>
                </c:pt>
                <c:pt idx="2">
                  <c:v>0.13450000000000001</c:v>
                </c:pt>
                <c:pt idx="3">
                  <c:v>5.33E-2</c:v>
                </c:pt>
              </c:numCache>
            </c:numRef>
          </c:val>
          <c:extLst>
            <c:ext xmlns:c16="http://schemas.microsoft.com/office/drawing/2014/chart" uri="{C3380CC4-5D6E-409C-BE32-E72D297353CC}">
              <c16:uniqueId val="{00000000-1E5E-4201-8537-0DEDEA791950}"/>
            </c:ext>
          </c:extLst>
        </c:ser>
        <c:dLbls>
          <c:showLegendKey val="0"/>
          <c:showVal val="0"/>
          <c:showCatName val="0"/>
          <c:showSerName val="0"/>
          <c:showPercent val="0"/>
          <c:showBubbleSize val="0"/>
        </c:dLbls>
        <c:gapWidth val="182"/>
        <c:axId val="692275216"/>
        <c:axId val="692275696"/>
      </c:barChart>
      <c:catAx>
        <c:axId val="69227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275696"/>
        <c:crosses val="autoZero"/>
        <c:auto val="1"/>
        <c:lblAlgn val="ctr"/>
        <c:lblOffset val="100"/>
        <c:noMultiLvlLbl val="0"/>
      </c:catAx>
      <c:valAx>
        <c:axId val="692275696"/>
        <c:scaling>
          <c:orientation val="minMax"/>
        </c:scaling>
        <c:delete val="1"/>
        <c:axPos val="b"/>
        <c:numFmt formatCode="0.00%" sourceLinked="1"/>
        <c:majorTickMark val="none"/>
        <c:minorTickMark val="none"/>
        <c:tickLblPos val="nextTo"/>
        <c:crossAx val="6922752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strRef>
              <c:f>Rough!$B$6:$B$267</c:f>
              <c:strCache>
                <c:ptCount val="262"/>
                <c:pt idx="0">
                  <c:v>Sep 30, 2024</c:v>
                </c:pt>
                <c:pt idx="1">
                  <c:v>Sep 23, 2024</c:v>
                </c:pt>
                <c:pt idx="2">
                  <c:v>Sep 16, 2024</c:v>
                </c:pt>
                <c:pt idx="3">
                  <c:v>Sep 9, 2024</c:v>
                </c:pt>
                <c:pt idx="4">
                  <c:v>Sep 2, 2024</c:v>
                </c:pt>
                <c:pt idx="5">
                  <c:v>Aug 26, 2024</c:v>
                </c:pt>
                <c:pt idx="6">
                  <c:v>Aug 19, 2024</c:v>
                </c:pt>
                <c:pt idx="7">
                  <c:v>Aug 12, 2024</c:v>
                </c:pt>
                <c:pt idx="8">
                  <c:v>Aug 5, 2024</c:v>
                </c:pt>
                <c:pt idx="9">
                  <c:v>Jul 29, 2024</c:v>
                </c:pt>
                <c:pt idx="10">
                  <c:v>Jul 22, 2024</c:v>
                </c:pt>
                <c:pt idx="11">
                  <c:v>Jul 15, 2024</c:v>
                </c:pt>
                <c:pt idx="12">
                  <c:v>Jul 8, 2024</c:v>
                </c:pt>
                <c:pt idx="13">
                  <c:v>Jul 1, 2024</c:v>
                </c:pt>
                <c:pt idx="14">
                  <c:v>Jun 24, 2024</c:v>
                </c:pt>
                <c:pt idx="15">
                  <c:v>Jun 17, 2024</c:v>
                </c:pt>
                <c:pt idx="16">
                  <c:v>Jun 10, 2024</c:v>
                </c:pt>
                <c:pt idx="17">
                  <c:v>Jun 3, 2024</c:v>
                </c:pt>
                <c:pt idx="18">
                  <c:v>May 27, 2024</c:v>
                </c:pt>
                <c:pt idx="19">
                  <c:v>May 20, 2024</c:v>
                </c:pt>
                <c:pt idx="20">
                  <c:v>May 13, 2024</c:v>
                </c:pt>
                <c:pt idx="21">
                  <c:v>May 6, 2024</c:v>
                </c:pt>
                <c:pt idx="22">
                  <c:v>Apr 29, 2024</c:v>
                </c:pt>
                <c:pt idx="23">
                  <c:v>Apr 22, 2024</c:v>
                </c:pt>
                <c:pt idx="24">
                  <c:v>Apr 15, 2024</c:v>
                </c:pt>
                <c:pt idx="25">
                  <c:v>Apr 8, 2024</c:v>
                </c:pt>
                <c:pt idx="26">
                  <c:v>Apr 1, 2024</c:v>
                </c:pt>
                <c:pt idx="27">
                  <c:v>Mar 25, 2024</c:v>
                </c:pt>
                <c:pt idx="28">
                  <c:v>Mar 18, 2024</c:v>
                </c:pt>
                <c:pt idx="29">
                  <c:v>Mar 11, 2024</c:v>
                </c:pt>
                <c:pt idx="30">
                  <c:v>Mar 4, 2024</c:v>
                </c:pt>
                <c:pt idx="31">
                  <c:v>Feb 26, 2024</c:v>
                </c:pt>
                <c:pt idx="32">
                  <c:v>Feb 19, 2024</c:v>
                </c:pt>
                <c:pt idx="33">
                  <c:v>Feb 12, 2024</c:v>
                </c:pt>
                <c:pt idx="34">
                  <c:v>Feb 5, 2024</c:v>
                </c:pt>
                <c:pt idx="35">
                  <c:v>Jan 29, 2024</c:v>
                </c:pt>
                <c:pt idx="36">
                  <c:v>Jan 22, 2024</c:v>
                </c:pt>
                <c:pt idx="37">
                  <c:v>Jan 15, 2024</c:v>
                </c:pt>
                <c:pt idx="38">
                  <c:v>Jan 8, 2024</c:v>
                </c:pt>
                <c:pt idx="39">
                  <c:v>Jan 1, 2024</c:v>
                </c:pt>
                <c:pt idx="40">
                  <c:v>Dec 25, 2023</c:v>
                </c:pt>
                <c:pt idx="41">
                  <c:v>Dec 18, 2023</c:v>
                </c:pt>
                <c:pt idx="42">
                  <c:v>Dec 11, 2023</c:v>
                </c:pt>
                <c:pt idx="43">
                  <c:v>Dec 4, 2023</c:v>
                </c:pt>
                <c:pt idx="44">
                  <c:v>Nov 27, 2023</c:v>
                </c:pt>
                <c:pt idx="45">
                  <c:v>Nov 20, 2023</c:v>
                </c:pt>
                <c:pt idx="46">
                  <c:v>Nov 13, 2023</c:v>
                </c:pt>
                <c:pt idx="47">
                  <c:v>Nov 6, 2023</c:v>
                </c:pt>
                <c:pt idx="48">
                  <c:v>Oct 30, 2023</c:v>
                </c:pt>
                <c:pt idx="49">
                  <c:v>Oct 23, 2023</c:v>
                </c:pt>
                <c:pt idx="50">
                  <c:v>Oct 16, 2023</c:v>
                </c:pt>
                <c:pt idx="51">
                  <c:v>Oct 9, 2023</c:v>
                </c:pt>
                <c:pt idx="52">
                  <c:v>Oct 2, 2023</c:v>
                </c:pt>
                <c:pt idx="53">
                  <c:v>Sep 25, 2023</c:v>
                </c:pt>
                <c:pt idx="54">
                  <c:v>Sep 18, 2023</c:v>
                </c:pt>
                <c:pt idx="55">
                  <c:v>Sep 11, 2023</c:v>
                </c:pt>
                <c:pt idx="56">
                  <c:v>Sep 4, 2023</c:v>
                </c:pt>
                <c:pt idx="57">
                  <c:v>Aug 28, 2023</c:v>
                </c:pt>
                <c:pt idx="58">
                  <c:v>Aug 21, 2023</c:v>
                </c:pt>
                <c:pt idx="59">
                  <c:v>Aug 14, 2023</c:v>
                </c:pt>
                <c:pt idx="60">
                  <c:v>Aug 7, 2023</c:v>
                </c:pt>
                <c:pt idx="61">
                  <c:v>Jul 31, 2023</c:v>
                </c:pt>
                <c:pt idx="62">
                  <c:v>Jul 24, 2023</c:v>
                </c:pt>
                <c:pt idx="63">
                  <c:v>Jul 17, 2023</c:v>
                </c:pt>
                <c:pt idx="64">
                  <c:v>Jul 10, 2023</c:v>
                </c:pt>
                <c:pt idx="65">
                  <c:v>Jul 3, 2023</c:v>
                </c:pt>
                <c:pt idx="66">
                  <c:v>Jun 26, 2023</c:v>
                </c:pt>
                <c:pt idx="67">
                  <c:v>Jun 19, 2023</c:v>
                </c:pt>
                <c:pt idx="68">
                  <c:v>Jun 12, 2023</c:v>
                </c:pt>
                <c:pt idx="69">
                  <c:v>Jun 5, 2023</c:v>
                </c:pt>
                <c:pt idx="70">
                  <c:v>May 29, 2023</c:v>
                </c:pt>
                <c:pt idx="71">
                  <c:v>May 22, 2023</c:v>
                </c:pt>
                <c:pt idx="72">
                  <c:v>May 15, 2023</c:v>
                </c:pt>
                <c:pt idx="73">
                  <c:v>May 8, 2023</c:v>
                </c:pt>
                <c:pt idx="74">
                  <c:v>May 1, 2023</c:v>
                </c:pt>
                <c:pt idx="75">
                  <c:v>Apr 24, 2023</c:v>
                </c:pt>
                <c:pt idx="76">
                  <c:v>Apr 17, 2023</c:v>
                </c:pt>
                <c:pt idx="77">
                  <c:v>Apr 10, 2023</c:v>
                </c:pt>
                <c:pt idx="78">
                  <c:v>Apr 3, 2023</c:v>
                </c:pt>
                <c:pt idx="79">
                  <c:v>Mar 27, 2023</c:v>
                </c:pt>
                <c:pt idx="80">
                  <c:v>Mar 20, 2023</c:v>
                </c:pt>
                <c:pt idx="81">
                  <c:v>Mar 13, 2023</c:v>
                </c:pt>
                <c:pt idx="82">
                  <c:v>Mar 6, 2023</c:v>
                </c:pt>
                <c:pt idx="83">
                  <c:v>Feb 27, 2023</c:v>
                </c:pt>
                <c:pt idx="84">
                  <c:v>Feb 20, 2023</c:v>
                </c:pt>
                <c:pt idx="85">
                  <c:v>Feb 13, 2023</c:v>
                </c:pt>
                <c:pt idx="86">
                  <c:v>Feb 6, 2023</c:v>
                </c:pt>
                <c:pt idx="87">
                  <c:v>Jan 30, 2023</c:v>
                </c:pt>
                <c:pt idx="88">
                  <c:v>Jan 23, 2023</c:v>
                </c:pt>
                <c:pt idx="89">
                  <c:v>Jan 16, 2023</c:v>
                </c:pt>
                <c:pt idx="90">
                  <c:v>Jan 9, 2023</c:v>
                </c:pt>
                <c:pt idx="91">
                  <c:v>Jan 2, 2023</c:v>
                </c:pt>
                <c:pt idx="92">
                  <c:v>Dec 26, 2022</c:v>
                </c:pt>
                <c:pt idx="93">
                  <c:v>Dec 19, 2022</c:v>
                </c:pt>
                <c:pt idx="94">
                  <c:v>Dec 12, 2022</c:v>
                </c:pt>
                <c:pt idx="95">
                  <c:v>Dec 5, 2022</c:v>
                </c:pt>
                <c:pt idx="96">
                  <c:v>Nov 28, 2022</c:v>
                </c:pt>
                <c:pt idx="97">
                  <c:v>Nov 21, 2022</c:v>
                </c:pt>
                <c:pt idx="98">
                  <c:v>Nov 14, 2022</c:v>
                </c:pt>
                <c:pt idx="99">
                  <c:v>Nov 7, 2022</c:v>
                </c:pt>
                <c:pt idx="100">
                  <c:v>Oct 31, 2022</c:v>
                </c:pt>
                <c:pt idx="101">
                  <c:v>Oct 24, 2022</c:v>
                </c:pt>
                <c:pt idx="102">
                  <c:v>Oct 17, 2022</c:v>
                </c:pt>
                <c:pt idx="103">
                  <c:v>Oct 10, 2022</c:v>
                </c:pt>
                <c:pt idx="104">
                  <c:v>Oct 3, 2022</c:v>
                </c:pt>
                <c:pt idx="105">
                  <c:v>Sep 26, 2022</c:v>
                </c:pt>
                <c:pt idx="106">
                  <c:v>Sep 19, 2022</c:v>
                </c:pt>
                <c:pt idx="107">
                  <c:v>Sep 12, 2022</c:v>
                </c:pt>
                <c:pt idx="108">
                  <c:v>Sep 5, 2022</c:v>
                </c:pt>
                <c:pt idx="109">
                  <c:v>Aug 29, 2022</c:v>
                </c:pt>
                <c:pt idx="110">
                  <c:v>Aug 22, 2022</c:v>
                </c:pt>
                <c:pt idx="111">
                  <c:v>Aug 15, 2022</c:v>
                </c:pt>
                <c:pt idx="112">
                  <c:v>Aug 8, 2022</c:v>
                </c:pt>
                <c:pt idx="113">
                  <c:v>Aug 1, 2022</c:v>
                </c:pt>
                <c:pt idx="114">
                  <c:v>Jul 25, 2022</c:v>
                </c:pt>
                <c:pt idx="115">
                  <c:v>Jul 18, 2022</c:v>
                </c:pt>
                <c:pt idx="116">
                  <c:v>Jul 11, 2022</c:v>
                </c:pt>
                <c:pt idx="117">
                  <c:v>Jul 4, 2022</c:v>
                </c:pt>
                <c:pt idx="118">
                  <c:v>Jun 27, 2022</c:v>
                </c:pt>
                <c:pt idx="119">
                  <c:v>Jun 20, 2022</c:v>
                </c:pt>
                <c:pt idx="120">
                  <c:v>Jun 13, 2022</c:v>
                </c:pt>
                <c:pt idx="121">
                  <c:v>Jun 6, 2022</c:v>
                </c:pt>
                <c:pt idx="122">
                  <c:v>May 30, 2022</c:v>
                </c:pt>
                <c:pt idx="123">
                  <c:v>May 23, 2022</c:v>
                </c:pt>
                <c:pt idx="124">
                  <c:v>May 16, 2022</c:v>
                </c:pt>
                <c:pt idx="125">
                  <c:v>May 9, 2022</c:v>
                </c:pt>
                <c:pt idx="126">
                  <c:v>May 2, 2022</c:v>
                </c:pt>
                <c:pt idx="127">
                  <c:v>Apr 25, 2022</c:v>
                </c:pt>
                <c:pt idx="128">
                  <c:v>Apr 18, 2022</c:v>
                </c:pt>
                <c:pt idx="129">
                  <c:v>Apr 11, 2022</c:v>
                </c:pt>
                <c:pt idx="130">
                  <c:v>Apr 4, 2022</c:v>
                </c:pt>
                <c:pt idx="131">
                  <c:v>Mar 28, 2022</c:v>
                </c:pt>
                <c:pt idx="132">
                  <c:v>Mar 21, 2022</c:v>
                </c:pt>
                <c:pt idx="133">
                  <c:v>Mar 14, 2022</c:v>
                </c:pt>
                <c:pt idx="134">
                  <c:v>Mar 7, 2022</c:v>
                </c:pt>
                <c:pt idx="135">
                  <c:v>Feb 28, 2022</c:v>
                </c:pt>
                <c:pt idx="136">
                  <c:v>Feb 21, 2022</c:v>
                </c:pt>
                <c:pt idx="137">
                  <c:v>Feb 14, 2022</c:v>
                </c:pt>
                <c:pt idx="138">
                  <c:v>Feb 7, 2022</c:v>
                </c:pt>
                <c:pt idx="139">
                  <c:v>Jan 31, 2022</c:v>
                </c:pt>
                <c:pt idx="140">
                  <c:v>Jan 24, 2022</c:v>
                </c:pt>
                <c:pt idx="141">
                  <c:v>Jan 17, 2022</c:v>
                </c:pt>
                <c:pt idx="142">
                  <c:v>Jan 10, 2022</c:v>
                </c:pt>
                <c:pt idx="143">
                  <c:v>Jan 3, 2022</c:v>
                </c:pt>
                <c:pt idx="144">
                  <c:v>Dec 27, 2021</c:v>
                </c:pt>
                <c:pt idx="145">
                  <c:v>Dec 20, 2021</c:v>
                </c:pt>
                <c:pt idx="146">
                  <c:v>Dec 13, 2021</c:v>
                </c:pt>
                <c:pt idx="147">
                  <c:v>Dec 6, 2021</c:v>
                </c:pt>
                <c:pt idx="148">
                  <c:v>Nov 29, 2021</c:v>
                </c:pt>
                <c:pt idx="149">
                  <c:v>Nov 22, 2021</c:v>
                </c:pt>
                <c:pt idx="150">
                  <c:v>Nov 15, 2021</c:v>
                </c:pt>
                <c:pt idx="151">
                  <c:v>Nov 8, 2021</c:v>
                </c:pt>
                <c:pt idx="152">
                  <c:v>Nov 1, 2021</c:v>
                </c:pt>
                <c:pt idx="153">
                  <c:v>Oct 25, 2021</c:v>
                </c:pt>
                <c:pt idx="154">
                  <c:v>Oct 18, 2021</c:v>
                </c:pt>
                <c:pt idx="155">
                  <c:v>Oct 11, 2021</c:v>
                </c:pt>
                <c:pt idx="156">
                  <c:v>Oct 4, 2021</c:v>
                </c:pt>
                <c:pt idx="157">
                  <c:v>Sep 27, 2021</c:v>
                </c:pt>
                <c:pt idx="158">
                  <c:v>Sep 20, 2021</c:v>
                </c:pt>
                <c:pt idx="159">
                  <c:v>Sep 13, 2021</c:v>
                </c:pt>
                <c:pt idx="160">
                  <c:v>Sep 6, 2021</c:v>
                </c:pt>
                <c:pt idx="161">
                  <c:v>Aug 30, 2021</c:v>
                </c:pt>
                <c:pt idx="162">
                  <c:v>Aug 23, 2021</c:v>
                </c:pt>
                <c:pt idx="163">
                  <c:v>Aug 16, 2021</c:v>
                </c:pt>
                <c:pt idx="164">
                  <c:v>Aug 9, 2021</c:v>
                </c:pt>
                <c:pt idx="165">
                  <c:v>Aug 2, 2021</c:v>
                </c:pt>
                <c:pt idx="166">
                  <c:v>Jul 26, 2021</c:v>
                </c:pt>
                <c:pt idx="167">
                  <c:v>Jul 19, 2021</c:v>
                </c:pt>
                <c:pt idx="168">
                  <c:v>Jul 12, 2021</c:v>
                </c:pt>
                <c:pt idx="169">
                  <c:v>Jul 5, 2021</c:v>
                </c:pt>
                <c:pt idx="170">
                  <c:v>Jun 28, 2021</c:v>
                </c:pt>
                <c:pt idx="171">
                  <c:v>Jun 21, 2021</c:v>
                </c:pt>
                <c:pt idx="172">
                  <c:v>Jun 14, 2021</c:v>
                </c:pt>
                <c:pt idx="173">
                  <c:v>Jun 7, 2021</c:v>
                </c:pt>
                <c:pt idx="174">
                  <c:v>May 31, 2021</c:v>
                </c:pt>
                <c:pt idx="175">
                  <c:v>May 24, 2021</c:v>
                </c:pt>
                <c:pt idx="176">
                  <c:v>May 17, 2021</c:v>
                </c:pt>
                <c:pt idx="177">
                  <c:v>May 10, 2021</c:v>
                </c:pt>
                <c:pt idx="178">
                  <c:v>May 3, 2021</c:v>
                </c:pt>
                <c:pt idx="179">
                  <c:v>Apr 26, 2021</c:v>
                </c:pt>
                <c:pt idx="180">
                  <c:v>Apr 19, 2021</c:v>
                </c:pt>
                <c:pt idx="181">
                  <c:v>Apr 12, 2021</c:v>
                </c:pt>
                <c:pt idx="182">
                  <c:v>Apr 5, 2021</c:v>
                </c:pt>
                <c:pt idx="183">
                  <c:v>Mar 29, 2021</c:v>
                </c:pt>
                <c:pt idx="184">
                  <c:v>Mar 22, 2021</c:v>
                </c:pt>
                <c:pt idx="185">
                  <c:v>Mar 15, 2021</c:v>
                </c:pt>
                <c:pt idx="186">
                  <c:v>Mar 8, 2021</c:v>
                </c:pt>
                <c:pt idx="187">
                  <c:v>Mar 1, 2021</c:v>
                </c:pt>
                <c:pt idx="188">
                  <c:v>Feb 22, 2021</c:v>
                </c:pt>
                <c:pt idx="189">
                  <c:v>Feb 15, 2021</c:v>
                </c:pt>
                <c:pt idx="190">
                  <c:v>Feb 8, 2021</c:v>
                </c:pt>
                <c:pt idx="191">
                  <c:v>Feb 1, 2021</c:v>
                </c:pt>
                <c:pt idx="192">
                  <c:v>Jan 25, 2021</c:v>
                </c:pt>
                <c:pt idx="193">
                  <c:v>Jan 18, 2021</c:v>
                </c:pt>
                <c:pt idx="194">
                  <c:v>Jan 11, 2021</c:v>
                </c:pt>
                <c:pt idx="195">
                  <c:v>Jan 4, 2021</c:v>
                </c:pt>
                <c:pt idx="196">
                  <c:v>Dec 28, 2020</c:v>
                </c:pt>
                <c:pt idx="197">
                  <c:v>Dec 21, 2020</c:v>
                </c:pt>
                <c:pt idx="198">
                  <c:v>Dec 14, 2020</c:v>
                </c:pt>
                <c:pt idx="199">
                  <c:v>Dec 7, 2020</c:v>
                </c:pt>
                <c:pt idx="200">
                  <c:v>Nov 30, 2020</c:v>
                </c:pt>
                <c:pt idx="201">
                  <c:v>Nov 23, 2020</c:v>
                </c:pt>
                <c:pt idx="202">
                  <c:v>Nov 16, 2020</c:v>
                </c:pt>
                <c:pt idx="203">
                  <c:v>Nov 9, 2020</c:v>
                </c:pt>
                <c:pt idx="204">
                  <c:v>Nov 2, 2020</c:v>
                </c:pt>
                <c:pt idx="205">
                  <c:v>Oct 26, 2020</c:v>
                </c:pt>
                <c:pt idx="206">
                  <c:v>Oct 19, 2020</c:v>
                </c:pt>
                <c:pt idx="207">
                  <c:v>Oct 12, 2020</c:v>
                </c:pt>
                <c:pt idx="208">
                  <c:v>Oct 5, 2020</c:v>
                </c:pt>
                <c:pt idx="209">
                  <c:v>Sep 28, 2020</c:v>
                </c:pt>
                <c:pt idx="210">
                  <c:v>Sep 21, 2020</c:v>
                </c:pt>
                <c:pt idx="211">
                  <c:v>Sep 14, 2020</c:v>
                </c:pt>
                <c:pt idx="212">
                  <c:v>Sep 7, 2020</c:v>
                </c:pt>
                <c:pt idx="213">
                  <c:v>Aug 31, 2020</c:v>
                </c:pt>
                <c:pt idx="214">
                  <c:v>Aug 24, 2020</c:v>
                </c:pt>
                <c:pt idx="215">
                  <c:v>Aug 17, 2020</c:v>
                </c:pt>
                <c:pt idx="216">
                  <c:v>Aug 10, 2020</c:v>
                </c:pt>
                <c:pt idx="217">
                  <c:v>Aug 3, 2020</c:v>
                </c:pt>
                <c:pt idx="218">
                  <c:v>Jul 27, 2020</c:v>
                </c:pt>
                <c:pt idx="219">
                  <c:v>Jul 20, 2020</c:v>
                </c:pt>
                <c:pt idx="220">
                  <c:v>Jul 13, 2020</c:v>
                </c:pt>
                <c:pt idx="221">
                  <c:v>Jul 6, 2020</c:v>
                </c:pt>
                <c:pt idx="222">
                  <c:v>Jun 29, 2020</c:v>
                </c:pt>
                <c:pt idx="223">
                  <c:v>Jun 22, 2020</c:v>
                </c:pt>
                <c:pt idx="224">
                  <c:v>Jun 15, 2020</c:v>
                </c:pt>
                <c:pt idx="225">
                  <c:v>Jun 8, 2020</c:v>
                </c:pt>
                <c:pt idx="226">
                  <c:v>Jun 1, 2020</c:v>
                </c:pt>
                <c:pt idx="227">
                  <c:v>May 25, 2020</c:v>
                </c:pt>
                <c:pt idx="228">
                  <c:v>May 18, 2020</c:v>
                </c:pt>
                <c:pt idx="229">
                  <c:v>May 11, 2020</c:v>
                </c:pt>
                <c:pt idx="230">
                  <c:v>May 4, 2020</c:v>
                </c:pt>
                <c:pt idx="231">
                  <c:v>Apr 27, 2020</c:v>
                </c:pt>
                <c:pt idx="232">
                  <c:v>Apr 20, 2020</c:v>
                </c:pt>
                <c:pt idx="233">
                  <c:v>Apr 13, 2020</c:v>
                </c:pt>
                <c:pt idx="234">
                  <c:v>Apr 6, 2020</c:v>
                </c:pt>
                <c:pt idx="235">
                  <c:v>Mar 30, 2020</c:v>
                </c:pt>
                <c:pt idx="236">
                  <c:v>Mar 23, 2020</c:v>
                </c:pt>
                <c:pt idx="237">
                  <c:v>Mar 16, 2020</c:v>
                </c:pt>
                <c:pt idx="238">
                  <c:v>Mar 9, 2020</c:v>
                </c:pt>
                <c:pt idx="239">
                  <c:v>Mar 2, 2020</c:v>
                </c:pt>
                <c:pt idx="240">
                  <c:v>Feb 24, 2020</c:v>
                </c:pt>
                <c:pt idx="241">
                  <c:v>Feb 17, 2020</c:v>
                </c:pt>
                <c:pt idx="242">
                  <c:v>Feb 10, 2020</c:v>
                </c:pt>
                <c:pt idx="243">
                  <c:v>Feb 3, 2020</c:v>
                </c:pt>
                <c:pt idx="244">
                  <c:v>Jan 27, 2020</c:v>
                </c:pt>
                <c:pt idx="245">
                  <c:v>Jan 20, 2020</c:v>
                </c:pt>
                <c:pt idx="246">
                  <c:v>Jan 13, 2020</c:v>
                </c:pt>
                <c:pt idx="247">
                  <c:v>Jan 6, 2020</c:v>
                </c:pt>
                <c:pt idx="248">
                  <c:v>Dec 30, 2019</c:v>
                </c:pt>
                <c:pt idx="249">
                  <c:v>Dec 23, 2019</c:v>
                </c:pt>
                <c:pt idx="250">
                  <c:v>Dec 16, 2019</c:v>
                </c:pt>
                <c:pt idx="251">
                  <c:v>Dec 9, 2019</c:v>
                </c:pt>
                <c:pt idx="252">
                  <c:v>Dec 2, 2019</c:v>
                </c:pt>
                <c:pt idx="253">
                  <c:v>Nov 25, 2019</c:v>
                </c:pt>
                <c:pt idx="254">
                  <c:v>Nov 18, 2019</c:v>
                </c:pt>
                <c:pt idx="255">
                  <c:v>Nov 11, 2019</c:v>
                </c:pt>
                <c:pt idx="256">
                  <c:v>Nov 4, 2019</c:v>
                </c:pt>
                <c:pt idx="257">
                  <c:v>Oct 28, 2019</c:v>
                </c:pt>
                <c:pt idx="258">
                  <c:v>Oct 21, 2019</c:v>
                </c:pt>
                <c:pt idx="259">
                  <c:v>Oct 14, 2019</c:v>
                </c:pt>
                <c:pt idx="260">
                  <c:v>Oct 7, 2019</c:v>
                </c:pt>
                <c:pt idx="261">
                  <c:v>Sep 30, 2019</c:v>
                </c:pt>
              </c:strCache>
            </c:strRef>
          </c:cat>
          <c:val>
            <c:numRef>
              <c:f>Rough!$C$6:$C$267</c:f>
              <c:numCache>
                <c:formatCode>0.00</c:formatCode>
                <c:ptCount val="262"/>
                <c:pt idx="0">
                  <c:v>625.20000000000005</c:v>
                </c:pt>
                <c:pt idx="1">
                  <c:v>633</c:v>
                </c:pt>
                <c:pt idx="2">
                  <c:v>667.55</c:v>
                </c:pt>
                <c:pt idx="3">
                  <c:v>660.9</c:v>
                </c:pt>
                <c:pt idx="4">
                  <c:v>644.4</c:v>
                </c:pt>
                <c:pt idx="5">
                  <c:v>637.15</c:v>
                </c:pt>
                <c:pt idx="6">
                  <c:v>643.25</c:v>
                </c:pt>
                <c:pt idx="7">
                  <c:v>617.6</c:v>
                </c:pt>
                <c:pt idx="8">
                  <c:v>623.95000000000005</c:v>
                </c:pt>
                <c:pt idx="9">
                  <c:v>627.54999999999995</c:v>
                </c:pt>
                <c:pt idx="10">
                  <c:v>632.45000000000005</c:v>
                </c:pt>
                <c:pt idx="11">
                  <c:v>630.20000000000005</c:v>
                </c:pt>
                <c:pt idx="12">
                  <c:v>627.30999999999995</c:v>
                </c:pt>
                <c:pt idx="13">
                  <c:v>603.86</c:v>
                </c:pt>
                <c:pt idx="14">
                  <c:v>598.14</c:v>
                </c:pt>
                <c:pt idx="15">
                  <c:v>587.42999999999995</c:v>
                </c:pt>
                <c:pt idx="16">
                  <c:v>606.04999999999995</c:v>
                </c:pt>
                <c:pt idx="17">
                  <c:v>610.49</c:v>
                </c:pt>
                <c:pt idx="18">
                  <c:v>542.78</c:v>
                </c:pt>
                <c:pt idx="19">
                  <c:v>555.72</c:v>
                </c:pt>
                <c:pt idx="20">
                  <c:v>537.70000000000005</c:v>
                </c:pt>
                <c:pt idx="21">
                  <c:v>548.45000000000005</c:v>
                </c:pt>
                <c:pt idx="22">
                  <c:v>529.48</c:v>
                </c:pt>
                <c:pt idx="23">
                  <c:v>506.83</c:v>
                </c:pt>
                <c:pt idx="24">
                  <c:v>502.05</c:v>
                </c:pt>
                <c:pt idx="25">
                  <c:v>498.47</c:v>
                </c:pt>
                <c:pt idx="26">
                  <c:v>505.73</c:v>
                </c:pt>
                <c:pt idx="27">
                  <c:v>520.91999999999996</c:v>
                </c:pt>
                <c:pt idx="28">
                  <c:v>518.58000000000004</c:v>
                </c:pt>
                <c:pt idx="29">
                  <c:v>524.29999999999995</c:v>
                </c:pt>
                <c:pt idx="30">
                  <c:v>532.97</c:v>
                </c:pt>
                <c:pt idx="31">
                  <c:v>538.79</c:v>
                </c:pt>
                <c:pt idx="32">
                  <c:v>533.02</c:v>
                </c:pt>
                <c:pt idx="33">
                  <c:v>542.17999999999995</c:v>
                </c:pt>
                <c:pt idx="34">
                  <c:v>536.9</c:v>
                </c:pt>
                <c:pt idx="35">
                  <c:v>542.33000000000004</c:v>
                </c:pt>
                <c:pt idx="36">
                  <c:v>529.33000000000004</c:v>
                </c:pt>
                <c:pt idx="37">
                  <c:v>539.99</c:v>
                </c:pt>
                <c:pt idx="38">
                  <c:v>547.36</c:v>
                </c:pt>
                <c:pt idx="39">
                  <c:v>566.62</c:v>
                </c:pt>
                <c:pt idx="40">
                  <c:v>554.82000000000005</c:v>
                </c:pt>
                <c:pt idx="41">
                  <c:v>527.04</c:v>
                </c:pt>
                <c:pt idx="42">
                  <c:v>537.4</c:v>
                </c:pt>
                <c:pt idx="43">
                  <c:v>545.16999999999996</c:v>
                </c:pt>
                <c:pt idx="44">
                  <c:v>538.84</c:v>
                </c:pt>
                <c:pt idx="45">
                  <c:v>535.05999999999995</c:v>
                </c:pt>
                <c:pt idx="46">
                  <c:v>538.39</c:v>
                </c:pt>
                <c:pt idx="47">
                  <c:v>528.34</c:v>
                </c:pt>
                <c:pt idx="48">
                  <c:v>530.47</c:v>
                </c:pt>
                <c:pt idx="49">
                  <c:v>519.63</c:v>
                </c:pt>
                <c:pt idx="50">
                  <c:v>519.88</c:v>
                </c:pt>
                <c:pt idx="51">
                  <c:v>533.79</c:v>
                </c:pt>
                <c:pt idx="52">
                  <c:v>542.02</c:v>
                </c:pt>
                <c:pt idx="53">
                  <c:v>546.41999999999996</c:v>
                </c:pt>
                <c:pt idx="54">
                  <c:v>556.03</c:v>
                </c:pt>
                <c:pt idx="55">
                  <c:v>560.19000000000005</c:v>
                </c:pt>
                <c:pt idx="56">
                  <c:v>561.78</c:v>
                </c:pt>
                <c:pt idx="57">
                  <c:v>548.16</c:v>
                </c:pt>
                <c:pt idx="58">
                  <c:v>552.80999999999995</c:v>
                </c:pt>
                <c:pt idx="59">
                  <c:v>560.19000000000005</c:v>
                </c:pt>
                <c:pt idx="60">
                  <c:v>557.87</c:v>
                </c:pt>
                <c:pt idx="61">
                  <c:v>564.35</c:v>
                </c:pt>
                <c:pt idx="62">
                  <c:v>576.24</c:v>
                </c:pt>
                <c:pt idx="63">
                  <c:v>557.28</c:v>
                </c:pt>
                <c:pt idx="64">
                  <c:v>578.28</c:v>
                </c:pt>
                <c:pt idx="65">
                  <c:v>564.17999999999995</c:v>
                </c:pt>
                <c:pt idx="66">
                  <c:v>564.91999999999996</c:v>
                </c:pt>
                <c:pt idx="67">
                  <c:v>555.46</c:v>
                </c:pt>
                <c:pt idx="68">
                  <c:v>562.9</c:v>
                </c:pt>
                <c:pt idx="69">
                  <c:v>542.25</c:v>
                </c:pt>
                <c:pt idx="70">
                  <c:v>549.39</c:v>
                </c:pt>
                <c:pt idx="71">
                  <c:v>534.51</c:v>
                </c:pt>
                <c:pt idx="72">
                  <c:v>511.83</c:v>
                </c:pt>
                <c:pt idx="73">
                  <c:v>511.09</c:v>
                </c:pt>
                <c:pt idx="74">
                  <c:v>497.93</c:v>
                </c:pt>
                <c:pt idx="75">
                  <c:v>525.44000000000005</c:v>
                </c:pt>
                <c:pt idx="76">
                  <c:v>517.79</c:v>
                </c:pt>
                <c:pt idx="77">
                  <c:v>519.77</c:v>
                </c:pt>
                <c:pt idx="78">
                  <c:v>518.53</c:v>
                </c:pt>
                <c:pt idx="79">
                  <c:v>537.27</c:v>
                </c:pt>
                <c:pt idx="80">
                  <c:v>528.89</c:v>
                </c:pt>
                <c:pt idx="81">
                  <c:v>528.64</c:v>
                </c:pt>
                <c:pt idx="82">
                  <c:v>522.53</c:v>
                </c:pt>
                <c:pt idx="83">
                  <c:v>527.30999999999995</c:v>
                </c:pt>
                <c:pt idx="84">
                  <c:v>527.41</c:v>
                </c:pt>
                <c:pt idx="85">
                  <c:v>527.01</c:v>
                </c:pt>
                <c:pt idx="86">
                  <c:v>524.94000000000005</c:v>
                </c:pt>
                <c:pt idx="87">
                  <c:v>526.22</c:v>
                </c:pt>
                <c:pt idx="88">
                  <c:v>554.17999999999995</c:v>
                </c:pt>
                <c:pt idx="89">
                  <c:v>558.07000000000005</c:v>
                </c:pt>
                <c:pt idx="90">
                  <c:v>536.08000000000004</c:v>
                </c:pt>
                <c:pt idx="91">
                  <c:v>545.11</c:v>
                </c:pt>
                <c:pt idx="92">
                  <c:v>553.59</c:v>
                </c:pt>
                <c:pt idx="93">
                  <c:v>557.91999999999996</c:v>
                </c:pt>
                <c:pt idx="94">
                  <c:v>571.63</c:v>
                </c:pt>
                <c:pt idx="95">
                  <c:v>590.36</c:v>
                </c:pt>
                <c:pt idx="96">
                  <c:v>582.87</c:v>
                </c:pt>
                <c:pt idx="97">
                  <c:v>548.75</c:v>
                </c:pt>
                <c:pt idx="98">
                  <c:v>540.82000000000005</c:v>
                </c:pt>
                <c:pt idx="99">
                  <c:v>545.35</c:v>
                </c:pt>
                <c:pt idx="100">
                  <c:v>547.25</c:v>
                </c:pt>
                <c:pt idx="101">
                  <c:v>540.91999999999996</c:v>
                </c:pt>
                <c:pt idx="102">
                  <c:v>528.05999999999995</c:v>
                </c:pt>
                <c:pt idx="103">
                  <c:v>521.58000000000004</c:v>
                </c:pt>
                <c:pt idx="104">
                  <c:v>530.22</c:v>
                </c:pt>
                <c:pt idx="105">
                  <c:v>562.41</c:v>
                </c:pt>
                <c:pt idx="106">
                  <c:v>558.09</c:v>
                </c:pt>
                <c:pt idx="107">
                  <c:v>536.35</c:v>
                </c:pt>
                <c:pt idx="108">
                  <c:v>564.33000000000004</c:v>
                </c:pt>
                <c:pt idx="109">
                  <c:v>560.20000000000005</c:v>
                </c:pt>
                <c:pt idx="110">
                  <c:v>561.48</c:v>
                </c:pt>
                <c:pt idx="111">
                  <c:v>576.4</c:v>
                </c:pt>
                <c:pt idx="112">
                  <c:v>570.9</c:v>
                </c:pt>
                <c:pt idx="113">
                  <c:v>568.5</c:v>
                </c:pt>
                <c:pt idx="114">
                  <c:v>573.36</c:v>
                </c:pt>
                <c:pt idx="115">
                  <c:v>562.96</c:v>
                </c:pt>
                <c:pt idx="116">
                  <c:v>535.66</c:v>
                </c:pt>
                <c:pt idx="117">
                  <c:v>531.30999999999995</c:v>
                </c:pt>
                <c:pt idx="118">
                  <c:v>499.42</c:v>
                </c:pt>
                <c:pt idx="119">
                  <c:v>497.95</c:v>
                </c:pt>
                <c:pt idx="120">
                  <c:v>473.39</c:v>
                </c:pt>
                <c:pt idx="121">
                  <c:v>490.63</c:v>
                </c:pt>
                <c:pt idx="122">
                  <c:v>502.06</c:v>
                </c:pt>
                <c:pt idx="123">
                  <c:v>486.18</c:v>
                </c:pt>
                <c:pt idx="124">
                  <c:v>491.7</c:v>
                </c:pt>
                <c:pt idx="125">
                  <c:v>489.21</c:v>
                </c:pt>
                <c:pt idx="126">
                  <c:v>498.98</c:v>
                </c:pt>
                <c:pt idx="127">
                  <c:v>543.82000000000005</c:v>
                </c:pt>
                <c:pt idx="128">
                  <c:v>546.9</c:v>
                </c:pt>
                <c:pt idx="129">
                  <c:v>543.04</c:v>
                </c:pt>
                <c:pt idx="130">
                  <c:v>544.05999999999995</c:v>
                </c:pt>
                <c:pt idx="131">
                  <c:v>529.9</c:v>
                </c:pt>
                <c:pt idx="132">
                  <c:v>507.77</c:v>
                </c:pt>
                <c:pt idx="133">
                  <c:v>547.29</c:v>
                </c:pt>
                <c:pt idx="134">
                  <c:v>534.88</c:v>
                </c:pt>
                <c:pt idx="135">
                  <c:v>526.58000000000004</c:v>
                </c:pt>
                <c:pt idx="136">
                  <c:v>532.24</c:v>
                </c:pt>
                <c:pt idx="137">
                  <c:v>535.12</c:v>
                </c:pt>
                <c:pt idx="138">
                  <c:v>547.87</c:v>
                </c:pt>
                <c:pt idx="139">
                  <c:v>555.83000000000004</c:v>
                </c:pt>
                <c:pt idx="140">
                  <c:v>521.59</c:v>
                </c:pt>
                <c:pt idx="141">
                  <c:v>538.79</c:v>
                </c:pt>
                <c:pt idx="142">
                  <c:v>562.48</c:v>
                </c:pt>
                <c:pt idx="143">
                  <c:v>573.91</c:v>
                </c:pt>
                <c:pt idx="144">
                  <c:v>566.63</c:v>
                </c:pt>
                <c:pt idx="145">
                  <c:v>550.66</c:v>
                </c:pt>
                <c:pt idx="146">
                  <c:v>551.67999999999995</c:v>
                </c:pt>
                <c:pt idx="147">
                  <c:v>564.42999999999995</c:v>
                </c:pt>
                <c:pt idx="148">
                  <c:v>567.9</c:v>
                </c:pt>
                <c:pt idx="149">
                  <c:v>588.07000000000005</c:v>
                </c:pt>
                <c:pt idx="150">
                  <c:v>594.66</c:v>
                </c:pt>
                <c:pt idx="151">
                  <c:v>586.08000000000004</c:v>
                </c:pt>
                <c:pt idx="152">
                  <c:v>595.9</c:v>
                </c:pt>
                <c:pt idx="153">
                  <c:v>569.92999999999995</c:v>
                </c:pt>
                <c:pt idx="154">
                  <c:v>574.70000000000005</c:v>
                </c:pt>
                <c:pt idx="155">
                  <c:v>598.48</c:v>
                </c:pt>
                <c:pt idx="156">
                  <c:v>590.51</c:v>
                </c:pt>
                <c:pt idx="157">
                  <c:v>601.16</c:v>
                </c:pt>
                <c:pt idx="158">
                  <c:v>634.17999999999995</c:v>
                </c:pt>
                <c:pt idx="159">
                  <c:v>636.17999999999995</c:v>
                </c:pt>
                <c:pt idx="160">
                  <c:v>620.95000000000005</c:v>
                </c:pt>
                <c:pt idx="161">
                  <c:v>623.82000000000005</c:v>
                </c:pt>
                <c:pt idx="162">
                  <c:v>592.21</c:v>
                </c:pt>
                <c:pt idx="163">
                  <c:v>595.08000000000004</c:v>
                </c:pt>
                <c:pt idx="164">
                  <c:v>572.30999999999995</c:v>
                </c:pt>
                <c:pt idx="165">
                  <c:v>569.29999999999995</c:v>
                </c:pt>
                <c:pt idx="166">
                  <c:v>581.41</c:v>
                </c:pt>
                <c:pt idx="167">
                  <c:v>571.19000000000005</c:v>
                </c:pt>
                <c:pt idx="168">
                  <c:v>561.66</c:v>
                </c:pt>
                <c:pt idx="169">
                  <c:v>576.47</c:v>
                </c:pt>
                <c:pt idx="170">
                  <c:v>571.48</c:v>
                </c:pt>
                <c:pt idx="171">
                  <c:v>546.32000000000005</c:v>
                </c:pt>
                <c:pt idx="172">
                  <c:v>558.55999999999995</c:v>
                </c:pt>
                <c:pt idx="173">
                  <c:v>547.04999999999995</c:v>
                </c:pt>
                <c:pt idx="174">
                  <c:v>526.58000000000004</c:v>
                </c:pt>
                <c:pt idx="175">
                  <c:v>513.36</c:v>
                </c:pt>
                <c:pt idx="176">
                  <c:v>519.51</c:v>
                </c:pt>
                <c:pt idx="177">
                  <c:v>517.82000000000005</c:v>
                </c:pt>
                <c:pt idx="178">
                  <c:v>517.42999999999995</c:v>
                </c:pt>
                <c:pt idx="179">
                  <c:v>520.77</c:v>
                </c:pt>
                <c:pt idx="180">
                  <c:v>541.96</c:v>
                </c:pt>
                <c:pt idx="181">
                  <c:v>556.53</c:v>
                </c:pt>
                <c:pt idx="182">
                  <c:v>542.5</c:v>
                </c:pt>
                <c:pt idx="183">
                  <c:v>521.35</c:v>
                </c:pt>
                <c:pt idx="184">
                  <c:v>512.78</c:v>
                </c:pt>
                <c:pt idx="185">
                  <c:v>507.94</c:v>
                </c:pt>
                <c:pt idx="186">
                  <c:v>506.64</c:v>
                </c:pt>
                <c:pt idx="187">
                  <c:v>507.56</c:v>
                </c:pt>
                <c:pt idx="188">
                  <c:v>486.94</c:v>
                </c:pt>
                <c:pt idx="189">
                  <c:v>496.96</c:v>
                </c:pt>
                <c:pt idx="190">
                  <c:v>516.85</c:v>
                </c:pt>
                <c:pt idx="191">
                  <c:v>504.99</c:v>
                </c:pt>
                <c:pt idx="192">
                  <c:v>498.02</c:v>
                </c:pt>
                <c:pt idx="193">
                  <c:v>515.83000000000004</c:v>
                </c:pt>
                <c:pt idx="194">
                  <c:v>523.38</c:v>
                </c:pt>
                <c:pt idx="195">
                  <c:v>522.75</c:v>
                </c:pt>
                <c:pt idx="196">
                  <c:v>517.04</c:v>
                </c:pt>
                <c:pt idx="197">
                  <c:v>498.02</c:v>
                </c:pt>
                <c:pt idx="198">
                  <c:v>492.99</c:v>
                </c:pt>
                <c:pt idx="199">
                  <c:v>497.3</c:v>
                </c:pt>
                <c:pt idx="200">
                  <c:v>486.17</c:v>
                </c:pt>
                <c:pt idx="201">
                  <c:v>483.75</c:v>
                </c:pt>
                <c:pt idx="202">
                  <c:v>492.07</c:v>
                </c:pt>
                <c:pt idx="203">
                  <c:v>498.84</c:v>
                </c:pt>
                <c:pt idx="204">
                  <c:v>508.53</c:v>
                </c:pt>
                <c:pt idx="205">
                  <c:v>493.34</c:v>
                </c:pt>
                <c:pt idx="206">
                  <c:v>500.77</c:v>
                </c:pt>
                <c:pt idx="207">
                  <c:v>493.58</c:v>
                </c:pt>
                <c:pt idx="208">
                  <c:v>500.72</c:v>
                </c:pt>
                <c:pt idx="209">
                  <c:v>495.61</c:v>
                </c:pt>
                <c:pt idx="210">
                  <c:v>475.16</c:v>
                </c:pt>
                <c:pt idx="211">
                  <c:v>490.45</c:v>
                </c:pt>
                <c:pt idx="212">
                  <c:v>490.25</c:v>
                </c:pt>
                <c:pt idx="213">
                  <c:v>466.67</c:v>
                </c:pt>
                <c:pt idx="214">
                  <c:v>471.78</c:v>
                </c:pt>
                <c:pt idx="215">
                  <c:v>474.53</c:v>
                </c:pt>
                <c:pt idx="216">
                  <c:v>477.97</c:v>
                </c:pt>
                <c:pt idx="217">
                  <c:v>492.59</c:v>
                </c:pt>
                <c:pt idx="218">
                  <c:v>493.79</c:v>
                </c:pt>
                <c:pt idx="219">
                  <c:v>453.36</c:v>
                </c:pt>
                <c:pt idx="220">
                  <c:v>471.87</c:v>
                </c:pt>
                <c:pt idx="221">
                  <c:v>455.91</c:v>
                </c:pt>
                <c:pt idx="222">
                  <c:v>449.08</c:v>
                </c:pt>
                <c:pt idx="223">
                  <c:v>442.64</c:v>
                </c:pt>
                <c:pt idx="224">
                  <c:v>426</c:v>
                </c:pt>
                <c:pt idx="225">
                  <c:v>438.12</c:v>
                </c:pt>
                <c:pt idx="226">
                  <c:v>445.04</c:v>
                </c:pt>
                <c:pt idx="227">
                  <c:v>448.5</c:v>
                </c:pt>
                <c:pt idx="228">
                  <c:v>415.09</c:v>
                </c:pt>
                <c:pt idx="229">
                  <c:v>426.82</c:v>
                </c:pt>
                <c:pt idx="230">
                  <c:v>429.61</c:v>
                </c:pt>
                <c:pt idx="231">
                  <c:v>470.47</c:v>
                </c:pt>
                <c:pt idx="232">
                  <c:v>479.85</c:v>
                </c:pt>
                <c:pt idx="233">
                  <c:v>471.24</c:v>
                </c:pt>
                <c:pt idx="234">
                  <c:v>466.68</c:v>
                </c:pt>
                <c:pt idx="235">
                  <c:v>411.34</c:v>
                </c:pt>
                <c:pt idx="236">
                  <c:v>406.73</c:v>
                </c:pt>
                <c:pt idx="237">
                  <c:v>427.25</c:v>
                </c:pt>
                <c:pt idx="238">
                  <c:v>433.26</c:v>
                </c:pt>
                <c:pt idx="239">
                  <c:v>481.29</c:v>
                </c:pt>
                <c:pt idx="240">
                  <c:v>477.01</c:v>
                </c:pt>
                <c:pt idx="241">
                  <c:v>486.68</c:v>
                </c:pt>
                <c:pt idx="242">
                  <c:v>486.63</c:v>
                </c:pt>
                <c:pt idx="243">
                  <c:v>493.89</c:v>
                </c:pt>
                <c:pt idx="244">
                  <c:v>467.69</c:v>
                </c:pt>
                <c:pt idx="245">
                  <c:v>481.24</c:v>
                </c:pt>
                <c:pt idx="246">
                  <c:v>470.81</c:v>
                </c:pt>
                <c:pt idx="247">
                  <c:v>448.89</c:v>
                </c:pt>
                <c:pt idx="248">
                  <c:v>438.07</c:v>
                </c:pt>
                <c:pt idx="249">
                  <c:v>442.11</c:v>
                </c:pt>
                <c:pt idx="250">
                  <c:v>442.11</c:v>
                </c:pt>
                <c:pt idx="251">
                  <c:v>442.3</c:v>
                </c:pt>
                <c:pt idx="252">
                  <c:v>445.96</c:v>
                </c:pt>
                <c:pt idx="253">
                  <c:v>441.44</c:v>
                </c:pt>
                <c:pt idx="254">
                  <c:v>445.96</c:v>
                </c:pt>
                <c:pt idx="255">
                  <c:v>442.64</c:v>
                </c:pt>
                <c:pt idx="256">
                  <c:v>454.09</c:v>
                </c:pt>
                <c:pt idx="257">
                  <c:v>444.7</c:v>
                </c:pt>
                <c:pt idx="258">
                  <c:v>449.92</c:v>
                </c:pt>
                <c:pt idx="259">
                  <c:v>447.24</c:v>
                </c:pt>
                <c:pt idx="260">
                  <c:v>427.2</c:v>
                </c:pt>
                <c:pt idx="261">
                  <c:v>408.12</c:v>
                </c:pt>
              </c:numCache>
            </c:numRef>
          </c:val>
          <c:smooth val="0"/>
          <c:extLst>
            <c:ext xmlns:c16="http://schemas.microsoft.com/office/drawing/2014/chart" uri="{C3380CC4-5D6E-409C-BE32-E72D297353CC}">
              <c16:uniqueId val="{00000000-4F14-475E-8164-A78F8C8F50A1}"/>
            </c:ext>
          </c:extLst>
        </c:ser>
        <c:dLbls>
          <c:showLegendKey val="0"/>
          <c:showVal val="0"/>
          <c:showCatName val="0"/>
          <c:showSerName val="0"/>
          <c:showPercent val="0"/>
          <c:showBubbleSize val="0"/>
        </c:dLbls>
        <c:smooth val="0"/>
        <c:axId val="677737648"/>
        <c:axId val="677713648"/>
      </c:lineChart>
      <c:catAx>
        <c:axId val="677737648"/>
        <c:scaling>
          <c:orientation val="minMax"/>
        </c:scaling>
        <c:delete val="1"/>
        <c:axPos val="b"/>
        <c:numFmt formatCode="m/d/yyyy" sourceLinked="0"/>
        <c:majorTickMark val="none"/>
        <c:minorTickMark val="none"/>
        <c:tickLblPos val="nextTo"/>
        <c:crossAx val="677713648"/>
        <c:crosses val="autoZero"/>
        <c:auto val="1"/>
        <c:lblAlgn val="ctr"/>
        <c:lblOffset val="100"/>
        <c:noMultiLvlLbl val="0"/>
      </c:catAx>
      <c:valAx>
        <c:axId val="6777136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376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spPr>
            <a:solidFill>
              <a:schemeClr val="accent1"/>
            </a:solidFill>
            <a:ln>
              <a:noFill/>
            </a:ln>
            <a:effectLst/>
          </c:spPr>
          <c:cat>
            <c:strRef>
              <c:f>Rough!$O$5:$O$266</c:f>
              <c:strCache>
                <c:ptCount val="262"/>
                <c:pt idx="0">
                  <c:v>Sep 30, 2024</c:v>
                </c:pt>
                <c:pt idx="1">
                  <c:v>Sep 23, 2024</c:v>
                </c:pt>
                <c:pt idx="2">
                  <c:v>Sep 16, 2024</c:v>
                </c:pt>
                <c:pt idx="3">
                  <c:v>Sep 9, 2024</c:v>
                </c:pt>
                <c:pt idx="4">
                  <c:v>Sep 2, 2024</c:v>
                </c:pt>
                <c:pt idx="5">
                  <c:v>Aug 26, 2024</c:v>
                </c:pt>
                <c:pt idx="6">
                  <c:v>Aug 19, 2024</c:v>
                </c:pt>
                <c:pt idx="7">
                  <c:v>Aug 12, 2024</c:v>
                </c:pt>
                <c:pt idx="8">
                  <c:v>Aug 5, 2024</c:v>
                </c:pt>
                <c:pt idx="9">
                  <c:v>Jul 29, 2024</c:v>
                </c:pt>
                <c:pt idx="10">
                  <c:v>Jul 22, 2024</c:v>
                </c:pt>
                <c:pt idx="11">
                  <c:v>Jul 15, 2024</c:v>
                </c:pt>
                <c:pt idx="12">
                  <c:v>Jul 8, 2024</c:v>
                </c:pt>
                <c:pt idx="13">
                  <c:v>Jul 1, 2024</c:v>
                </c:pt>
                <c:pt idx="14">
                  <c:v>Jun 24, 2024</c:v>
                </c:pt>
                <c:pt idx="15">
                  <c:v>Jun 17, 2024</c:v>
                </c:pt>
                <c:pt idx="16">
                  <c:v>Jun 10, 2024</c:v>
                </c:pt>
                <c:pt idx="17">
                  <c:v>Jun 3, 2024</c:v>
                </c:pt>
                <c:pt idx="18">
                  <c:v>May 27, 2024</c:v>
                </c:pt>
                <c:pt idx="19">
                  <c:v>May 20, 2024</c:v>
                </c:pt>
                <c:pt idx="20">
                  <c:v>May 13, 2024</c:v>
                </c:pt>
                <c:pt idx="21">
                  <c:v>May 6, 2024</c:v>
                </c:pt>
                <c:pt idx="22">
                  <c:v>Apr 29, 2024</c:v>
                </c:pt>
                <c:pt idx="23">
                  <c:v>Apr 22, 2024</c:v>
                </c:pt>
                <c:pt idx="24">
                  <c:v>Apr 15, 2024</c:v>
                </c:pt>
                <c:pt idx="25">
                  <c:v>Apr 8, 2024</c:v>
                </c:pt>
                <c:pt idx="26">
                  <c:v>Apr 1, 2024</c:v>
                </c:pt>
                <c:pt idx="27">
                  <c:v>Mar 25, 2024</c:v>
                </c:pt>
                <c:pt idx="28">
                  <c:v>Mar 18, 2024</c:v>
                </c:pt>
                <c:pt idx="29">
                  <c:v>Mar 11, 2024</c:v>
                </c:pt>
                <c:pt idx="30">
                  <c:v>Mar 4, 2024</c:v>
                </c:pt>
                <c:pt idx="31">
                  <c:v>Feb 26, 2024</c:v>
                </c:pt>
                <c:pt idx="32">
                  <c:v>Feb 19, 2024</c:v>
                </c:pt>
                <c:pt idx="33">
                  <c:v>Feb 12, 2024</c:v>
                </c:pt>
                <c:pt idx="34">
                  <c:v>Feb 5, 2024</c:v>
                </c:pt>
                <c:pt idx="35">
                  <c:v>Jan 29, 2024</c:v>
                </c:pt>
                <c:pt idx="36">
                  <c:v>Jan 22, 2024</c:v>
                </c:pt>
                <c:pt idx="37">
                  <c:v>Jan 15, 2024</c:v>
                </c:pt>
                <c:pt idx="38">
                  <c:v>Jan 8, 2024</c:v>
                </c:pt>
                <c:pt idx="39">
                  <c:v>Jan 1, 2024</c:v>
                </c:pt>
                <c:pt idx="40">
                  <c:v>Dec 25, 2023</c:v>
                </c:pt>
                <c:pt idx="41">
                  <c:v>Dec 18, 2023</c:v>
                </c:pt>
                <c:pt idx="42">
                  <c:v>Dec 11, 2023</c:v>
                </c:pt>
                <c:pt idx="43">
                  <c:v>Dec 4, 2023</c:v>
                </c:pt>
                <c:pt idx="44">
                  <c:v>Nov 27, 2023</c:v>
                </c:pt>
                <c:pt idx="45">
                  <c:v>Nov 20, 2023</c:v>
                </c:pt>
                <c:pt idx="46">
                  <c:v>Nov 13, 2023</c:v>
                </c:pt>
                <c:pt idx="47">
                  <c:v>Nov 6, 2023</c:v>
                </c:pt>
                <c:pt idx="48">
                  <c:v>Oct 30, 2023</c:v>
                </c:pt>
                <c:pt idx="49">
                  <c:v>Oct 23, 2023</c:v>
                </c:pt>
                <c:pt idx="50">
                  <c:v>Oct 16, 2023</c:v>
                </c:pt>
                <c:pt idx="51">
                  <c:v>Oct 9, 2023</c:v>
                </c:pt>
                <c:pt idx="52">
                  <c:v>Oct 2, 2023</c:v>
                </c:pt>
                <c:pt idx="53">
                  <c:v>Sep 25, 2023</c:v>
                </c:pt>
                <c:pt idx="54">
                  <c:v>Sep 18, 2023</c:v>
                </c:pt>
                <c:pt idx="55">
                  <c:v>Sep 11, 2023</c:v>
                </c:pt>
                <c:pt idx="56">
                  <c:v>Sep 4, 2023</c:v>
                </c:pt>
                <c:pt idx="57">
                  <c:v>Aug 28, 2023</c:v>
                </c:pt>
                <c:pt idx="58">
                  <c:v>Aug 21, 2023</c:v>
                </c:pt>
                <c:pt idx="59">
                  <c:v>Aug 14, 2023</c:v>
                </c:pt>
                <c:pt idx="60">
                  <c:v>Aug 7, 2023</c:v>
                </c:pt>
                <c:pt idx="61">
                  <c:v>Jul 31, 2023</c:v>
                </c:pt>
                <c:pt idx="62">
                  <c:v>Jul 24, 2023</c:v>
                </c:pt>
                <c:pt idx="63">
                  <c:v>Jul 17, 2023</c:v>
                </c:pt>
                <c:pt idx="64">
                  <c:v>Jul 10, 2023</c:v>
                </c:pt>
                <c:pt idx="65">
                  <c:v>Jul 3, 2023</c:v>
                </c:pt>
                <c:pt idx="66">
                  <c:v>Jun 26, 2023</c:v>
                </c:pt>
                <c:pt idx="67">
                  <c:v>Jun 19, 2023</c:v>
                </c:pt>
                <c:pt idx="68">
                  <c:v>Jun 12, 2023</c:v>
                </c:pt>
                <c:pt idx="69">
                  <c:v>Jun 5, 2023</c:v>
                </c:pt>
                <c:pt idx="70">
                  <c:v>May 29, 2023</c:v>
                </c:pt>
                <c:pt idx="71">
                  <c:v>May 22, 2023</c:v>
                </c:pt>
                <c:pt idx="72">
                  <c:v>May 15, 2023</c:v>
                </c:pt>
                <c:pt idx="73">
                  <c:v>May 8, 2023</c:v>
                </c:pt>
                <c:pt idx="74">
                  <c:v>May 1, 2023</c:v>
                </c:pt>
                <c:pt idx="75">
                  <c:v>Apr 24, 2023</c:v>
                </c:pt>
                <c:pt idx="76">
                  <c:v>Apr 17, 2023</c:v>
                </c:pt>
                <c:pt idx="77">
                  <c:v>Apr 10, 2023</c:v>
                </c:pt>
                <c:pt idx="78">
                  <c:v>Apr 3, 2023</c:v>
                </c:pt>
                <c:pt idx="79">
                  <c:v>Mar 27, 2023</c:v>
                </c:pt>
                <c:pt idx="80">
                  <c:v>Mar 20, 2023</c:v>
                </c:pt>
                <c:pt idx="81">
                  <c:v>Mar 13, 2023</c:v>
                </c:pt>
                <c:pt idx="82">
                  <c:v>Mar 6, 2023</c:v>
                </c:pt>
                <c:pt idx="83">
                  <c:v>Feb 27, 2023</c:v>
                </c:pt>
                <c:pt idx="84">
                  <c:v>Feb 20, 2023</c:v>
                </c:pt>
                <c:pt idx="85">
                  <c:v>Feb 13, 2023</c:v>
                </c:pt>
                <c:pt idx="86">
                  <c:v>Feb 6, 2023</c:v>
                </c:pt>
                <c:pt idx="87">
                  <c:v>Jan 30, 2023</c:v>
                </c:pt>
                <c:pt idx="88">
                  <c:v>Jan 23, 2023</c:v>
                </c:pt>
                <c:pt idx="89">
                  <c:v>Jan 16, 2023</c:v>
                </c:pt>
                <c:pt idx="90">
                  <c:v>Jan 9, 2023</c:v>
                </c:pt>
                <c:pt idx="91">
                  <c:v>Jan 2, 2023</c:v>
                </c:pt>
                <c:pt idx="92">
                  <c:v>Dec 26, 2022</c:v>
                </c:pt>
                <c:pt idx="93">
                  <c:v>Dec 19, 2022</c:v>
                </c:pt>
                <c:pt idx="94">
                  <c:v>Dec 12, 2022</c:v>
                </c:pt>
                <c:pt idx="95">
                  <c:v>Dec 5, 2022</c:v>
                </c:pt>
                <c:pt idx="96">
                  <c:v>Nov 28, 2022</c:v>
                </c:pt>
                <c:pt idx="97">
                  <c:v>Nov 21, 2022</c:v>
                </c:pt>
                <c:pt idx="98">
                  <c:v>Nov 14, 2022</c:v>
                </c:pt>
                <c:pt idx="99">
                  <c:v>Nov 7, 2022</c:v>
                </c:pt>
                <c:pt idx="100">
                  <c:v>Oct 31, 2022</c:v>
                </c:pt>
                <c:pt idx="101">
                  <c:v>Oct 24, 2022</c:v>
                </c:pt>
                <c:pt idx="102">
                  <c:v>Oct 17, 2022</c:v>
                </c:pt>
                <c:pt idx="103">
                  <c:v>Oct 10, 2022</c:v>
                </c:pt>
                <c:pt idx="104">
                  <c:v>Oct 3, 2022</c:v>
                </c:pt>
                <c:pt idx="105">
                  <c:v>Sep 26, 2022</c:v>
                </c:pt>
                <c:pt idx="106">
                  <c:v>Sep 19, 2022</c:v>
                </c:pt>
                <c:pt idx="107">
                  <c:v>Sep 12, 2022</c:v>
                </c:pt>
                <c:pt idx="108">
                  <c:v>Sep 5, 2022</c:v>
                </c:pt>
                <c:pt idx="109">
                  <c:v>Aug 29, 2022</c:v>
                </c:pt>
                <c:pt idx="110">
                  <c:v>Aug 22, 2022</c:v>
                </c:pt>
                <c:pt idx="111">
                  <c:v>Aug 15, 2022</c:v>
                </c:pt>
                <c:pt idx="112">
                  <c:v>Aug 8, 2022</c:v>
                </c:pt>
                <c:pt idx="113">
                  <c:v>Aug 1, 2022</c:v>
                </c:pt>
                <c:pt idx="114">
                  <c:v>Jul 25, 2022</c:v>
                </c:pt>
                <c:pt idx="115">
                  <c:v>Jul 18, 2022</c:v>
                </c:pt>
                <c:pt idx="116">
                  <c:v>Jul 11, 2022</c:v>
                </c:pt>
                <c:pt idx="117">
                  <c:v>Jul 4, 2022</c:v>
                </c:pt>
                <c:pt idx="118">
                  <c:v>Jun 27, 2022</c:v>
                </c:pt>
                <c:pt idx="119">
                  <c:v>Jun 20, 2022</c:v>
                </c:pt>
                <c:pt idx="120">
                  <c:v>Jun 13, 2022</c:v>
                </c:pt>
                <c:pt idx="121">
                  <c:v>Jun 6, 2022</c:v>
                </c:pt>
                <c:pt idx="122">
                  <c:v>May 30, 2022</c:v>
                </c:pt>
                <c:pt idx="123">
                  <c:v>May 23, 2022</c:v>
                </c:pt>
                <c:pt idx="124">
                  <c:v>May 16, 2022</c:v>
                </c:pt>
                <c:pt idx="125">
                  <c:v>May 9, 2022</c:v>
                </c:pt>
                <c:pt idx="126">
                  <c:v>May 2, 2022</c:v>
                </c:pt>
                <c:pt idx="127">
                  <c:v>Apr 25, 2022</c:v>
                </c:pt>
                <c:pt idx="128">
                  <c:v>Apr 18, 2022</c:v>
                </c:pt>
                <c:pt idx="129">
                  <c:v>Apr 11, 2022</c:v>
                </c:pt>
                <c:pt idx="130">
                  <c:v>Apr 4, 2022</c:v>
                </c:pt>
                <c:pt idx="131">
                  <c:v>Mar 28, 2022</c:v>
                </c:pt>
                <c:pt idx="132">
                  <c:v>Mar 21, 2022</c:v>
                </c:pt>
                <c:pt idx="133">
                  <c:v>Mar 14, 2022</c:v>
                </c:pt>
                <c:pt idx="134">
                  <c:v>Mar 7, 2022</c:v>
                </c:pt>
                <c:pt idx="135">
                  <c:v>Feb 28, 2022</c:v>
                </c:pt>
                <c:pt idx="136">
                  <c:v>Feb 21, 2022</c:v>
                </c:pt>
                <c:pt idx="137">
                  <c:v>Feb 14, 2022</c:v>
                </c:pt>
                <c:pt idx="138">
                  <c:v>Feb 7, 2022</c:v>
                </c:pt>
                <c:pt idx="139">
                  <c:v>Jan 31, 2022</c:v>
                </c:pt>
                <c:pt idx="140">
                  <c:v>Jan 24, 2022</c:v>
                </c:pt>
                <c:pt idx="141">
                  <c:v>Jan 17, 2022</c:v>
                </c:pt>
                <c:pt idx="142">
                  <c:v>Jan 10, 2022</c:v>
                </c:pt>
                <c:pt idx="143">
                  <c:v>Jan 3, 2022</c:v>
                </c:pt>
                <c:pt idx="144">
                  <c:v>Dec 27, 2021</c:v>
                </c:pt>
                <c:pt idx="145">
                  <c:v>Dec 20, 2021</c:v>
                </c:pt>
                <c:pt idx="146">
                  <c:v>Dec 13, 2021</c:v>
                </c:pt>
                <c:pt idx="147">
                  <c:v>Dec 6, 2021</c:v>
                </c:pt>
                <c:pt idx="148">
                  <c:v>Nov 29, 2021</c:v>
                </c:pt>
                <c:pt idx="149">
                  <c:v>Nov 22, 2021</c:v>
                </c:pt>
                <c:pt idx="150">
                  <c:v>Nov 15, 2021</c:v>
                </c:pt>
                <c:pt idx="151">
                  <c:v>Nov 8, 2021</c:v>
                </c:pt>
                <c:pt idx="152">
                  <c:v>Nov 1, 2021</c:v>
                </c:pt>
                <c:pt idx="153">
                  <c:v>Oct 25, 2021</c:v>
                </c:pt>
                <c:pt idx="154">
                  <c:v>Oct 18, 2021</c:v>
                </c:pt>
                <c:pt idx="155">
                  <c:v>Oct 11, 2021</c:v>
                </c:pt>
                <c:pt idx="156">
                  <c:v>Oct 4, 2021</c:v>
                </c:pt>
                <c:pt idx="157">
                  <c:v>Sep 27, 2021</c:v>
                </c:pt>
                <c:pt idx="158">
                  <c:v>Sep 20, 2021</c:v>
                </c:pt>
                <c:pt idx="159">
                  <c:v>Sep 13, 2021</c:v>
                </c:pt>
                <c:pt idx="160">
                  <c:v>Sep 6, 2021</c:v>
                </c:pt>
                <c:pt idx="161">
                  <c:v>Aug 30, 2021</c:v>
                </c:pt>
                <c:pt idx="162">
                  <c:v>Aug 23, 2021</c:v>
                </c:pt>
                <c:pt idx="163">
                  <c:v>Aug 16, 2021</c:v>
                </c:pt>
                <c:pt idx="164">
                  <c:v>Aug 9, 2021</c:v>
                </c:pt>
                <c:pt idx="165">
                  <c:v>Aug 2, 2021</c:v>
                </c:pt>
                <c:pt idx="166">
                  <c:v>Jul 26, 2021</c:v>
                </c:pt>
                <c:pt idx="167">
                  <c:v>Jul 19, 2021</c:v>
                </c:pt>
                <c:pt idx="168">
                  <c:v>Jul 12, 2021</c:v>
                </c:pt>
                <c:pt idx="169">
                  <c:v>Jul 5, 2021</c:v>
                </c:pt>
                <c:pt idx="170">
                  <c:v>Jun 28, 2021</c:v>
                </c:pt>
                <c:pt idx="171">
                  <c:v>Jun 21, 2021</c:v>
                </c:pt>
                <c:pt idx="172">
                  <c:v>Jun 14, 2021</c:v>
                </c:pt>
                <c:pt idx="173">
                  <c:v>Jun 7, 2021</c:v>
                </c:pt>
                <c:pt idx="174">
                  <c:v>May 31, 2021</c:v>
                </c:pt>
                <c:pt idx="175">
                  <c:v>May 24, 2021</c:v>
                </c:pt>
                <c:pt idx="176">
                  <c:v>May 17, 2021</c:v>
                </c:pt>
                <c:pt idx="177">
                  <c:v>May 10, 2021</c:v>
                </c:pt>
                <c:pt idx="178">
                  <c:v>May 3, 2021</c:v>
                </c:pt>
                <c:pt idx="179">
                  <c:v>Apr 26, 2021</c:v>
                </c:pt>
                <c:pt idx="180">
                  <c:v>Apr 19, 2021</c:v>
                </c:pt>
                <c:pt idx="181">
                  <c:v>Apr 12, 2021</c:v>
                </c:pt>
                <c:pt idx="182">
                  <c:v>Apr 5, 2021</c:v>
                </c:pt>
                <c:pt idx="183">
                  <c:v>Mar 29, 2021</c:v>
                </c:pt>
                <c:pt idx="184">
                  <c:v>Mar 22, 2021</c:v>
                </c:pt>
                <c:pt idx="185">
                  <c:v>Mar 15, 2021</c:v>
                </c:pt>
                <c:pt idx="186">
                  <c:v>Mar 8, 2021</c:v>
                </c:pt>
                <c:pt idx="187">
                  <c:v>Mar 1, 2021</c:v>
                </c:pt>
                <c:pt idx="188">
                  <c:v>Feb 22, 2021</c:v>
                </c:pt>
                <c:pt idx="189">
                  <c:v>Feb 15, 2021</c:v>
                </c:pt>
                <c:pt idx="190">
                  <c:v>Feb 8, 2021</c:v>
                </c:pt>
                <c:pt idx="191">
                  <c:v>Feb 1, 2021</c:v>
                </c:pt>
                <c:pt idx="192">
                  <c:v>Jan 25, 2021</c:v>
                </c:pt>
                <c:pt idx="193">
                  <c:v>Jan 18, 2021</c:v>
                </c:pt>
                <c:pt idx="194">
                  <c:v>Jan 11, 2021</c:v>
                </c:pt>
                <c:pt idx="195">
                  <c:v>Jan 4, 2021</c:v>
                </c:pt>
                <c:pt idx="196">
                  <c:v>Dec 28, 2020</c:v>
                </c:pt>
                <c:pt idx="197">
                  <c:v>Dec 21, 2020</c:v>
                </c:pt>
                <c:pt idx="198">
                  <c:v>Dec 14, 2020</c:v>
                </c:pt>
                <c:pt idx="199">
                  <c:v>Dec 7, 2020</c:v>
                </c:pt>
                <c:pt idx="200">
                  <c:v>Nov 30, 2020</c:v>
                </c:pt>
                <c:pt idx="201">
                  <c:v>Nov 23, 2020</c:v>
                </c:pt>
                <c:pt idx="202">
                  <c:v>Nov 16, 2020</c:v>
                </c:pt>
                <c:pt idx="203">
                  <c:v>Nov 9, 2020</c:v>
                </c:pt>
                <c:pt idx="204">
                  <c:v>Nov 2, 2020</c:v>
                </c:pt>
                <c:pt idx="205">
                  <c:v>Oct 26, 2020</c:v>
                </c:pt>
                <c:pt idx="206">
                  <c:v>Oct 19, 2020</c:v>
                </c:pt>
                <c:pt idx="207">
                  <c:v>Oct 12, 2020</c:v>
                </c:pt>
                <c:pt idx="208">
                  <c:v>Oct 5, 2020</c:v>
                </c:pt>
                <c:pt idx="209">
                  <c:v>Sep 28, 2020</c:v>
                </c:pt>
                <c:pt idx="210">
                  <c:v>Sep 21, 2020</c:v>
                </c:pt>
                <c:pt idx="211">
                  <c:v>Sep 14, 2020</c:v>
                </c:pt>
                <c:pt idx="212">
                  <c:v>Sep 7, 2020</c:v>
                </c:pt>
                <c:pt idx="213">
                  <c:v>Aug 31, 2020</c:v>
                </c:pt>
                <c:pt idx="214">
                  <c:v>Aug 24, 2020</c:v>
                </c:pt>
                <c:pt idx="215">
                  <c:v>Aug 17, 2020</c:v>
                </c:pt>
                <c:pt idx="216">
                  <c:v>Aug 10, 2020</c:v>
                </c:pt>
                <c:pt idx="217">
                  <c:v>Aug 3, 2020</c:v>
                </c:pt>
                <c:pt idx="218">
                  <c:v>Jul 27, 2020</c:v>
                </c:pt>
                <c:pt idx="219">
                  <c:v>Jul 20, 2020</c:v>
                </c:pt>
                <c:pt idx="220">
                  <c:v>Jul 13, 2020</c:v>
                </c:pt>
                <c:pt idx="221">
                  <c:v>Jul 6, 2020</c:v>
                </c:pt>
                <c:pt idx="222">
                  <c:v>Jun 29, 2020</c:v>
                </c:pt>
                <c:pt idx="223">
                  <c:v>Jun 22, 2020</c:v>
                </c:pt>
                <c:pt idx="224">
                  <c:v>Jun 15, 2020</c:v>
                </c:pt>
                <c:pt idx="225">
                  <c:v>Jun 8, 2020</c:v>
                </c:pt>
                <c:pt idx="226">
                  <c:v>Jun 1, 2020</c:v>
                </c:pt>
                <c:pt idx="227">
                  <c:v>May 25, 2020</c:v>
                </c:pt>
                <c:pt idx="228">
                  <c:v>May 18, 2020</c:v>
                </c:pt>
                <c:pt idx="229">
                  <c:v>May 11, 2020</c:v>
                </c:pt>
                <c:pt idx="230">
                  <c:v>May 4, 2020</c:v>
                </c:pt>
                <c:pt idx="231">
                  <c:v>Apr 27, 2020</c:v>
                </c:pt>
                <c:pt idx="232">
                  <c:v>Apr 20, 2020</c:v>
                </c:pt>
                <c:pt idx="233">
                  <c:v>Apr 13, 2020</c:v>
                </c:pt>
                <c:pt idx="234">
                  <c:v>Apr 6, 2020</c:v>
                </c:pt>
                <c:pt idx="235">
                  <c:v>Mar 30, 2020</c:v>
                </c:pt>
                <c:pt idx="236">
                  <c:v>Mar 23, 2020</c:v>
                </c:pt>
                <c:pt idx="237">
                  <c:v>Mar 16, 2020</c:v>
                </c:pt>
                <c:pt idx="238">
                  <c:v>Mar 9, 2020</c:v>
                </c:pt>
                <c:pt idx="239">
                  <c:v>Mar 2, 2020</c:v>
                </c:pt>
                <c:pt idx="240">
                  <c:v>Feb 24, 2020</c:v>
                </c:pt>
                <c:pt idx="241">
                  <c:v>Feb 17, 2020</c:v>
                </c:pt>
                <c:pt idx="242">
                  <c:v>Feb 10, 2020</c:v>
                </c:pt>
                <c:pt idx="243">
                  <c:v>Feb 3, 2020</c:v>
                </c:pt>
                <c:pt idx="244">
                  <c:v>Jan 27, 2020</c:v>
                </c:pt>
                <c:pt idx="245">
                  <c:v>Jan 20, 2020</c:v>
                </c:pt>
                <c:pt idx="246">
                  <c:v>Jan 13, 2020</c:v>
                </c:pt>
                <c:pt idx="247">
                  <c:v>Jan 6, 2020</c:v>
                </c:pt>
                <c:pt idx="248">
                  <c:v>Dec 30, 2019</c:v>
                </c:pt>
                <c:pt idx="249">
                  <c:v>Dec 23, 2019</c:v>
                </c:pt>
                <c:pt idx="250">
                  <c:v>Dec 16, 2019</c:v>
                </c:pt>
                <c:pt idx="251">
                  <c:v>Dec 9, 2019</c:v>
                </c:pt>
                <c:pt idx="252">
                  <c:v>Dec 2, 2019</c:v>
                </c:pt>
                <c:pt idx="253">
                  <c:v>Nov 25, 2019</c:v>
                </c:pt>
                <c:pt idx="254">
                  <c:v>Nov 18, 2019</c:v>
                </c:pt>
                <c:pt idx="255">
                  <c:v>Nov 11, 2019</c:v>
                </c:pt>
                <c:pt idx="256">
                  <c:v>Nov 4, 2019</c:v>
                </c:pt>
                <c:pt idx="257">
                  <c:v>Oct 28, 2019</c:v>
                </c:pt>
                <c:pt idx="258">
                  <c:v>Oct 21, 2019</c:v>
                </c:pt>
                <c:pt idx="259">
                  <c:v>Oct 14, 2019</c:v>
                </c:pt>
                <c:pt idx="260">
                  <c:v>Oct 7, 2019</c:v>
                </c:pt>
                <c:pt idx="261">
                  <c:v>Sep 30, 2019</c:v>
                </c:pt>
              </c:strCache>
            </c:strRef>
          </c:cat>
          <c:val>
            <c:numRef>
              <c:f>Rough!$Q$5:$Q$266</c:f>
              <c:numCache>
                <c:formatCode>General</c:formatCode>
                <c:ptCount val="262"/>
                <c:pt idx="0">
                  <c:v>2475325</c:v>
                </c:pt>
                <c:pt idx="1">
                  <c:v>17868760</c:v>
                </c:pt>
                <c:pt idx="2">
                  <c:v>7632637</c:v>
                </c:pt>
                <c:pt idx="3">
                  <c:v>18256985</c:v>
                </c:pt>
                <c:pt idx="4">
                  <c:v>9667567</c:v>
                </c:pt>
                <c:pt idx="5">
                  <c:v>9894879</c:v>
                </c:pt>
                <c:pt idx="6">
                  <c:v>12691816</c:v>
                </c:pt>
                <c:pt idx="7">
                  <c:v>7102525</c:v>
                </c:pt>
                <c:pt idx="8">
                  <c:v>12623277</c:v>
                </c:pt>
                <c:pt idx="9">
                  <c:v>19007259</c:v>
                </c:pt>
                <c:pt idx="10">
                  <c:v>20203634</c:v>
                </c:pt>
                <c:pt idx="11">
                  <c:v>9390369</c:v>
                </c:pt>
                <c:pt idx="12">
                  <c:v>16046668</c:v>
                </c:pt>
                <c:pt idx="13">
                  <c:v>11331582</c:v>
                </c:pt>
                <c:pt idx="14">
                  <c:v>9912218</c:v>
                </c:pt>
                <c:pt idx="15">
                  <c:v>12762613</c:v>
                </c:pt>
                <c:pt idx="16">
                  <c:v>23377157</c:v>
                </c:pt>
                <c:pt idx="17">
                  <c:v>54891671</c:v>
                </c:pt>
                <c:pt idx="18">
                  <c:v>23003651</c:v>
                </c:pt>
                <c:pt idx="19">
                  <c:v>11439091</c:v>
                </c:pt>
                <c:pt idx="20">
                  <c:v>14023713</c:v>
                </c:pt>
                <c:pt idx="21">
                  <c:v>29806470</c:v>
                </c:pt>
                <c:pt idx="22">
                  <c:v>17566107</c:v>
                </c:pt>
                <c:pt idx="23">
                  <c:v>7363492</c:v>
                </c:pt>
                <c:pt idx="24">
                  <c:v>11316824</c:v>
                </c:pt>
                <c:pt idx="25">
                  <c:v>11964365</c:v>
                </c:pt>
                <c:pt idx="26">
                  <c:v>21259788</c:v>
                </c:pt>
                <c:pt idx="27">
                  <c:v>6912626</c:v>
                </c:pt>
                <c:pt idx="28">
                  <c:v>6289594</c:v>
                </c:pt>
                <c:pt idx="29">
                  <c:v>8421159</c:v>
                </c:pt>
                <c:pt idx="30">
                  <c:v>5472280</c:v>
                </c:pt>
                <c:pt idx="31">
                  <c:v>10048023</c:v>
                </c:pt>
                <c:pt idx="32">
                  <c:v>6472648</c:v>
                </c:pt>
                <c:pt idx="33">
                  <c:v>4854761</c:v>
                </c:pt>
                <c:pt idx="34">
                  <c:v>7724595</c:v>
                </c:pt>
                <c:pt idx="35">
                  <c:v>20831947</c:v>
                </c:pt>
                <c:pt idx="36">
                  <c:v>4095201</c:v>
                </c:pt>
                <c:pt idx="37">
                  <c:v>9113123</c:v>
                </c:pt>
                <c:pt idx="38">
                  <c:v>9137067</c:v>
                </c:pt>
                <c:pt idx="39">
                  <c:v>11252183</c:v>
                </c:pt>
                <c:pt idx="40">
                  <c:v>12597273</c:v>
                </c:pt>
                <c:pt idx="41">
                  <c:v>18562244</c:v>
                </c:pt>
                <c:pt idx="42">
                  <c:v>9059804</c:v>
                </c:pt>
                <c:pt idx="43">
                  <c:v>8507384</c:v>
                </c:pt>
                <c:pt idx="44">
                  <c:v>8819300</c:v>
                </c:pt>
                <c:pt idx="45">
                  <c:v>5212091</c:v>
                </c:pt>
                <c:pt idx="46">
                  <c:v>7503185</c:v>
                </c:pt>
                <c:pt idx="47">
                  <c:v>4807078</c:v>
                </c:pt>
                <c:pt idx="48">
                  <c:v>9367669</c:v>
                </c:pt>
                <c:pt idx="49">
                  <c:v>8077126</c:v>
                </c:pt>
                <c:pt idx="50">
                  <c:v>16792857</c:v>
                </c:pt>
                <c:pt idx="51">
                  <c:v>5442815</c:v>
                </c:pt>
                <c:pt idx="52">
                  <c:v>5592439</c:v>
                </c:pt>
                <c:pt idx="53">
                  <c:v>7112583</c:v>
                </c:pt>
                <c:pt idx="54">
                  <c:v>7063951</c:v>
                </c:pt>
                <c:pt idx="55">
                  <c:v>6446255</c:v>
                </c:pt>
                <c:pt idx="56">
                  <c:v>4620822</c:v>
                </c:pt>
                <c:pt idx="57">
                  <c:v>10630873</c:v>
                </c:pt>
                <c:pt idx="58">
                  <c:v>7646727</c:v>
                </c:pt>
                <c:pt idx="59">
                  <c:v>5223657</c:v>
                </c:pt>
                <c:pt idx="60">
                  <c:v>7585120</c:v>
                </c:pt>
                <c:pt idx="61">
                  <c:v>17309427</c:v>
                </c:pt>
                <c:pt idx="62">
                  <c:v>8095124</c:v>
                </c:pt>
                <c:pt idx="63">
                  <c:v>8371643</c:v>
                </c:pt>
                <c:pt idx="64">
                  <c:v>6527635</c:v>
                </c:pt>
                <c:pt idx="65">
                  <c:v>7838676</c:v>
                </c:pt>
                <c:pt idx="66">
                  <c:v>6915395</c:v>
                </c:pt>
                <c:pt idx="67">
                  <c:v>7166449</c:v>
                </c:pt>
                <c:pt idx="68">
                  <c:v>9498379</c:v>
                </c:pt>
                <c:pt idx="69">
                  <c:v>10771159</c:v>
                </c:pt>
                <c:pt idx="70">
                  <c:v>11696258</c:v>
                </c:pt>
                <c:pt idx="71">
                  <c:v>9592583</c:v>
                </c:pt>
                <c:pt idx="72">
                  <c:v>10690573</c:v>
                </c:pt>
                <c:pt idx="73">
                  <c:v>10408423</c:v>
                </c:pt>
                <c:pt idx="74">
                  <c:v>14618679</c:v>
                </c:pt>
                <c:pt idx="75">
                  <c:v>9248926</c:v>
                </c:pt>
                <c:pt idx="76">
                  <c:v>9517844</c:v>
                </c:pt>
                <c:pt idx="77">
                  <c:v>15867682</c:v>
                </c:pt>
                <c:pt idx="78">
                  <c:v>7940515</c:v>
                </c:pt>
                <c:pt idx="79">
                  <c:v>5658182</c:v>
                </c:pt>
                <c:pt idx="80">
                  <c:v>5868820</c:v>
                </c:pt>
                <c:pt idx="81">
                  <c:v>9040262</c:v>
                </c:pt>
                <c:pt idx="82">
                  <c:v>5020764</c:v>
                </c:pt>
                <c:pt idx="83">
                  <c:v>8030420</c:v>
                </c:pt>
                <c:pt idx="84">
                  <c:v>9024658</c:v>
                </c:pt>
                <c:pt idx="85">
                  <c:v>7550022</c:v>
                </c:pt>
                <c:pt idx="86">
                  <c:v>8191315</c:v>
                </c:pt>
                <c:pt idx="87">
                  <c:v>12541352</c:v>
                </c:pt>
                <c:pt idx="88">
                  <c:v>3543876</c:v>
                </c:pt>
                <c:pt idx="89">
                  <c:v>6719107</c:v>
                </c:pt>
                <c:pt idx="90">
                  <c:v>11160571</c:v>
                </c:pt>
                <c:pt idx="91">
                  <c:v>8123019</c:v>
                </c:pt>
                <c:pt idx="92">
                  <c:v>6408861</c:v>
                </c:pt>
                <c:pt idx="93">
                  <c:v>15378349</c:v>
                </c:pt>
                <c:pt idx="94">
                  <c:v>7916327</c:v>
                </c:pt>
                <c:pt idx="95">
                  <c:v>13439902</c:v>
                </c:pt>
                <c:pt idx="96">
                  <c:v>24995458</c:v>
                </c:pt>
                <c:pt idx="97">
                  <c:v>6283748</c:v>
                </c:pt>
                <c:pt idx="98">
                  <c:v>9802350</c:v>
                </c:pt>
                <c:pt idx="99">
                  <c:v>4436829</c:v>
                </c:pt>
                <c:pt idx="100">
                  <c:v>5235745</c:v>
                </c:pt>
                <c:pt idx="101">
                  <c:v>8506584</c:v>
                </c:pt>
                <c:pt idx="102">
                  <c:v>8193928</c:v>
                </c:pt>
                <c:pt idx="103">
                  <c:v>17020984</c:v>
                </c:pt>
                <c:pt idx="104">
                  <c:v>11033360</c:v>
                </c:pt>
                <c:pt idx="105">
                  <c:v>8636774</c:v>
                </c:pt>
                <c:pt idx="106">
                  <c:v>6942300</c:v>
                </c:pt>
                <c:pt idx="107">
                  <c:v>5703473</c:v>
                </c:pt>
                <c:pt idx="108">
                  <c:v>3553595</c:v>
                </c:pt>
                <c:pt idx="109">
                  <c:v>9098974</c:v>
                </c:pt>
                <c:pt idx="110">
                  <c:v>7827090</c:v>
                </c:pt>
                <c:pt idx="111">
                  <c:v>6839661</c:v>
                </c:pt>
                <c:pt idx="112">
                  <c:v>5259354</c:v>
                </c:pt>
                <c:pt idx="113">
                  <c:v>8221253</c:v>
                </c:pt>
                <c:pt idx="114">
                  <c:v>8217915</c:v>
                </c:pt>
                <c:pt idx="115">
                  <c:v>10139317</c:v>
                </c:pt>
                <c:pt idx="116">
                  <c:v>5263501</c:v>
                </c:pt>
                <c:pt idx="117">
                  <c:v>8751686</c:v>
                </c:pt>
                <c:pt idx="118">
                  <c:v>7132422</c:v>
                </c:pt>
                <c:pt idx="119">
                  <c:v>9372346</c:v>
                </c:pt>
                <c:pt idx="120">
                  <c:v>11310124</c:v>
                </c:pt>
                <c:pt idx="121">
                  <c:v>9133658</c:v>
                </c:pt>
                <c:pt idx="122">
                  <c:v>12709246</c:v>
                </c:pt>
                <c:pt idx="123">
                  <c:v>7875801</c:v>
                </c:pt>
                <c:pt idx="124">
                  <c:v>10185429</c:v>
                </c:pt>
                <c:pt idx="125">
                  <c:v>10469009</c:v>
                </c:pt>
                <c:pt idx="126">
                  <c:v>11837909</c:v>
                </c:pt>
                <c:pt idx="127">
                  <c:v>10477995</c:v>
                </c:pt>
                <c:pt idx="128">
                  <c:v>8997666</c:v>
                </c:pt>
                <c:pt idx="129">
                  <c:v>4250977</c:v>
                </c:pt>
                <c:pt idx="130">
                  <c:v>10156895</c:v>
                </c:pt>
                <c:pt idx="131">
                  <c:v>12250186</c:v>
                </c:pt>
                <c:pt idx="132">
                  <c:v>10911623</c:v>
                </c:pt>
                <c:pt idx="133">
                  <c:v>9449712</c:v>
                </c:pt>
                <c:pt idx="134">
                  <c:v>11188792</c:v>
                </c:pt>
                <c:pt idx="135">
                  <c:v>14135482</c:v>
                </c:pt>
                <c:pt idx="136">
                  <c:v>7884642</c:v>
                </c:pt>
                <c:pt idx="137">
                  <c:v>6264727</c:v>
                </c:pt>
                <c:pt idx="138">
                  <c:v>7780459</c:v>
                </c:pt>
                <c:pt idx="139">
                  <c:v>8917534</c:v>
                </c:pt>
                <c:pt idx="140">
                  <c:v>7889916</c:v>
                </c:pt>
                <c:pt idx="141">
                  <c:v>7171742</c:v>
                </c:pt>
                <c:pt idx="142">
                  <c:v>6346433</c:v>
                </c:pt>
                <c:pt idx="143">
                  <c:v>7965470</c:v>
                </c:pt>
                <c:pt idx="144">
                  <c:v>4262118</c:v>
                </c:pt>
                <c:pt idx="145">
                  <c:v>4231429</c:v>
                </c:pt>
                <c:pt idx="146">
                  <c:v>6492557</c:v>
                </c:pt>
                <c:pt idx="147">
                  <c:v>6524214</c:v>
                </c:pt>
                <c:pt idx="148">
                  <c:v>12785105</c:v>
                </c:pt>
                <c:pt idx="149">
                  <c:v>10824363</c:v>
                </c:pt>
                <c:pt idx="150">
                  <c:v>5323418</c:v>
                </c:pt>
                <c:pt idx="151">
                  <c:v>9442356</c:v>
                </c:pt>
                <c:pt idx="152">
                  <c:v>17547083</c:v>
                </c:pt>
                <c:pt idx="153">
                  <c:v>9750829</c:v>
                </c:pt>
                <c:pt idx="154">
                  <c:v>9106240</c:v>
                </c:pt>
                <c:pt idx="155">
                  <c:v>8449692</c:v>
                </c:pt>
                <c:pt idx="156">
                  <c:v>11977149</c:v>
                </c:pt>
                <c:pt idx="157">
                  <c:v>8470851</c:v>
                </c:pt>
                <c:pt idx="158">
                  <c:v>8364415</c:v>
                </c:pt>
                <c:pt idx="159">
                  <c:v>8982825</c:v>
                </c:pt>
                <c:pt idx="160">
                  <c:v>7336786</c:v>
                </c:pt>
                <c:pt idx="161">
                  <c:v>11487742</c:v>
                </c:pt>
                <c:pt idx="162">
                  <c:v>10288233</c:v>
                </c:pt>
                <c:pt idx="163">
                  <c:v>12286069</c:v>
                </c:pt>
                <c:pt idx="164">
                  <c:v>14446004</c:v>
                </c:pt>
                <c:pt idx="165">
                  <c:v>30445036</c:v>
                </c:pt>
                <c:pt idx="166">
                  <c:v>11183153</c:v>
                </c:pt>
                <c:pt idx="167">
                  <c:v>5690122</c:v>
                </c:pt>
                <c:pt idx="168">
                  <c:v>6725992</c:v>
                </c:pt>
                <c:pt idx="169">
                  <c:v>8412332</c:v>
                </c:pt>
                <c:pt idx="170">
                  <c:v>11779735</c:v>
                </c:pt>
                <c:pt idx="171">
                  <c:v>8645455</c:v>
                </c:pt>
                <c:pt idx="172">
                  <c:v>11050327</c:v>
                </c:pt>
                <c:pt idx="173">
                  <c:v>12118863</c:v>
                </c:pt>
                <c:pt idx="174">
                  <c:v>12739726</c:v>
                </c:pt>
                <c:pt idx="175">
                  <c:v>14444576</c:v>
                </c:pt>
                <c:pt idx="176">
                  <c:v>10631040</c:v>
                </c:pt>
                <c:pt idx="177">
                  <c:v>16139853</c:v>
                </c:pt>
                <c:pt idx="178">
                  <c:v>15554034</c:v>
                </c:pt>
                <c:pt idx="179">
                  <c:v>11956395</c:v>
                </c:pt>
                <c:pt idx="180">
                  <c:v>9151673</c:v>
                </c:pt>
                <c:pt idx="181">
                  <c:v>14255040</c:v>
                </c:pt>
                <c:pt idx="182">
                  <c:v>10508261</c:v>
                </c:pt>
                <c:pt idx="183">
                  <c:v>5028402</c:v>
                </c:pt>
                <c:pt idx="184">
                  <c:v>8036651</c:v>
                </c:pt>
                <c:pt idx="185">
                  <c:v>9978587</c:v>
                </c:pt>
                <c:pt idx="186">
                  <c:v>7025133</c:v>
                </c:pt>
                <c:pt idx="187">
                  <c:v>14403374</c:v>
                </c:pt>
                <c:pt idx="188">
                  <c:v>18489185</c:v>
                </c:pt>
                <c:pt idx="189">
                  <c:v>25396777</c:v>
                </c:pt>
                <c:pt idx="190">
                  <c:v>17529732</c:v>
                </c:pt>
                <c:pt idx="191">
                  <c:v>15255116</c:v>
                </c:pt>
                <c:pt idx="192">
                  <c:v>13671737</c:v>
                </c:pt>
                <c:pt idx="193">
                  <c:v>11410797</c:v>
                </c:pt>
                <c:pt idx="194">
                  <c:v>18423138</c:v>
                </c:pt>
                <c:pt idx="195">
                  <c:v>15495255</c:v>
                </c:pt>
                <c:pt idx="196">
                  <c:v>23886521</c:v>
                </c:pt>
                <c:pt idx="197">
                  <c:v>15829855</c:v>
                </c:pt>
                <c:pt idx="198">
                  <c:v>16645385</c:v>
                </c:pt>
                <c:pt idx="199">
                  <c:v>26424427</c:v>
                </c:pt>
                <c:pt idx="200">
                  <c:v>12156385</c:v>
                </c:pt>
                <c:pt idx="201">
                  <c:v>21682655</c:v>
                </c:pt>
                <c:pt idx="202">
                  <c:v>16805930</c:v>
                </c:pt>
                <c:pt idx="203">
                  <c:v>23815668</c:v>
                </c:pt>
                <c:pt idx="204">
                  <c:v>28205203</c:v>
                </c:pt>
                <c:pt idx="205">
                  <c:v>13271934</c:v>
                </c:pt>
                <c:pt idx="206">
                  <c:v>22370886</c:v>
                </c:pt>
                <c:pt idx="207">
                  <c:v>15018472</c:v>
                </c:pt>
                <c:pt idx="208">
                  <c:v>17917721</c:v>
                </c:pt>
                <c:pt idx="209">
                  <c:v>12562239</c:v>
                </c:pt>
                <c:pt idx="210">
                  <c:v>11894355</c:v>
                </c:pt>
                <c:pt idx="211">
                  <c:v>14809409</c:v>
                </c:pt>
                <c:pt idx="212">
                  <c:v>14728222</c:v>
                </c:pt>
                <c:pt idx="213">
                  <c:v>15539879</c:v>
                </c:pt>
                <c:pt idx="214">
                  <c:v>12555582</c:v>
                </c:pt>
                <c:pt idx="215">
                  <c:v>13099727</c:v>
                </c:pt>
                <c:pt idx="216">
                  <c:v>23224590</c:v>
                </c:pt>
                <c:pt idx="217">
                  <c:v>14185484</c:v>
                </c:pt>
                <c:pt idx="218">
                  <c:v>30627636</c:v>
                </c:pt>
                <c:pt idx="219">
                  <c:v>14403652</c:v>
                </c:pt>
                <c:pt idx="220">
                  <c:v>17579265</c:v>
                </c:pt>
                <c:pt idx="221">
                  <c:v>14007222</c:v>
                </c:pt>
                <c:pt idx="222">
                  <c:v>17160724</c:v>
                </c:pt>
                <c:pt idx="223">
                  <c:v>19101180</c:v>
                </c:pt>
                <c:pt idx="224">
                  <c:v>18596356</c:v>
                </c:pt>
                <c:pt idx="225">
                  <c:v>17601805</c:v>
                </c:pt>
                <c:pt idx="226">
                  <c:v>18471077</c:v>
                </c:pt>
                <c:pt idx="227">
                  <c:v>27682894</c:v>
                </c:pt>
                <c:pt idx="228">
                  <c:v>15492976</c:v>
                </c:pt>
                <c:pt idx="229">
                  <c:v>15319154</c:v>
                </c:pt>
                <c:pt idx="230">
                  <c:v>17626228</c:v>
                </c:pt>
                <c:pt idx="231">
                  <c:v>13291131</c:v>
                </c:pt>
                <c:pt idx="232">
                  <c:v>17254207</c:v>
                </c:pt>
                <c:pt idx="233">
                  <c:v>13981512</c:v>
                </c:pt>
                <c:pt idx="234">
                  <c:v>15542308</c:v>
                </c:pt>
                <c:pt idx="235">
                  <c:v>12868506</c:v>
                </c:pt>
                <c:pt idx="236">
                  <c:v>21496850</c:v>
                </c:pt>
                <c:pt idx="237">
                  <c:v>15612706</c:v>
                </c:pt>
                <c:pt idx="238">
                  <c:v>11959813</c:v>
                </c:pt>
                <c:pt idx="239">
                  <c:v>16873213</c:v>
                </c:pt>
                <c:pt idx="240">
                  <c:v>15760670</c:v>
                </c:pt>
                <c:pt idx="241">
                  <c:v>9555222</c:v>
                </c:pt>
                <c:pt idx="242">
                  <c:v>8006367</c:v>
                </c:pt>
                <c:pt idx="243">
                  <c:v>11715521</c:v>
                </c:pt>
                <c:pt idx="244">
                  <c:v>21844058</c:v>
                </c:pt>
                <c:pt idx="245">
                  <c:v>6698080</c:v>
                </c:pt>
                <c:pt idx="246">
                  <c:v>8935665</c:v>
                </c:pt>
                <c:pt idx="247">
                  <c:v>6522860</c:v>
                </c:pt>
                <c:pt idx="248">
                  <c:v>4892062</c:v>
                </c:pt>
                <c:pt idx="249">
                  <c:v>3913898</c:v>
                </c:pt>
                <c:pt idx="250">
                  <c:v>6046089</c:v>
                </c:pt>
                <c:pt idx="251">
                  <c:v>7562964</c:v>
                </c:pt>
                <c:pt idx="252">
                  <c:v>12996355</c:v>
                </c:pt>
                <c:pt idx="253">
                  <c:v>13773739</c:v>
                </c:pt>
                <c:pt idx="254">
                  <c:v>8806385</c:v>
                </c:pt>
                <c:pt idx="255">
                  <c:v>5022111</c:v>
                </c:pt>
                <c:pt idx="256">
                  <c:v>17439501</c:v>
                </c:pt>
                <c:pt idx="257">
                  <c:v>6635292</c:v>
                </c:pt>
                <c:pt idx="258">
                  <c:v>5645899</c:v>
                </c:pt>
                <c:pt idx="259">
                  <c:v>7746197</c:v>
                </c:pt>
                <c:pt idx="260">
                  <c:v>4451998</c:v>
                </c:pt>
                <c:pt idx="261">
                  <c:v>6146549</c:v>
                </c:pt>
              </c:numCache>
            </c:numRef>
          </c:val>
          <c:extLst>
            <c:ext xmlns:c16="http://schemas.microsoft.com/office/drawing/2014/chart" uri="{C3380CC4-5D6E-409C-BE32-E72D297353CC}">
              <c16:uniqueId val="{00000000-92FB-44B8-A967-D8C54954385D}"/>
            </c:ext>
          </c:extLst>
        </c:ser>
        <c:dLbls>
          <c:showLegendKey val="0"/>
          <c:showVal val="0"/>
          <c:showCatName val="0"/>
          <c:showSerName val="0"/>
          <c:showPercent val="0"/>
          <c:showBubbleSize val="0"/>
        </c:dLbls>
        <c:axId val="677715568"/>
        <c:axId val="677731888"/>
      </c:areaChart>
      <c:catAx>
        <c:axId val="677715568"/>
        <c:scaling>
          <c:orientation val="minMax"/>
        </c:scaling>
        <c:delete val="1"/>
        <c:axPos val="b"/>
        <c:numFmt formatCode="General" sourceLinked="1"/>
        <c:majorTickMark val="out"/>
        <c:minorTickMark val="none"/>
        <c:tickLblPos val="nextTo"/>
        <c:crossAx val="677731888"/>
        <c:crosses val="autoZero"/>
        <c:auto val="1"/>
        <c:lblAlgn val="ctr"/>
        <c:lblOffset val="100"/>
        <c:noMultiLvlLbl val="0"/>
      </c:catAx>
      <c:valAx>
        <c:axId val="677731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1556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38654"/>
            </a:solidFill>
            <a:ln>
              <a:noFill/>
            </a:ln>
            <a:effectLst/>
          </c:spPr>
          <c:invertIfNegative val="0"/>
          <c:cat>
            <c:strRef>
              <c:f>Rough!$U$51:$U$54</c:f>
              <c:strCache>
                <c:ptCount val="4"/>
                <c:pt idx="0">
                  <c:v>Promoters</c:v>
                </c:pt>
                <c:pt idx="1">
                  <c:v>FII</c:v>
                </c:pt>
                <c:pt idx="2">
                  <c:v>DII</c:v>
                </c:pt>
                <c:pt idx="3">
                  <c:v>Public &amp; 
Government</c:v>
                </c:pt>
              </c:strCache>
            </c:strRef>
          </c:cat>
          <c:val>
            <c:numRef>
              <c:f>Rough!$V$51:$V$54</c:f>
              <c:numCache>
                <c:formatCode>0.00%</c:formatCode>
                <c:ptCount val="4"/>
                <c:pt idx="0">
                  <c:v>0.66249999999999998</c:v>
                </c:pt>
                <c:pt idx="1">
                  <c:v>0.14990000000000001</c:v>
                </c:pt>
                <c:pt idx="2">
                  <c:v>0.13450000000000001</c:v>
                </c:pt>
                <c:pt idx="3">
                  <c:v>5.33E-2</c:v>
                </c:pt>
              </c:numCache>
            </c:numRef>
          </c:val>
          <c:extLst>
            <c:ext xmlns:c16="http://schemas.microsoft.com/office/drawing/2014/chart" uri="{C3380CC4-5D6E-409C-BE32-E72D297353CC}">
              <c16:uniqueId val="{00000000-6B46-4F48-AC7C-EDF1FC87BADB}"/>
            </c:ext>
          </c:extLst>
        </c:ser>
        <c:dLbls>
          <c:showLegendKey val="0"/>
          <c:showVal val="0"/>
          <c:showCatName val="0"/>
          <c:showSerName val="0"/>
          <c:showPercent val="0"/>
          <c:showBubbleSize val="0"/>
        </c:dLbls>
        <c:gapWidth val="182"/>
        <c:axId val="692275216"/>
        <c:axId val="692275696"/>
      </c:barChart>
      <c:catAx>
        <c:axId val="69227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275696"/>
        <c:crosses val="autoZero"/>
        <c:auto val="1"/>
        <c:lblAlgn val="ctr"/>
        <c:lblOffset val="100"/>
        <c:noMultiLvlLbl val="0"/>
      </c:catAx>
      <c:valAx>
        <c:axId val="6922756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2752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8CE96109-3036-445E-83DC-31BA68D904AC}">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Daily Returns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Daily Returns Distribution</a:t>
          </a:r>
        </a:p>
      </cx:txPr>
    </cx:title>
    <cx:plotArea>
      <cx:plotAreaRegion>
        <cx:series layoutId="clusteredColumn" uniqueId="{8CE96109-3036-445E-83DC-31BA68D904AC}">
          <cx:spPr>
            <a:solidFill>
              <a:srgbClr val="00B0F0"/>
            </a:solidFill>
            <a:ln>
              <a:noFill/>
            </a:ln>
          </cx:spPr>
          <cx:dataId val="0"/>
          <cx:layoutPr>
            <cx:binning intervalClosed="r"/>
          </cx:layoutPr>
        </cx:series>
      </cx:plotAreaRegion>
      <cx:axis id="0" hidden="1">
        <cx:catScaling gapWidth="0"/>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4/relationships/chartEx" Target="../charts/chartEx2.xml"/><Relationship Id="rId1" Type="http://schemas.microsoft.com/office/2014/relationships/chartEx" Target="../charts/chartEx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image" Target="../media/image2.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2.png"/><Relationship Id="rId5" Type="http://schemas.openxmlformats.org/officeDocument/2006/relationships/chart" Target="../charts/chart15.xml"/><Relationship Id="rId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10</xdr:col>
      <xdr:colOff>711199</xdr:colOff>
      <xdr:row>0</xdr:row>
      <xdr:rowOff>127001</xdr:rowOff>
    </xdr:from>
    <xdr:to>
      <xdr:col>12</xdr:col>
      <xdr:colOff>303278</xdr:colOff>
      <xdr:row>4</xdr:row>
      <xdr:rowOff>21410</xdr:rowOff>
    </xdr:to>
    <xdr:grpSp>
      <xdr:nvGrpSpPr>
        <xdr:cNvPr id="5" name="Group 4">
          <a:extLst>
            <a:ext uri="{FF2B5EF4-FFF2-40B4-BE49-F238E27FC236}">
              <a16:creationId xmlns:a16="http://schemas.microsoft.com/office/drawing/2014/main" id="{0F174F2A-CED8-4610-9D33-39B2CEBCEF0A}"/>
            </a:ext>
          </a:extLst>
        </xdr:cNvPr>
        <xdr:cNvGrpSpPr/>
      </xdr:nvGrpSpPr>
      <xdr:grpSpPr>
        <a:xfrm>
          <a:off x="10066866" y="127001"/>
          <a:ext cx="1387012" cy="707209"/>
          <a:chOff x="6477000" y="108856"/>
          <a:chExt cx="1260929" cy="716643"/>
        </a:xfrm>
      </xdr:grpSpPr>
      <xdr:sp macro="" textlink="">
        <xdr:nvSpPr>
          <xdr:cNvPr id="6" name="Parallelogram 5">
            <a:extLst>
              <a:ext uri="{FF2B5EF4-FFF2-40B4-BE49-F238E27FC236}">
                <a16:creationId xmlns:a16="http://schemas.microsoft.com/office/drawing/2014/main" id="{1E50384D-8D6C-6F30-AE07-9548B32BECF4}"/>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7" name="Picture 6" descr="Dabur Logo / Medicine / Logonoid.com">
            <a:extLst>
              <a:ext uri="{FF2B5EF4-FFF2-40B4-BE49-F238E27FC236}">
                <a16:creationId xmlns:a16="http://schemas.microsoft.com/office/drawing/2014/main" id="{6BF054B5-988D-F953-6187-78FA410031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170448</xdr:colOff>
      <xdr:row>0</xdr:row>
      <xdr:rowOff>130342</xdr:rowOff>
    </xdr:from>
    <xdr:to>
      <xdr:col>15</xdr:col>
      <xdr:colOff>334249</xdr:colOff>
      <xdr:row>4</xdr:row>
      <xdr:rowOff>5367</xdr:rowOff>
    </xdr:to>
    <xdr:grpSp>
      <xdr:nvGrpSpPr>
        <xdr:cNvPr id="2" name="Group 1">
          <a:extLst>
            <a:ext uri="{FF2B5EF4-FFF2-40B4-BE49-F238E27FC236}">
              <a16:creationId xmlns:a16="http://schemas.microsoft.com/office/drawing/2014/main" id="{DC0B4BC1-6500-467B-A1D2-BBF336C7730B}"/>
            </a:ext>
          </a:extLst>
        </xdr:cNvPr>
        <xdr:cNvGrpSpPr/>
      </xdr:nvGrpSpPr>
      <xdr:grpSpPr>
        <a:xfrm>
          <a:off x="10688053" y="130342"/>
          <a:ext cx="1387012" cy="707209"/>
          <a:chOff x="6477000" y="108856"/>
          <a:chExt cx="1260929" cy="716643"/>
        </a:xfrm>
      </xdr:grpSpPr>
      <xdr:sp macro="" textlink="">
        <xdr:nvSpPr>
          <xdr:cNvPr id="3" name="Parallelogram 2">
            <a:extLst>
              <a:ext uri="{FF2B5EF4-FFF2-40B4-BE49-F238E27FC236}">
                <a16:creationId xmlns:a16="http://schemas.microsoft.com/office/drawing/2014/main" id="{BA79A1C6-C0DB-480B-B5CE-A651797BEAED}"/>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 name="Picture 3" descr="Dabur Logo / Medicine / Logonoid.com">
            <a:extLst>
              <a:ext uri="{FF2B5EF4-FFF2-40B4-BE49-F238E27FC236}">
                <a16:creationId xmlns:a16="http://schemas.microsoft.com/office/drawing/2014/main" id="{83F2CA02-40CF-01B2-80B0-BB552598E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533400</xdr:colOff>
      <xdr:row>0</xdr:row>
      <xdr:rowOff>137160</xdr:rowOff>
    </xdr:from>
    <xdr:to>
      <xdr:col>12</xdr:col>
      <xdr:colOff>289732</xdr:colOff>
      <xdr:row>4</xdr:row>
      <xdr:rowOff>13789</xdr:rowOff>
    </xdr:to>
    <xdr:grpSp>
      <xdr:nvGrpSpPr>
        <xdr:cNvPr id="2" name="Group 1">
          <a:extLst>
            <a:ext uri="{FF2B5EF4-FFF2-40B4-BE49-F238E27FC236}">
              <a16:creationId xmlns:a16="http://schemas.microsoft.com/office/drawing/2014/main" id="{ECF2D5B2-4520-4095-909E-69CA4C1AB364}"/>
            </a:ext>
          </a:extLst>
        </xdr:cNvPr>
        <xdr:cNvGrpSpPr/>
      </xdr:nvGrpSpPr>
      <xdr:grpSpPr>
        <a:xfrm>
          <a:off x="8681720" y="137160"/>
          <a:ext cx="1381932" cy="709749"/>
          <a:chOff x="6477000" y="108856"/>
          <a:chExt cx="1260929" cy="716643"/>
        </a:xfrm>
      </xdr:grpSpPr>
      <xdr:sp macro="" textlink="">
        <xdr:nvSpPr>
          <xdr:cNvPr id="3" name="Parallelogram 2">
            <a:extLst>
              <a:ext uri="{FF2B5EF4-FFF2-40B4-BE49-F238E27FC236}">
                <a16:creationId xmlns:a16="http://schemas.microsoft.com/office/drawing/2014/main" id="{2318FB19-AA37-B88F-FD13-DAE589A3F79B}"/>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 name="Picture 3" descr="Dabur Logo / Medicine / Logonoid.com">
            <a:extLst>
              <a:ext uri="{FF2B5EF4-FFF2-40B4-BE49-F238E27FC236}">
                <a16:creationId xmlns:a16="http://schemas.microsoft.com/office/drawing/2014/main" id="{38A6FC38-A7C8-73B0-F9D1-2E007FDFD2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21</xdr:row>
      <xdr:rowOff>106680</xdr:rowOff>
    </xdr:from>
    <xdr:to>
      <xdr:col>5</xdr:col>
      <xdr:colOff>190500</xdr:colOff>
      <xdr:row>34</xdr:row>
      <xdr:rowOff>83820</xdr:rowOff>
    </xdr:to>
    <xdr:graphicFrame macro="">
      <xdr:nvGraphicFramePr>
        <xdr:cNvPr id="3" name="Chart 2">
          <a:extLst>
            <a:ext uri="{FF2B5EF4-FFF2-40B4-BE49-F238E27FC236}">
              <a16:creationId xmlns:a16="http://schemas.microsoft.com/office/drawing/2014/main" id="{B758CE5E-7A43-ED99-A5B9-DF2008B97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236220</xdr:colOff>
      <xdr:row>21</xdr:row>
      <xdr:rowOff>99060</xdr:rowOff>
    </xdr:from>
    <xdr:to>
      <xdr:col>10</xdr:col>
      <xdr:colOff>121920</xdr:colOff>
      <xdr:row>34</xdr:row>
      <xdr:rowOff>76200</xdr:rowOff>
    </xdr:to>
    <xdr:graphicFrame macro="">
      <xdr:nvGraphicFramePr>
        <xdr:cNvPr id="4" name="Chart 3">
          <a:extLst>
            <a:ext uri="{FF2B5EF4-FFF2-40B4-BE49-F238E27FC236}">
              <a16:creationId xmlns:a16="http://schemas.microsoft.com/office/drawing/2014/main" id="{393B0802-9E2E-428C-AF0E-D1EE10067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167640</xdr:colOff>
      <xdr:row>21</xdr:row>
      <xdr:rowOff>91440</xdr:rowOff>
    </xdr:from>
    <xdr:to>
      <xdr:col>15</xdr:col>
      <xdr:colOff>152400</xdr:colOff>
      <xdr:row>34</xdr:row>
      <xdr:rowOff>68580</xdr:rowOff>
    </xdr:to>
    <xdr:graphicFrame macro="">
      <xdr:nvGraphicFramePr>
        <xdr:cNvPr id="5" name="Chart 4">
          <a:extLst>
            <a:ext uri="{FF2B5EF4-FFF2-40B4-BE49-F238E27FC236}">
              <a16:creationId xmlns:a16="http://schemas.microsoft.com/office/drawing/2014/main" id="{47B85861-C56F-4166-9CFA-ECA904F78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533400</xdr:colOff>
      <xdr:row>0</xdr:row>
      <xdr:rowOff>160020</xdr:rowOff>
    </xdr:from>
    <xdr:to>
      <xdr:col>15</xdr:col>
      <xdr:colOff>289732</xdr:colOff>
      <xdr:row>4</xdr:row>
      <xdr:rowOff>44269</xdr:rowOff>
    </xdr:to>
    <xdr:grpSp>
      <xdr:nvGrpSpPr>
        <xdr:cNvPr id="6" name="Group 5">
          <a:extLst>
            <a:ext uri="{FF2B5EF4-FFF2-40B4-BE49-F238E27FC236}">
              <a16:creationId xmlns:a16="http://schemas.microsoft.com/office/drawing/2014/main" id="{252E989E-15D5-4602-B021-FC6E687EAD79}"/>
            </a:ext>
          </a:extLst>
        </xdr:cNvPr>
        <xdr:cNvGrpSpPr/>
      </xdr:nvGrpSpPr>
      <xdr:grpSpPr>
        <a:xfrm>
          <a:off x="9544050" y="160020"/>
          <a:ext cx="1394632" cy="712924"/>
          <a:chOff x="6477000" y="108856"/>
          <a:chExt cx="1260929" cy="716643"/>
        </a:xfrm>
      </xdr:grpSpPr>
      <xdr:sp macro="" textlink="">
        <xdr:nvSpPr>
          <xdr:cNvPr id="7" name="Parallelogram 6">
            <a:extLst>
              <a:ext uri="{FF2B5EF4-FFF2-40B4-BE49-F238E27FC236}">
                <a16:creationId xmlns:a16="http://schemas.microsoft.com/office/drawing/2014/main" id="{3D1964C4-0775-D05B-5FB6-C01AE707DDD1}"/>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8" name="Picture 7" descr="Dabur Logo / Medicine / Logonoid.com">
            <a:extLst>
              <a:ext uri="{FF2B5EF4-FFF2-40B4-BE49-F238E27FC236}">
                <a16:creationId xmlns:a16="http://schemas.microsoft.com/office/drawing/2014/main" id="{DD818A72-B11E-7C8F-DE01-1875DCD88B9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53340</xdr:colOff>
      <xdr:row>0</xdr:row>
      <xdr:rowOff>167640</xdr:rowOff>
    </xdr:from>
    <xdr:to>
      <xdr:col>10</xdr:col>
      <xdr:colOff>297352</xdr:colOff>
      <xdr:row>4</xdr:row>
      <xdr:rowOff>44269</xdr:rowOff>
    </xdr:to>
    <xdr:grpSp>
      <xdr:nvGrpSpPr>
        <xdr:cNvPr id="5" name="Group 4">
          <a:extLst>
            <a:ext uri="{FF2B5EF4-FFF2-40B4-BE49-F238E27FC236}">
              <a16:creationId xmlns:a16="http://schemas.microsoft.com/office/drawing/2014/main" id="{48E47B84-CBB9-4D6B-BCB6-826CAE257A5B}"/>
            </a:ext>
          </a:extLst>
        </xdr:cNvPr>
        <xdr:cNvGrpSpPr/>
      </xdr:nvGrpSpPr>
      <xdr:grpSpPr>
        <a:xfrm>
          <a:off x="5120640" y="167640"/>
          <a:ext cx="1333672" cy="707209"/>
          <a:chOff x="6477000" y="108856"/>
          <a:chExt cx="1260929" cy="716643"/>
        </a:xfrm>
      </xdr:grpSpPr>
      <xdr:sp macro="" textlink="">
        <xdr:nvSpPr>
          <xdr:cNvPr id="6" name="Parallelogram 5">
            <a:extLst>
              <a:ext uri="{FF2B5EF4-FFF2-40B4-BE49-F238E27FC236}">
                <a16:creationId xmlns:a16="http://schemas.microsoft.com/office/drawing/2014/main" id="{DE66E720-986F-7077-FF79-AF90A3725995}"/>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7" name="Picture 6" descr="Dabur Logo / Medicine / Logonoid.com">
            <a:extLst>
              <a:ext uri="{FF2B5EF4-FFF2-40B4-BE49-F238E27FC236}">
                <a16:creationId xmlns:a16="http://schemas.microsoft.com/office/drawing/2014/main" id="{6B8DCF76-2660-5BE0-89E5-03C49E50F2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350520</xdr:colOff>
      <xdr:row>0</xdr:row>
      <xdr:rowOff>167640</xdr:rowOff>
    </xdr:from>
    <xdr:to>
      <xdr:col>12</xdr:col>
      <xdr:colOff>312592</xdr:colOff>
      <xdr:row>4</xdr:row>
      <xdr:rowOff>36649</xdr:rowOff>
    </xdr:to>
    <xdr:grpSp>
      <xdr:nvGrpSpPr>
        <xdr:cNvPr id="2" name="Group 1">
          <a:extLst>
            <a:ext uri="{FF2B5EF4-FFF2-40B4-BE49-F238E27FC236}">
              <a16:creationId xmlns:a16="http://schemas.microsoft.com/office/drawing/2014/main" id="{2D5BEE08-235A-4F6D-B552-19EBA37C6DFE}"/>
            </a:ext>
          </a:extLst>
        </xdr:cNvPr>
        <xdr:cNvGrpSpPr/>
      </xdr:nvGrpSpPr>
      <xdr:grpSpPr>
        <a:xfrm>
          <a:off x="6783218" y="167640"/>
          <a:ext cx="1379746" cy="684172"/>
          <a:chOff x="6477000" y="108856"/>
          <a:chExt cx="1260929" cy="716643"/>
        </a:xfrm>
      </xdr:grpSpPr>
      <xdr:sp macro="" textlink="">
        <xdr:nvSpPr>
          <xdr:cNvPr id="3" name="Parallelogram 2">
            <a:extLst>
              <a:ext uri="{FF2B5EF4-FFF2-40B4-BE49-F238E27FC236}">
                <a16:creationId xmlns:a16="http://schemas.microsoft.com/office/drawing/2014/main" id="{DD489388-1A70-25E9-79E0-6130AF235EDD}"/>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 name="Picture 3" descr="Dabur Logo / Medicine / Logonoid.com">
            <a:extLst>
              <a:ext uri="{FF2B5EF4-FFF2-40B4-BE49-F238E27FC236}">
                <a16:creationId xmlns:a16="http://schemas.microsoft.com/office/drawing/2014/main" id="{5F10A96E-A864-1177-AD94-B2AAF45E94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701040</xdr:colOff>
      <xdr:row>0</xdr:row>
      <xdr:rowOff>172720</xdr:rowOff>
    </xdr:from>
    <xdr:to>
      <xdr:col>10</xdr:col>
      <xdr:colOff>279572</xdr:colOff>
      <xdr:row>4</xdr:row>
      <xdr:rowOff>46809</xdr:rowOff>
    </xdr:to>
    <xdr:grpSp>
      <xdr:nvGrpSpPr>
        <xdr:cNvPr id="5" name="Group 4">
          <a:extLst>
            <a:ext uri="{FF2B5EF4-FFF2-40B4-BE49-F238E27FC236}">
              <a16:creationId xmlns:a16="http://schemas.microsoft.com/office/drawing/2014/main" id="{E8874B8E-C619-4A69-9EBD-B39D227F4595}"/>
            </a:ext>
          </a:extLst>
        </xdr:cNvPr>
        <xdr:cNvGrpSpPr/>
      </xdr:nvGrpSpPr>
      <xdr:grpSpPr>
        <a:xfrm>
          <a:off x="6683178" y="172720"/>
          <a:ext cx="1382808" cy="697399"/>
          <a:chOff x="6477000" y="108856"/>
          <a:chExt cx="1260929" cy="716643"/>
        </a:xfrm>
      </xdr:grpSpPr>
      <xdr:sp macro="" textlink="">
        <xdr:nvSpPr>
          <xdr:cNvPr id="6" name="Parallelogram 5">
            <a:extLst>
              <a:ext uri="{FF2B5EF4-FFF2-40B4-BE49-F238E27FC236}">
                <a16:creationId xmlns:a16="http://schemas.microsoft.com/office/drawing/2014/main" id="{79FDF091-D41B-D643-5D0F-38E7EC5FA903}"/>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7" name="Picture 6" descr="Dabur Logo / Medicine / Logonoid.com">
            <a:extLst>
              <a:ext uri="{FF2B5EF4-FFF2-40B4-BE49-F238E27FC236}">
                <a16:creationId xmlns:a16="http://schemas.microsoft.com/office/drawing/2014/main" id="{8229FC74-338F-3D04-52A1-0FD0D21218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480786</xdr:colOff>
      <xdr:row>7</xdr:row>
      <xdr:rowOff>54429</xdr:rowOff>
    </xdr:from>
    <xdr:to>
      <xdr:col>17</xdr:col>
      <xdr:colOff>399143</xdr:colOff>
      <xdr:row>11</xdr:row>
      <xdr:rowOff>117930</xdr:rowOff>
    </xdr:to>
    <xdr:sp macro="" textlink="">
      <xdr:nvSpPr>
        <xdr:cNvPr id="6" name="Parallelogram 5">
          <a:extLst>
            <a:ext uri="{FF2B5EF4-FFF2-40B4-BE49-F238E27FC236}">
              <a16:creationId xmlns:a16="http://schemas.microsoft.com/office/drawing/2014/main" id="{7B1BAF51-D7E9-4AE3-ACD5-92BD9FF8C3E6}"/>
            </a:ext>
          </a:extLst>
        </xdr:cNvPr>
        <xdr:cNvSpPr/>
      </xdr:nvSpPr>
      <xdr:spPr>
        <a:xfrm>
          <a:off x="11575143" y="1406072"/>
          <a:ext cx="526143" cy="789215"/>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121920</xdr:colOff>
      <xdr:row>0</xdr:row>
      <xdr:rowOff>160020</xdr:rowOff>
    </xdr:from>
    <xdr:to>
      <xdr:col>11</xdr:col>
      <xdr:colOff>289732</xdr:colOff>
      <xdr:row>4</xdr:row>
      <xdr:rowOff>36649</xdr:rowOff>
    </xdr:to>
    <xdr:grpSp>
      <xdr:nvGrpSpPr>
        <xdr:cNvPr id="9" name="Group 8">
          <a:extLst>
            <a:ext uri="{FF2B5EF4-FFF2-40B4-BE49-F238E27FC236}">
              <a16:creationId xmlns:a16="http://schemas.microsoft.com/office/drawing/2014/main" id="{4AB55EFF-C985-406D-B614-9F2FBDD24333}"/>
            </a:ext>
          </a:extLst>
        </xdr:cNvPr>
        <xdr:cNvGrpSpPr/>
      </xdr:nvGrpSpPr>
      <xdr:grpSpPr>
        <a:xfrm>
          <a:off x="6362700" y="160020"/>
          <a:ext cx="1387012" cy="691969"/>
          <a:chOff x="6477000" y="108856"/>
          <a:chExt cx="1260929" cy="716643"/>
        </a:xfrm>
      </xdr:grpSpPr>
      <xdr:sp macro="" textlink="">
        <xdr:nvSpPr>
          <xdr:cNvPr id="10" name="Parallelogram 9">
            <a:extLst>
              <a:ext uri="{FF2B5EF4-FFF2-40B4-BE49-F238E27FC236}">
                <a16:creationId xmlns:a16="http://schemas.microsoft.com/office/drawing/2014/main" id="{C51314FF-7C9B-6B8A-B5D6-BB43F5A36F37}"/>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1" name="Picture 10" descr="Dabur Logo / Medicine / Logonoid.com">
            <a:extLst>
              <a:ext uri="{FF2B5EF4-FFF2-40B4-BE49-F238E27FC236}">
                <a16:creationId xmlns:a16="http://schemas.microsoft.com/office/drawing/2014/main" id="{514CD2B3-985E-A629-55A0-C5933A9AA6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14</xdr:col>
      <xdr:colOff>553358</xdr:colOff>
      <xdr:row>1</xdr:row>
      <xdr:rowOff>0</xdr:rowOff>
    </xdr:from>
    <xdr:to>
      <xdr:col>16</xdr:col>
      <xdr:colOff>289370</xdr:colOff>
      <xdr:row>4</xdr:row>
      <xdr:rowOff>9071</xdr:rowOff>
    </xdr:to>
    <xdr:grpSp>
      <xdr:nvGrpSpPr>
        <xdr:cNvPr id="2" name="Group 1">
          <a:extLst>
            <a:ext uri="{FF2B5EF4-FFF2-40B4-BE49-F238E27FC236}">
              <a16:creationId xmlns:a16="http://schemas.microsoft.com/office/drawing/2014/main" id="{0643053F-1942-411C-85A7-B4EF69B03132}"/>
            </a:ext>
          </a:extLst>
        </xdr:cNvPr>
        <xdr:cNvGrpSpPr/>
      </xdr:nvGrpSpPr>
      <xdr:grpSpPr>
        <a:xfrm>
          <a:off x="9697358" y="181429"/>
          <a:ext cx="1387012" cy="653142"/>
          <a:chOff x="6477000" y="108856"/>
          <a:chExt cx="1260929" cy="716643"/>
        </a:xfrm>
      </xdr:grpSpPr>
      <xdr:sp macro="" textlink="">
        <xdr:nvSpPr>
          <xdr:cNvPr id="3" name="Parallelogram 2">
            <a:extLst>
              <a:ext uri="{FF2B5EF4-FFF2-40B4-BE49-F238E27FC236}">
                <a16:creationId xmlns:a16="http://schemas.microsoft.com/office/drawing/2014/main" id="{0057C77E-BCE1-9F31-429C-A35E77262369}"/>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 name="Picture 3" descr="Dabur Logo / Medicine / Logonoid.com">
            <a:extLst>
              <a:ext uri="{FF2B5EF4-FFF2-40B4-BE49-F238E27FC236}">
                <a16:creationId xmlns:a16="http://schemas.microsoft.com/office/drawing/2014/main" id="{F3BA5001-37C7-2E06-E0C4-92CE844F1A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6</xdr:row>
      <xdr:rowOff>129540</xdr:rowOff>
    </xdr:from>
    <xdr:to>
      <xdr:col>8</xdr:col>
      <xdr:colOff>198120</xdr:colOff>
      <xdr:row>26</xdr:row>
      <xdr:rowOff>114300</xdr:rowOff>
    </xdr:to>
    <xdr:graphicFrame macro="">
      <xdr:nvGraphicFramePr>
        <xdr:cNvPr id="2" name="Chart 1">
          <a:extLst>
            <a:ext uri="{FF2B5EF4-FFF2-40B4-BE49-F238E27FC236}">
              <a16:creationId xmlns:a16="http://schemas.microsoft.com/office/drawing/2014/main" id="{B586E047-E34F-BA7C-25AE-3CB9D7EFB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376047</xdr:colOff>
      <xdr:row>17</xdr:row>
      <xdr:rowOff>7620</xdr:rowOff>
    </xdr:from>
    <xdr:to>
      <xdr:col>8</xdr:col>
      <xdr:colOff>73533</xdr:colOff>
      <xdr:row>17</xdr:row>
      <xdr:rowOff>7620</xdr:rowOff>
    </xdr:to>
    <xdr:cxnSp macro="">
      <xdr:nvCxnSpPr>
        <xdr:cNvPr id="5" name="Straight Connector 4">
          <a:extLst>
            <a:ext uri="{FF2B5EF4-FFF2-40B4-BE49-F238E27FC236}">
              <a16:creationId xmlns:a16="http://schemas.microsoft.com/office/drawing/2014/main" id="{1241DF40-B598-CEFE-4FD8-A0C5FE60DFB0}"/>
            </a:ext>
          </a:extLst>
        </xdr:cNvPr>
        <xdr:cNvCxnSpPr/>
      </xdr:nvCxnSpPr>
      <xdr:spPr>
        <a:xfrm>
          <a:off x="505587" y="3063240"/>
          <a:ext cx="3964686" cy="0"/>
        </a:xfrm>
        <a:prstGeom prst="line">
          <a:avLst/>
        </a:prstGeom>
        <a:ln w="9525"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228600</xdr:colOff>
      <xdr:row>1</xdr:row>
      <xdr:rowOff>129540</xdr:rowOff>
    </xdr:from>
    <xdr:to>
      <xdr:col>15</xdr:col>
      <xdr:colOff>289732</xdr:colOff>
      <xdr:row>5</xdr:row>
      <xdr:rowOff>21409</xdr:rowOff>
    </xdr:to>
    <xdr:grpSp>
      <xdr:nvGrpSpPr>
        <xdr:cNvPr id="9" name="Group 8">
          <a:extLst>
            <a:ext uri="{FF2B5EF4-FFF2-40B4-BE49-F238E27FC236}">
              <a16:creationId xmlns:a16="http://schemas.microsoft.com/office/drawing/2014/main" id="{CE991943-257B-4792-AA39-2C3D9ECCDF86}"/>
            </a:ext>
          </a:extLst>
        </xdr:cNvPr>
        <xdr:cNvGrpSpPr/>
      </xdr:nvGrpSpPr>
      <xdr:grpSpPr>
        <a:xfrm>
          <a:off x="7376160" y="312420"/>
          <a:ext cx="1387012" cy="707209"/>
          <a:chOff x="6477000" y="108856"/>
          <a:chExt cx="1260929" cy="716643"/>
        </a:xfrm>
      </xdr:grpSpPr>
      <xdr:sp macro="" textlink="">
        <xdr:nvSpPr>
          <xdr:cNvPr id="10" name="Parallelogram 9">
            <a:extLst>
              <a:ext uri="{FF2B5EF4-FFF2-40B4-BE49-F238E27FC236}">
                <a16:creationId xmlns:a16="http://schemas.microsoft.com/office/drawing/2014/main" id="{6777A2AC-57A3-2049-9B47-0932FF462D41}"/>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1" name="Picture 10" descr="Dabur Logo / Medicine / Logonoid.com">
            <a:extLst>
              <a:ext uri="{FF2B5EF4-FFF2-40B4-BE49-F238E27FC236}">
                <a16:creationId xmlns:a16="http://schemas.microsoft.com/office/drawing/2014/main" id="{A113A750-C5FA-7B8A-C57D-69AC2E3FFD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449791</xdr:colOff>
      <xdr:row>4972</xdr:row>
      <xdr:rowOff>125943</xdr:rowOff>
    </xdr:from>
    <xdr:to>
      <xdr:col>15</xdr:col>
      <xdr:colOff>15875</xdr:colOff>
      <xdr:row>4987</xdr:row>
      <xdr:rowOff>170393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CBE82EC-7A87-FCC5-FC29-D86330E685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65631" y="909534843"/>
              <a:ext cx="4762924" cy="2787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63458</xdr:colOff>
      <xdr:row>36</xdr:row>
      <xdr:rowOff>4717</xdr:rowOff>
    </xdr:from>
    <xdr:to>
      <xdr:col>13</xdr:col>
      <xdr:colOff>166119</xdr:colOff>
      <xdr:row>47</xdr:row>
      <xdr:rowOff>99968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223F198-8885-41E3-800C-A1A0CDE207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29818" y="6717937"/>
              <a:ext cx="3729781" cy="21069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440184</xdr:colOff>
      <xdr:row>0</xdr:row>
      <xdr:rowOff>154113</xdr:rowOff>
    </xdr:from>
    <xdr:to>
      <xdr:col>13</xdr:col>
      <xdr:colOff>277510</xdr:colOff>
      <xdr:row>4</xdr:row>
      <xdr:rowOff>47951</xdr:rowOff>
    </xdr:to>
    <xdr:grpSp>
      <xdr:nvGrpSpPr>
        <xdr:cNvPr id="4" name="Group 3">
          <a:extLst>
            <a:ext uri="{FF2B5EF4-FFF2-40B4-BE49-F238E27FC236}">
              <a16:creationId xmlns:a16="http://schemas.microsoft.com/office/drawing/2014/main" id="{FCB4A41A-A16B-4B7E-9B4B-99D5AB97A2E3}"/>
            </a:ext>
          </a:extLst>
        </xdr:cNvPr>
        <xdr:cNvGrpSpPr/>
      </xdr:nvGrpSpPr>
      <xdr:grpSpPr>
        <a:xfrm>
          <a:off x="7697327" y="154113"/>
          <a:ext cx="1385516" cy="716314"/>
          <a:chOff x="6477000" y="108856"/>
          <a:chExt cx="1260929" cy="716643"/>
        </a:xfrm>
      </xdr:grpSpPr>
      <xdr:sp macro="" textlink="">
        <xdr:nvSpPr>
          <xdr:cNvPr id="5" name="Parallelogram 4">
            <a:extLst>
              <a:ext uri="{FF2B5EF4-FFF2-40B4-BE49-F238E27FC236}">
                <a16:creationId xmlns:a16="http://schemas.microsoft.com/office/drawing/2014/main" id="{DB918307-05C9-71EE-DA32-A9BA9F5886D3}"/>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 name="Picture 5" descr="Dabur Logo / Medicine / Logonoid.com">
            <a:extLst>
              <a:ext uri="{FF2B5EF4-FFF2-40B4-BE49-F238E27FC236}">
                <a16:creationId xmlns:a16="http://schemas.microsoft.com/office/drawing/2014/main" id="{7E158E75-734F-D4D2-827E-8419DA23433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26899</xdr:colOff>
      <xdr:row>2</xdr:row>
      <xdr:rowOff>53340</xdr:rowOff>
    </xdr:from>
    <xdr:to>
      <xdr:col>10</xdr:col>
      <xdr:colOff>311997</xdr:colOff>
      <xdr:row>5</xdr:row>
      <xdr:rowOff>116541</xdr:rowOff>
    </xdr:to>
    <xdr:grpSp>
      <xdr:nvGrpSpPr>
        <xdr:cNvPr id="2" name="Group 1">
          <a:extLst>
            <a:ext uri="{FF2B5EF4-FFF2-40B4-BE49-F238E27FC236}">
              <a16:creationId xmlns:a16="http://schemas.microsoft.com/office/drawing/2014/main" id="{A0097521-02AA-4CAF-B9BB-A62BEC6B7131}"/>
            </a:ext>
          </a:extLst>
        </xdr:cNvPr>
        <xdr:cNvGrpSpPr/>
      </xdr:nvGrpSpPr>
      <xdr:grpSpPr>
        <a:xfrm>
          <a:off x="6281649" y="421640"/>
          <a:ext cx="1504298" cy="888701"/>
          <a:chOff x="6477000" y="108856"/>
          <a:chExt cx="1260929" cy="716643"/>
        </a:xfrm>
      </xdr:grpSpPr>
      <xdr:sp macro="" textlink="">
        <xdr:nvSpPr>
          <xdr:cNvPr id="3" name="Parallelogram 2">
            <a:extLst>
              <a:ext uri="{FF2B5EF4-FFF2-40B4-BE49-F238E27FC236}">
                <a16:creationId xmlns:a16="http://schemas.microsoft.com/office/drawing/2014/main" id="{0F2CD823-6DFC-BBEC-7BE3-F50C0B877337}"/>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 name="Picture 3" descr="Dabur Logo / Medicine / Logonoid.com">
            <a:extLst>
              <a:ext uri="{FF2B5EF4-FFF2-40B4-BE49-F238E27FC236}">
                <a16:creationId xmlns:a16="http://schemas.microsoft.com/office/drawing/2014/main" id="{8E41AB53-2BB9-3DF4-8E79-140FD1A0A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49530</xdr:colOff>
      <xdr:row>15</xdr:row>
      <xdr:rowOff>114300</xdr:rowOff>
    </xdr:from>
    <xdr:to>
      <xdr:col>2</xdr:col>
      <xdr:colOff>110490</xdr:colOff>
      <xdr:row>26</xdr:row>
      <xdr:rowOff>76200</xdr:rowOff>
    </xdr:to>
    <xdr:graphicFrame macro="">
      <xdr:nvGraphicFramePr>
        <xdr:cNvPr id="6" name="Chart 5">
          <a:extLst>
            <a:ext uri="{FF2B5EF4-FFF2-40B4-BE49-F238E27FC236}">
              <a16:creationId xmlns:a16="http://schemas.microsoft.com/office/drawing/2014/main" id="{C3E5A280-2FF6-CF79-DBD4-DFA21609D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685800</xdr:colOff>
      <xdr:row>13</xdr:row>
      <xdr:rowOff>76200</xdr:rowOff>
    </xdr:from>
    <xdr:to>
      <xdr:col>1</xdr:col>
      <xdr:colOff>1965960</xdr:colOff>
      <xdr:row>15</xdr:row>
      <xdr:rowOff>137160</xdr:rowOff>
    </xdr:to>
    <xdr:sp macro="" textlink="">
      <xdr:nvSpPr>
        <xdr:cNvPr id="7" name="TextBox 6">
          <a:extLst>
            <a:ext uri="{FF2B5EF4-FFF2-40B4-BE49-F238E27FC236}">
              <a16:creationId xmlns:a16="http://schemas.microsoft.com/office/drawing/2014/main" id="{679D7567-10AE-4C29-3F1D-8F69416CA845}"/>
            </a:ext>
          </a:extLst>
        </xdr:cNvPr>
        <xdr:cNvSpPr txBox="1"/>
      </xdr:nvSpPr>
      <xdr:spPr>
        <a:xfrm>
          <a:off x="815340" y="2537460"/>
          <a:ext cx="12801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4225"/>
              </a:solidFill>
            </a:rPr>
            <a:t>Revenue (INR Crs.) </a:t>
          </a:r>
        </a:p>
      </xdr:txBody>
    </xdr:sp>
    <xdr:clientData/>
  </xdr:twoCellAnchor>
  <xdr:twoCellAnchor>
    <xdr:from>
      <xdr:col>1</xdr:col>
      <xdr:colOff>2336040</xdr:colOff>
      <xdr:row>15</xdr:row>
      <xdr:rowOff>114300</xdr:rowOff>
    </xdr:from>
    <xdr:to>
      <xdr:col>6</xdr:col>
      <xdr:colOff>88140</xdr:colOff>
      <xdr:row>26</xdr:row>
      <xdr:rowOff>76200</xdr:rowOff>
    </xdr:to>
    <xdr:graphicFrame macro="">
      <xdr:nvGraphicFramePr>
        <xdr:cNvPr id="8" name="Chart 7">
          <a:extLst>
            <a:ext uri="{FF2B5EF4-FFF2-40B4-BE49-F238E27FC236}">
              <a16:creationId xmlns:a16="http://schemas.microsoft.com/office/drawing/2014/main" id="{03AD4892-6843-40B4-9CC0-B46E6CE67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453900</xdr:colOff>
      <xdr:row>15</xdr:row>
      <xdr:rowOff>114300</xdr:rowOff>
    </xdr:from>
    <xdr:to>
      <xdr:col>10</xdr:col>
      <xdr:colOff>65280</xdr:colOff>
      <xdr:row>26</xdr:row>
      <xdr:rowOff>76200</xdr:rowOff>
    </xdr:to>
    <xdr:graphicFrame macro="">
      <xdr:nvGraphicFramePr>
        <xdr:cNvPr id="9" name="Chart 8">
          <a:extLst>
            <a:ext uri="{FF2B5EF4-FFF2-40B4-BE49-F238E27FC236}">
              <a16:creationId xmlns:a16="http://schemas.microsoft.com/office/drawing/2014/main" id="{534485E2-86A5-4B83-B34A-CECD79237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24764</xdr:colOff>
      <xdr:row>13</xdr:row>
      <xdr:rowOff>76200</xdr:rowOff>
    </xdr:from>
    <xdr:to>
      <xdr:col>5</xdr:col>
      <xdr:colOff>144780</xdr:colOff>
      <xdr:row>15</xdr:row>
      <xdr:rowOff>137160</xdr:rowOff>
    </xdr:to>
    <xdr:sp macro="" textlink="">
      <xdr:nvSpPr>
        <xdr:cNvPr id="10" name="TextBox 9">
          <a:extLst>
            <a:ext uri="{FF2B5EF4-FFF2-40B4-BE49-F238E27FC236}">
              <a16:creationId xmlns:a16="http://schemas.microsoft.com/office/drawing/2014/main" id="{5545FC8E-90F6-4C18-B532-34FF0BFC4D90}"/>
            </a:ext>
          </a:extLst>
        </xdr:cNvPr>
        <xdr:cNvSpPr txBox="1"/>
      </xdr:nvSpPr>
      <xdr:spPr>
        <a:xfrm>
          <a:off x="3232784" y="2537460"/>
          <a:ext cx="1339216"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4225"/>
              </a:solidFill>
            </a:rPr>
            <a:t>Net</a:t>
          </a:r>
          <a:r>
            <a:rPr lang="en-IN" sz="1100" b="1" baseline="0">
              <a:solidFill>
                <a:srgbClr val="004225"/>
              </a:solidFill>
            </a:rPr>
            <a:t> Profit (INR Crs.)</a:t>
          </a:r>
          <a:endParaRPr lang="en-IN" sz="1100" b="1">
            <a:solidFill>
              <a:srgbClr val="004225"/>
            </a:solidFill>
          </a:endParaRPr>
        </a:p>
      </xdr:txBody>
    </xdr:sp>
    <xdr:clientData/>
  </xdr:twoCellAnchor>
  <xdr:twoCellAnchor>
    <xdr:from>
      <xdr:col>6</xdr:col>
      <xdr:colOff>194310</xdr:colOff>
      <xdr:row>13</xdr:row>
      <xdr:rowOff>76200</xdr:rowOff>
    </xdr:from>
    <xdr:to>
      <xdr:col>9</xdr:col>
      <xdr:colOff>388620</xdr:colOff>
      <xdr:row>15</xdr:row>
      <xdr:rowOff>137160</xdr:rowOff>
    </xdr:to>
    <xdr:sp macro="" textlink="">
      <xdr:nvSpPr>
        <xdr:cNvPr id="11" name="TextBox 10">
          <a:extLst>
            <a:ext uri="{FF2B5EF4-FFF2-40B4-BE49-F238E27FC236}">
              <a16:creationId xmlns:a16="http://schemas.microsoft.com/office/drawing/2014/main" id="{B5F71D40-1F4B-4372-9382-416BEEEB91D3}"/>
            </a:ext>
          </a:extLst>
        </xdr:cNvPr>
        <xdr:cNvSpPr txBox="1"/>
      </xdr:nvSpPr>
      <xdr:spPr>
        <a:xfrm>
          <a:off x="5231130" y="2263140"/>
          <a:ext cx="202311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4225"/>
              </a:solidFill>
            </a:rPr>
            <a:t>Average</a:t>
          </a:r>
          <a:r>
            <a:rPr lang="en-IN" sz="1100" b="1" baseline="0">
              <a:solidFill>
                <a:srgbClr val="004225"/>
              </a:solidFill>
            </a:rPr>
            <a:t> </a:t>
          </a:r>
          <a:r>
            <a:rPr lang="en-IN" sz="1100" b="1">
              <a:solidFill>
                <a:srgbClr val="004225"/>
              </a:solidFill>
            </a:rPr>
            <a:t>Total</a:t>
          </a:r>
          <a:r>
            <a:rPr lang="en-IN" sz="1100" b="1" baseline="0">
              <a:solidFill>
                <a:srgbClr val="004225"/>
              </a:solidFill>
            </a:rPr>
            <a:t> Assets (INR Crs.)</a:t>
          </a:r>
          <a:endParaRPr lang="en-IN" sz="1100" b="1">
            <a:solidFill>
              <a:srgbClr val="004225"/>
            </a:solidFill>
          </a:endParaRPr>
        </a:p>
      </xdr:txBody>
    </xdr:sp>
    <xdr:clientData/>
  </xdr:twoCellAnchor>
  <xdr:twoCellAnchor>
    <xdr:from>
      <xdr:col>0</xdr:col>
      <xdr:colOff>49020</xdr:colOff>
      <xdr:row>29</xdr:row>
      <xdr:rowOff>125730</xdr:rowOff>
    </xdr:from>
    <xdr:to>
      <xdr:col>2</xdr:col>
      <xdr:colOff>111000</xdr:colOff>
      <xdr:row>40</xdr:row>
      <xdr:rowOff>86850</xdr:rowOff>
    </xdr:to>
    <xdr:graphicFrame macro="">
      <xdr:nvGraphicFramePr>
        <xdr:cNvPr id="12" name="Chart 11">
          <a:extLst>
            <a:ext uri="{FF2B5EF4-FFF2-40B4-BE49-F238E27FC236}">
              <a16:creationId xmlns:a16="http://schemas.microsoft.com/office/drawing/2014/main" id="{3B654FCE-6681-4485-ACE5-A4F2D7A8B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2335530</xdr:colOff>
      <xdr:row>29</xdr:row>
      <xdr:rowOff>125730</xdr:rowOff>
    </xdr:from>
    <xdr:to>
      <xdr:col>6</xdr:col>
      <xdr:colOff>88650</xdr:colOff>
      <xdr:row>40</xdr:row>
      <xdr:rowOff>86850</xdr:rowOff>
    </xdr:to>
    <xdr:graphicFrame macro="">
      <xdr:nvGraphicFramePr>
        <xdr:cNvPr id="13" name="Chart 12">
          <a:extLst>
            <a:ext uri="{FF2B5EF4-FFF2-40B4-BE49-F238E27FC236}">
              <a16:creationId xmlns:a16="http://schemas.microsoft.com/office/drawing/2014/main" id="{DACBDD43-F847-4D4D-92E1-9349A6A93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453390</xdr:colOff>
      <xdr:row>29</xdr:row>
      <xdr:rowOff>125730</xdr:rowOff>
    </xdr:from>
    <xdr:to>
      <xdr:col>10</xdr:col>
      <xdr:colOff>65790</xdr:colOff>
      <xdr:row>40</xdr:row>
      <xdr:rowOff>86850</xdr:rowOff>
    </xdr:to>
    <xdr:graphicFrame macro="">
      <xdr:nvGraphicFramePr>
        <xdr:cNvPr id="14" name="Chart 13">
          <a:extLst>
            <a:ext uri="{FF2B5EF4-FFF2-40B4-BE49-F238E27FC236}">
              <a16:creationId xmlns:a16="http://schemas.microsoft.com/office/drawing/2014/main" id="{17BCA40F-639D-4EE7-AC77-70EE93AC6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716280</xdr:colOff>
      <xdr:row>27</xdr:row>
      <xdr:rowOff>137160</xdr:rowOff>
    </xdr:from>
    <xdr:to>
      <xdr:col>1</xdr:col>
      <xdr:colOff>1920240</xdr:colOff>
      <xdr:row>30</xdr:row>
      <xdr:rowOff>15240</xdr:rowOff>
    </xdr:to>
    <xdr:sp macro="" textlink="">
      <xdr:nvSpPr>
        <xdr:cNvPr id="15" name="TextBox 14">
          <a:extLst>
            <a:ext uri="{FF2B5EF4-FFF2-40B4-BE49-F238E27FC236}">
              <a16:creationId xmlns:a16="http://schemas.microsoft.com/office/drawing/2014/main" id="{BD5F8037-0EB8-4AAA-A461-9B00D819B6FF}"/>
            </a:ext>
          </a:extLst>
        </xdr:cNvPr>
        <xdr:cNvSpPr txBox="1"/>
      </xdr:nvSpPr>
      <xdr:spPr>
        <a:xfrm>
          <a:off x="845820" y="5158740"/>
          <a:ext cx="12039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4225"/>
              </a:solidFill>
            </a:rPr>
            <a:t>Return</a:t>
          </a:r>
          <a:r>
            <a:rPr lang="en-IN" sz="1100" b="1" baseline="0">
              <a:solidFill>
                <a:srgbClr val="004225"/>
              </a:solidFill>
            </a:rPr>
            <a:t> on Equity</a:t>
          </a:r>
          <a:endParaRPr lang="en-IN" sz="1100" b="1">
            <a:solidFill>
              <a:srgbClr val="004225"/>
            </a:solidFill>
          </a:endParaRPr>
        </a:p>
      </xdr:txBody>
    </xdr:sp>
    <xdr:clientData/>
  </xdr:twoCellAnchor>
  <xdr:twoCellAnchor>
    <xdr:from>
      <xdr:col>3</xdr:col>
      <xdr:colOff>13335</xdr:colOff>
      <xdr:row>27</xdr:row>
      <xdr:rowOff>137160</xdr:rowOff>
    </xdr:from>
    <xdr:to>
      <xdr:col>5</xdr:col>
      <xdr:colOff>20955</xdr:colOff>
      <xdr:row>30</xdr:row>
      <xdr:rowOff>15240</xdr:rowOff>
    </xdr:to>
    <xdr:sp macro="" textlink="">
      <xdr:nvSpPr>
        <xdr:cNvPr id="16" name="TextBox 15">
          <a:extLst>
            <a:ext uri="{FF2B5EF4-FFF2-40B4-BE49-F238E27FC236}">
              <a16:creationId xmlns:a16="http://schemas.microsoft.com/office/drawing/2014/main" id="{98F47EF0-293C-4E46-82EA-F68AF00F655C}"/>
            </a:ext>
          </a:extLst>
        </xdr:cNvPr>
        <xdr:cNvSpPr txBox="1"/>
      </xdr:nvSpPr>
      <xdr:spPr>
        <a:xfrm>
          <a:off x="3221355" y="5158740"/>
          <a:ext cx="12268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4225"/>
              </a:solidFill>
            </a:rPr>
            <a:t>Return</a:t>
          </a:r>
          <a:r>
            <a:rPr lang="en-IN" sz="1100" b="1" baseline="0">
              <a:solidFill>
                <a:srgbClr val="004225"/>
              </a:solidFill>
            </a:rPr>
            <a:t> on Assets</a:t>
          </a:r>
          <a:endParaRPr lang="en-IN" sz="1100" b="1">
            <a:solidFill>
              <a:srgbClr val="004225"/>
            </a:solidFill>
          </a:endParaRPr>
        </a:p>
      </xdr:txBody>
    </xdr:sp>
    <xdr:clientData/>
  </xdr:twoCellAnchor>
  <xdr:twoCellAnchor>
    <xdr:from>
      <xdr:col>6</xdr:col>
      <xdr:colOff>586740</xdr:colOff>
      <xdr:row>27</xdr:row>
      <xdr:rowOff>137160</xdr:rowOff>
    </xdr:from>
    <xdr:to>
      <xdr:col>9</xdr:col>
      <xdr:colOff>22860</xdr:colOff>
      <xdr:row>30</xdr:row>
      <xdr:rowOff>15240</xdr:rowOff>
    </xdr:to>
    <xdr:sp macro="" textlink="">
      <xdr:nvSpPr>
        <xdr:cNvPr id="17" name="TextBox 16">
          <a:extLst>
            <a:ext uri="{FF2B5EF4-FFF2-40B4-BE49-F238E27FC236}">
              <a16:creationId xmlns:a16="http://schemas.microsoft.com/office/drawing/2014/main" id="{9F2BF49F-96E1-4953-9A61-884AE94ABB7E}"/>
            </a:ext>
          </a:extLst>
        </xdr:cNvPr>
        <xdr:cNvSpPr txBox="1"/>
      </xdr:nvSpPr>
      <xdr:spPr>
        <a:xfrm>
          <a:off x="5623560" y="5158740"/>
          <a:ext cx="12649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4225"/>
              </a:solidFill>
            </a:rPr>
            <a:t>Financial</a:t>
          </a:r>
          <a:r>
            <a:rPr lang="en-IN" sz="1100" b="1" baseline="0">
              <a:solidFill>
                <a:srgbClr val="004225"/>
              </a:solidFill>
            </a:rPr>
            <a:t> Leverage</a:t>
          </a:r>
        </a:p>
      </xdr:txBody>
    </xdr:sp>
    <xdr:clientData/>
  </xdr:twoCellAnchor>
  <xdr:twoCellAnchor>
    <xdr:from>
      <xdr:col>1</xdr:col>
      <xdr:colOff>297180</xdr:colOff>
      <xdr:row>15</xdr:row>
      <xdr:rowOff>83820</xdr:rowOff>
    </xdr:from>
    <xdr:to>
      <xdr:col>1</xdr:col>
      <xdr:colOff>2301240</xdr:colOff>
      <xdr:row>15</xdr:row>
      <xdr:rowOff>83820</xdr:rowOff>
    </xdr:to>
    <xdr:cxnSp macro="">
      <xdr:nvCxnSpPr>
        <xdr:cNvPr id="19" name="Straight Connector 18">
          <a:extLst>
            <a:ext uri="{FF2B5EF4-FFF2-40B4-BE49-F238E27FC236}">
              <a16:creationId xmlns:a16="http://schemas.microsoft.com/office/drawing/2014/main" id="{39CACD95-8BAA-DA98-4942-DBA23A3FE511}"/>
            </a:ext>
          </a:extLst>
        </xdr:cNvPr>
        <xdr:cNvCxnSpPr/>
      </xdr:nvCxnSpPr>
      <xdr:spPr>
        <a:xfrm>
          <a:off x="426720" y="2910840"/>
          <a:ext cx="2004060" cy="0"/>
        </a:xfrm>
        <a:prstGeom prst="line">
          <a:avLst/>
        </a:prstGeom>
        <a:ln w="22225">
          <a:solidFill>
            <a:srgbClr val="004225"/>
          </a:solidFill>
        </a:ln>
        <a:effectLst>
          <a:outerShdw blurRad="50800" dist="50800" dir="5400000" algn="ctr" rotWithShape="0">
            <a:schemeClr val="bg1"/>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281940</xdr:colOff>
      <xdr:row>15</xdr:row>
      <xdr:rowOff>83820</xdr:rowOff>
    </xdr:from>
    <xdr:to>
      <xdr:col>5</xdr:col>
      <xdr:colOff>457200</xdr:colOff>
      <xdr:row>15</xdr:row>
      <xdr:rowOff>83820</xdr:rowOff>
    </xdr:to>
    <xdr:cxnSp macro="">
      <xdr:nvCxnSpPr>
        <xdr:cNvPr id="21" name="Straight Connector 20">
          <a:extLst>
            <a:ext uri="{FF2B5EF4-FFF2-40B4-BE49-F238E27FC236}">
              <a16:creationId xmlns:a16="http://schemas.microsoft.com/office/drawing/2014/main" id="{E16D27A6-48CB-4B59-AD10-14BE9F8A458E}"/>
            </a:ext>
          </a:extLst>
        </xdr:cNvPr>
        <xdr:cNvCxnSpPr/>
      </xdr:nvCxnSpPr>
      <xdr:spPr>
        <a:xfrm>
          <a:off x="2880360" y="2910840"/>
          <a:ext cx="2004060" cy="0"/>
        </a:xfrm>
        <a:prstGeom prst="line">
          <a:avLst/>
        </a:prstGeom>
        <a:ln w="22225">
          <a:solidFill>
            <a:srgbClr val="004225"/>
          </a:solidFill>
        </a:ln>
        <a:effectLst>
          <a:outerShdw blurRad="50800" dist="50800" dir="5400000" algn="ctr" rotWithShape="0">
            <a:schemeClr val="bg1"/>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175260</xdr:colOff>
      <xdr:row>15</xdr:row>
      <xdr:rowOff>83820</xdr:rowOff>
    </xdr:from>
    <xdr:to>
      <xdr:col>9</xdr:col>
      <xdr:colOff>350520</xdr:colOff>
      <xdr:row>15</xdr:row>
      <xdr:rowOff>83820</xdr:rowOff>
    </xdr:to>
    <xdr:cxnSp macro="">
      <xdr:nvCxnSpPr>
        <xdr:cNvPr id="22" name="Straight Connector 21">
          <a:extLst>
            <a:ext uri="{FF2B5EF4-FFF2-40B4-BE49-F238E27FC236}">
              <a16:creationId xmlns:a16="http://schemas.microsoft.com/office/drawing/2014/main" id="{3261CC42-7FB2-4D12-A206-116294ABA889}"/>
            </a:ext>
          </a:extLst>
        </xdr:cNvPr>
        <xdr:cNvCxnSpPr/>
      </xdr:nvCxnSpPr>
      <xdr:spPr>
        <a:xfrm>
          <a:off x="5212080" y="2910840"/>
          <a:ext cx="2004060" cy="0"/>
        </a:xfrm>
        <a:prstGeom prst="line">
          <a:avLst/>
        </a:prstGeom>
        <a:ln w="22225">
          <a:solidFill>
            <a:srgbClr val="004225"/>
          </a:solidFill>
        </a:ln>
        <a:effectLst>
          <a:outerShdw blurRad="50800" dist="50800" dir="5400000" algn="ctr" rotWithShape="0">
            <a:schemeClr val="bg1"/>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198120</xdr:colOff>
      <xdr:row>29</xdr:row>
      <xdr:rowOff>144780</xdr:rowOff>
    </xdr:from>
    <xdr:to>
      <xdr:col>9</xdr:col>
      <xdr:colOff>373380</xdr:colOff>
      <xdr:row>29</xdr:row>
      <xdr:rowOff>144780</xdr:rowOff>
    </xdr:to>
    <xdr:cxnSp macro="">
      <xdr:nvCxnSpPr>
        <xdr:cNvPr id="23" name="Straight Connector 22">
          <a:extLst>
            <a:ext uri="{FF2B5EF4-FFF2-40B4-BE49-F238E27FC236}">
              <a16:creationId xmlns:a16="http://schemas.microsoft.com/office/drawing/2014/main" id="{41C9D79B-685E-4B75-B198-961B23F6160C}"/>
            </a:ext>
          </a:extLst>
        </xdr:cNvPr>
        <xdr:cNvCxnSpPr/>
      </xdr:nvCxnSpPr>
      <xdr:spPr>
        <a:xfrm>
          <a:off x="5234940" y="5532120"/>
          <a:ext cx="2004060" cy="0"/>
        </a:xfrm>
        <a:prstGeom prst="line">
          <a:avLst/>
        </a:prstGeom>
        <a:ln w="22225">
          <a:solidFill>
            <a:srgbClr val="004225"/>
          </a:solidFill>
        </a:ln>
        <a:effectLst>
          <a:outerShdw blurRad="50800" dist="50800" dir="5400000" algn="ctr" rotWithShape="0">
            <a:schemeClr val="bg1"/>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205740</xdr:colOff>
      <xdr:row>29</xdr:row>
      <xdr:rowOff>144780</xdr:rowOff>
    </xdr:from>
    <xdr:to>
      <xdr:col>5</xdr:col>
      <xdr:colOff>381000</xdr:colOff>
      <xdr:row>29</xdr:row>
      <xdr:rowOff>144780</xdr:rowOff>
    </xdr:to>
    <xdr:cxnSp macro="">
      <xdr:nvCxnSpPr>
        <xdr:cNvPr id="24" name="Straight Connector 23">
          <a:extLst>
            <a:ext uri="{FF2B5EF4-FFF2-40B4-BE49-F238E27FC236}">
              <a16:creationId xmlns:a16="http://schemas.microsoft.com/office/drawing/2014/main" id="{409BA9B9-F2BE-41FD-9C7A-AD374E863B37}"/>
            </a:ext>
          </a:extLst>
        </xdr:cNvPr>
        <xdr:cNvCxnSpPr/>
      </xdr:nvCxnSpPr>
      <xdr:spPr>
        <a:xfrm>
          <a:off x="2804160" y="5532120"/>
          <a:ext cx="2004060" cy="0"/>
        </a:xfrm>
        <a:prstGeom prst="line">
          <a:avLst/>
        </a:prstGeom>
        <a:ln w="22225">
          <a:solidFill>
            <a:srgbClr val="004225"/>
          </a:solidFill>
        </a:ln>
        <a:effectLst>
          <a:outerShdw blurRad="50800" dist="50800" dir="5400000" algn="ctr" rotWithShape="0">
            <a:schemeClr val="bg1"/>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274320</xdr:colOff>
      <xdr:row>29</xdr:row>
      <xdr:rowOff>144780</xdr:rowOff>
    </xdr:from>
    <xdr:to>
      <xdr:col>1</xdr:col>
      <xdr:colOff>2278380</xdr:colOff>
      <xdr:row>29</xdr:row>
      <xdr:rowOff>144780</xdr:rowOff>
    </xdr:to>
    <xdr:cxnSp macro="">
      <xdr:nvCxnSpPr>
        <xdr:cNvPr id="25" name="Straight Connector 24">
          <a:extLst>
            <a:ext uri="{FF2B5EF4-FFF2-40B4-BE49-F238E27FC236}">
              <a16:creationId xmlns:a16="http://schemas.microsoft.com/office/drawing/2014/main" id="{192469D2-5A96-4C9C-A1EB-CF2913BC4F5E}"/>
            </a:ext>
          </a:extLst>
        </xdr:cNvPr>
        <xdr:cNvCxnSpPr/>
      </xdr:nvCxnSpPr>
      <xdr:spPr>
        <a:xfrm>
          <a:off x="403860" y="5532120"/>
          <a:ext cx="2004060" cy="0"/>
        </a:xfrm>
        <a:prstGeom prst="line">
          <a:avLst/>
        </a:prstGeom>
        <a:ln w="22225">
          <a:solidFill>
            <a:srgbClr val="004225"/>
          </a:solidFill>
        </a:ln>
        <a:effectLst>
          <a:outerShdw blurRad="50800" dist="50800" dir="5400000" algn="ctr" rotWithShape="0">
            <a:schemeClr val="bg1"/>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62753</xdr:colOff>
      <xdr:row>41</xdr:row>
      <xdr:rowOff>71719</xdr:rowOff>
    </xdr:from>
    <xdr:to>
      <xdr:col>9</xdr:col>
      <xdr:colOff>394447</xdr:colOff>
      <xdr:row>51</xdr:row>
      <xdr:rowOff>98612</xdr:rowOff>
    </xdr:to>
    <xdr:sp macro="" textlink="">
      <xdr:nvSpPr>
        <xdr:cNvPr id="5" name="TextBox 4">
          <a:extLst>
            <a:ext uri="{FF2B5EF4-FFF2-40B4-BE49-F238E27FC236}">
              <a16:creationId xmlns:a16="http://schemas.microsoft.com/office/drawing/2014/main" id="{B5C23209-AAE5-9868-7C1E-CC60104BEF90}"/>
            </a:ext>
          </a:extLst>
        </xdr:cNvPr>
        <xdr:cNvSpPr txBox="1"/>
      </xdr:nvSpPr>
      <xdr:spPr>
        <a:xfrm>
          <a:off x="188259" y="7458637"/>
          <a:ext cx="7064188" cy="18198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1200" b="1" i="0">
              <a:solidFill>
                <a:srgbClr val="038654"/>
              </a:solidFill>
              <a:effectLst/>
              <a:latin typeface="+mn-lt"/>
              <a:ea typeface="+mn-ea"/>
              <a:cs typeface="+mn-cs"/>
            </a:rPr>
            <a:t>RECENT</a:t>
          </a:r>
          <a:r>
            <a:rPr lang="en-IN" sz="1200" b="1" i="0" baseline="0">
              <a:solidFill>
                <a:srgbClr val="038654"/>
              </a:solidFill>
              <a:effectLst/>
              <a:latin typeface="+mn-lt"/>
              <a:ea typeface="+mn-ea"/>
              <a:cs typeface="+mn-cs"/>
            </a:rPr>
            <a:t> UPDATES</a:t>
          </a:r>
          <a:endParaRPr lang="en-IN" sz="1200" b="1" i="0">
            <a:solidFill>
              <a:srgbClr val="038654"/>
            </a:solidFill>
            <a:effectLst/>
            <a:latin typeface="+mn-lt"/>
            <a:ea typeface="+mn-ea"/>
            <a:cs typeface="+mn-cs"/>
          </a:endParaRPr>
        </a:p>
        <a:p>
          <a:pPr marL="171450" indent="-171450">
            <a:buFont typeface="Wingdings" panose="05000000000000000000" pitchFamily="2" charset="2"/>
            <a:buChar char="v"/>
          </a:pPr>
          <a:r>
            <a:rPr lang="en-IN" sz="1200" b="0" i="0">
              <a:solidFill>
                <a:schemeClr val="dk1"/>
              </a:solidFill>
              <a:effectLst/>
              <a:latin typeface="+mn-lt"/>
              <a:ea typeface="+mn-ea"/>
              <a:cs typeface="+mn-cs"/>
            </a:rPr>
            <a:t>Company witnessed QoQ revenue growth of 18.18%, which is highest in the last 3 years.</a:t>
          </a:r>
        </a:p>
        <a:p>
          <a:pPr marL="171450" indent="-171450">
            <a:buFont typeface="Wingdings" panose="05000000000000000000" pitchFamily="2" charset="2"/>
            <a:buChar char="v"/>
          </a:pPr>
          <a:r>
            <a:rPr lang="en-IN" sz="1200" b="0" i="0">
              <a:solidFill>
                <a:schemeClr val="dk1"/>
              </a:solidFill>
              <a:effectLst/>
              <a:latin typeface="+mn-lt"/>
              <a:ea typeface="+mn-ea"/>
              <a:cs typeface="+mn-cs"/>
            </a:rPr>
            <a:t>Weekly stochastic crossover appeared on week ending Sep 27, 2024. Average price decline of -4.43% within 7 weeks of this signal in last 10 years.</a:t>
          </a:r>
        </a:p>
        <a:p>
          <a:pPr marL="171450" indent="-171450">
            <a:buFont typeface="Wingdings" panose="05000000000000000000" pitchFamily="2" charset="2"/>
            <a:buChar char="v"/>
          </a:pPr>
          <a:r>
            <a:rPr lang="en-IN" sz="1200" b="0" i="0">
              <a:solidFill>
                <a:schemeClr val="dk1"/>
              </a:solidFill>
              <a:effectLst/>
              <a:latin typeface="+mn-lt"/>
              <a:ea typeface="+mn-ea"/>
              <a:cs typeface="+mn-cs"/>
            </a:rPr>
            <a:t>Stock gave a 3 year return of -2.9% as compared to Nifty 100 which gave a return of 49.4%.</a:t>
          </a:r>
        </a:p>
        <a:p>
          <a:pPr marL="171450" indent="-171450">
            <a:buFont typeface="Wingdings" panose="05000000000000000000" pitchFamily="2" charset="2"/>
            <a:buChar char="v"/>
          </a:pPr>
          <a:r>
            <a:rPr lang="en-IN" sz="1200" b="0" i="0">
              <a:solidFill>
                <a:schemeClr val="dk1"/>
              </a:solidFill>
              <a:effectLst/>
              <a:latin typeface="+mn-lt"/>
              <a:ea typeface="+mn-ea"/>
              <a:cs typeface="+mn-cs"/>
            </a:rPr>
            <a:t>Company has spent 1.0% of its operating revenues towards interest expenses and 9.99% towards employee cost in the year ending Mar 31, 2024.</a:t>
          </a:r>
        </a:p>
        <a:p>
          <a:pPr marL="171450" indent="-171450">
            <a:buFont typeface="Wingdings" panose="05000000000000000000" pitchFamily="2" charset="2"/>
            <a:buChar char="v"/>
          </a:pPr>
          <a:r>
            <a:rPr lang="en-IN" sz="1200" b="0" i="0">
              <a:solidFill>
                <a:schemeClr val="dk1"/>
              </a:solidFill>
              <a:effectLst/>
              <a:latin typeface="+mn-lt"/>
              <a:ea typeface="+mn-ea"/>
              <a:cs typeface="+mn-cs"/>
            </a:rPr>
            <a:t>Dabur India Ltd. share price moved up by 1.16% from its previous close of Rs 625.75. Dabur India Ltd. stock last traded price is 633.00.</a:t>
          </a:r>
        </a:p>
      </xdr:txBody>
    </xdr:sp>
    <xdr:clientData/>
  </xdr:twoCellAnchor>
  <xdr:twoCellAnchor>
    <xdr:from>
      <xdr:col>0</xdr:col>
      <xdr:colOff>62751</xdr:colOff>
      <xdr:row>55</xdr:row>
      <xdr:rowOff>26891</xdr:rowOff>
    </xdr:from>
    <xdr:to>
      <xdr:col>7</xdr:col>
      <xdr:colOff>224116</xdr:colOff>
      <xdr:row>56</xdr:row>
      <xdr:rowOff>161362</xdr:rowOff>
    </xdr:to>
    <xdr:sp macro="" textlink="">
      <xdr:nvSpPr>
        <xdr:cNvPr id="18" name="TextBox 17">
          <a:extLst>
            <a:ext uri="{FF2B5EF4-FFF2-40B4-BE49-F238E27FC236}">
              <a16:creationId xmlns:a16="http://schemas.microsoft.com/office/drawing/2014/main" id="{F1370921-450A-4FAD-ADCB-712FE87BBCAF}"/>
            </a:ext>
          </a:extLst>
        </xdr:cNvPr>
        <xdr:cNvSpPr txBox="1"/>
      </xdr:nvSpPr>
      <xdr:spPr>
        <a:xfrm>
          <a:off x="62751" y="9923926"/>
          <a:ext cx="5800165" cy="313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1600" b="1" i="0">
              <a:solidFill>
                <a:srgbClr val="038654"/>
              </a:solidFill>
              <a:effectLst/>
              <a:latin typeface="+mn-lt"/>
              <a:ea typeface="+mn-ea"/>
              <a:cs typeface="+mn-cs"/>
            </a:rPr>
            <a:t>DUPONT ANALYSIS - RETURN</a:t>
          </a:r>
          <a:r>
            <a:rPr lang="en-IN" sz="1600" b="1" i="0" baseline="0">
              <a:solidFill>
                <a:srgbClr val="038654"/>
              </a:solidFill>
              <a:effectLst/>
              <a:latin typeface="+mn-lt"/>
              <a:ea typeface="+mn-ea"/>
              <a:cs typeface="+mn-cs"/>
            </a:rPr>
            <a:t> ON EQUITY &amp; RETURN ON ASSETS</a:t>
          </a:r>
          <a:endParaRPr lang="en-IN" sz="1600" b="1" i="0">
            <a:solidFill>
              <a:srgbClr val="038654"/>
            </a:solidFill>
            <a:effectLst/>
            <a:latin typeface="+mn-lt"/>
            <a:ea typeface="+mn-ea"/>
            <a:cs typeface="+mn-cs"/>
          </a:endParaRPr>
        </a:p>
      </xdr:txBody>
    </xdr:sp>
    <xdr:clientData/>
  </xdr:twoCellAnchor>
  <xdr:twoCellAnchor>
    <xdr:from>
      <xdr:col>1</xdr:col>
      <xdr:colOff>89646</xdr:colOff>
      <xdr:row>96</xdr:row>
      <xdr:rowOff>179293</xdr:rowOff>
    </xdr:from>
    <xdr:to>
      <xdr:col>9</xdr:col>
      <xdr:colOff>421340</xdr:colOff>
      <xdr:row>110</xdr:row>
      <xdr:rowOff>131379</xdr:rowOff>
    </xdr:to>
    <xdr:sp macro="" textlink="">
      <xdr:nvSpPr>
        <xdr:cNvPr id="20" name="TextBox 19">
          <a:extLst>
            <a:ext uri="{FF2B5EF4-FFF2-40B4-BE49-F238E27FC236}">
              <a16:creationId xmlns:a16="http://schemas.microsoft.com/office/drawing/2014/main" id="{E98E909D-D135-4ADB-B157-E0C820C67C77}"/>
            </a:ext>
          </a:extLst>
        </xdr:cNvPr>
        <xdr:cNvSpPr txBox="1"/>
      </xdr:nvSpPr>
      <xdr:spPr>
        <a:xfrm>
          <a:off x="221025" y="17823534"/>
          <a:ext cx="7032039" cy="25271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1200" b="1" i="0">
              <a:solidFill>
                <a:srgbClr val="038654"/>
              </a:solidFill>
              <a:effectLst/>
              <a:latin typeface="+mn-lt"/>
              <a:ea typeface="+mn-ea"/>
              <a:cs typeface="+mn-cs"/>
            </a:rPr>
            <a:t>RECENT</a:t>
          </a:r>
          <a:r>
            <a:rPr lang="en-IN" sz="1200" b="1" i="0" baseline="0">
              <a:solidFill>
                <a:srgbClr val="038654"/>
              </a:solidFill>
              <a:effectLst/>
              <a:latin typeface="+mn-lt"/>
              <a:ea typeface="+mn-ea"/>
              <a:cs typeface="+mn-cs"/>
            </a:rPr>
            <a:t> UPDATES</a:t>
          </a:r>
        </a:p>
        <a:p>
          <a:pPr marL="171450" indent="-171450">
            <a:buFont typeface="Wingdings" panose="05000000000000000000" pitchFamily="2" charset="2"/>
            <a:buChar char="§"/>
          </a:pPr>
          <a:r>
            <a:rPr lang="en-IN" sz="1200"/>
            <a:t>ROE showed a very little fluctuation till COVID, i.e., FY 2020. It has been continuously falling after COVID and currently has fallen to 14.11% as of 31st March 2024.</a:t>
          </a:r>
        </a:p>
        <a:p>
          <a:pPr marL="171450" indent="-171450">
            <a:buFont typeface="Wingdings" panose="05000000000000000000" pitchFamily="2" charset="2"/>
            <a:buChar char="§"/>
          </a:pPr>
          <a:r>
            <a:rPr lang="en-IN" sz="1200"/>
            <a:t>ROE has drastically fallen over the past 7 years from 20.22% to 14.11%. The company was neither able to maintain their net profit margins nor maintain its asset efficiency, and the financial leverage has fallen significantly from 1.56x to 1.53x. The reason for the reduction in ROE is the decline in net profit margins (from 13.82% in FY2018 to 10.71% in FY2024) and the decline in asset turnover ratio (from 0.94x in FY2018 to 0.86x in FY2024).</a:t>
          </a:r>
        </a:p>
        <a:p>
          <a:pPr marL="171450" indent="-171450">
            <a:buFont typeface="Wingdings" panose="05000000000000000000" pitchFamily="2" charset="2"/>
            <a:buChar char="§"/>
          </a:pPr>
          <a:r>
            <a:rPr lang="en-IN" sz="1200"/>
            <a:t>ROA has increased from 12.98% in FY2018 to 13.98% in FY2020, i.e., during COVID, but ever since 2020, ROA has been drastically falling from 13.98% in FY2020 to 9.24% in FY2024.</a:t>
          </a:r>
        </a:p>
        <a:p>
          <a:pPr marL="171450" indent="-171450">
            <a:buFont typeface="Wingdings" panose="05000000000000000000" pitchFamily="2" charset="2"/>
            <a:buChar char="§"/>
          </a:pPr>
          <a:r>
            <a:rPr lang="en-IN" sz="1200"/>
            <a:t>The reason behind the fall of ROA is due to the decline in net profit margins (from 13.82 in FY2018 to 10.71% in FY2024) in the past 7 years and also due to the decline in asset turnover ratio (from 93.97% in FY2018 to 86.23% in FY2024).</a:t>
          </a:r>
        </a:p>
        <a:p>
          <a:pPr marL="171450" indent="-171450">
            <a:buFont typeface="Wingdings" panose="05000000000000000000" pitchFamily="2" charset="2"/>
            <a:buChar char="§"/>
          </a:pPr>
          <a:endParaRPr lang="en-IN" sz="1200" b="1" i="0">
            <a:solidFill>
              <a:srgbClr val="038654"/>
            </a:solidFill>
            <a:effectLst/>
            <a:latin typeface="+mn-lt"/>
            <a:ea typeface="+mn-ea"/>
            <a:cs typeface="+mn-cs"/>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8</xdr:row>
      <xdr:rowOff>92361</xdr:rowOff>
    </xdr:from>
    <xdr:to>
      <xdr:col>3</xdr:col>
      <xdr:colOff>83310</xdr:colOff>
      <xdr:row>19</xdr:row>
      <xdr:rowOff>9374</xdr:rowOff>
    </xdr:to>
    <xdr:graphicFrame macro="">
      <xdr:nvGraphicFramePr>
        <xdr:cNvPr id="2" name="Chart 1">
          <a:extLst>
            <a:ext uri="{FF2B5EF4-FFF2-40B4-BE49-F238E27FC236}">
              <a16:creationId xmlns:a16="http://schemas.microsoft.com/office/drawing/2014/main" id="{FE431BCD-0C09-4561-879E-4B72D7E66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101618</xdr:colOff>
      <xdr:row>8</xdr:row>
      <xdr:rowOff>131969</xdr:rowOff>
    </xdr:from>
    <xdr:to>
      <xdr:col>7</xdr:col>
      <xdr:colOff>121920</xdr:colOff>
      <xdr:row>19</xdr:row>
      <xdr:rowOff>48982</xdr:rowOff>
    </xdr:to>
    <xdr:graphicFrame macro="">
      <xdr:nvGraphicFramePr>
        <xdr:cNvPr id="3" name="Chart 2">
          <a:extLst>
            <a:ext uri="{FF2B5EF4-FFF2-40B4-BE49-F238E27FC236}">
              <a16:creationId xmlns:a16="http://schemas.microsoft.com/office/drawing/2014/main" id="{3212B60B-1589-4988-8141-D7E718771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252480</xdr:colOff>
      <xdr:row>8</xdr:row>
      <xdr:rowOff>125604</xdr:rowOff>
    </xdr:from>
    <xdr:to>
      <xdr:col>11</xdr:col>
      <xdr:colOff>213360</xdr:colOff>
      <xdr:row>19</xdr:row>
      <xdr:rowOff>46720</xdr:rowOff>
    </xdr:to>
    <xdr:graphicFrame macro="">
      <xdr:nvGraphicFramePr>
        <xdr:cNvPr id="4" name="Chart 3">
          <a:extLst>
            <a:ext uri="{FF2B5EF4-FFF2-40B4-BE49-F238E27FC236}">
              <a16:creationId xmlns:a16="http://schemas.microsoft.com/office/drawing/2014/main" id="{3D2E0287-11E0-41AB-955C-ED0177424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350520</xdr:colOff>
      <xdr:row>21</xdr:row>
      <xdr:rowOff>163045</xdr:rowOff>
    </xdr:from>
    <xdr:to>
      <xdr:col>5</xdr:col>
      <xdr:colOff>138180</xdr:colOff>
      <xdr:row>32</xdr:row>
      <xdr:rowOff>153526</xdr:rowOff>
    </xdr:to>
    <xdr:graphicFrame macro="">
      <xdr:nvGraphicFramePr>
        <xdr:cNvPr id="5" name="Chart 4">
          <a:extLst>
            <a:ext uri="{FF2B5EF4-FFF2-40B4-BE49-F238E27FC236}">
              <a16:creationId xmlns:a16="http://schemas.microsoft.com/office/drawing/2014/main" id="{3A2559D0-7ADC-422B-AE60-7F1E6ED81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225076</xdr:colOff>
      <xdr:row>21</xdr:row>
      <xdr:rowOff>170665</xdr:rowOff>
    </xdr:from>
    <xdr:to>
      <xdr:col>9</xdr:col>
      <xdr:colOff>443490</xdr:colOff>
      <xdr:row>32</xdr:row>
      <xdr:rowOff>161146</xdr:rowOff>
    </xdr:to>
    <xdr:graphicFrame macro="">
      <xdr:nvGraphicFramePr>
        <xdr:cNvPr id="6" name="Chart 5">
          <a:extLst>
            <a:ext uri="{FF2B5EF4-FFF2-40B4-BE49-F238E27FC236}">
              <a16:creationId xmlns:a16="http://schemas.microsoft.com/office/drawing/2014/main" id="{D77E8551-321A-4FB3-AD71-E1373E94D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228600</xdr:colOff>
      <xdr:row>0</xdr:row>
      <xdr:rowOff>160020</xdr:rowOff>
    </xdr:from>
    <xdr:to>
      <xdr:col>11</xdr:col>
      <xdr:colOff>318716</xdr:colOff>
      <xdr:row>4</xdr:row>
      <xdr:rowOff>53374</xdr:rowOff>
    </xdr:to>
    <xdr:grpSp>
      <xdr:nvGrpSpPr>
        <xdr:cNvPr id="7" name="Group 6">
          <a:extLst>
            <a:ext uri="{FF2B5EF4-FFF2-40B4-BE49-F238E27FC236}">
              <a16:creationId xmlns:a16="http://schemas.microsoft.com/office/drawing/2014/main" id="{6EBBC7BE-2AF0-4446-B752-DB870B5D5ED1}"/>
            </a:ext>
          </a:extLst>
        </xdr:cNvPr>
        <xdr:cNvGrpSpPr/>
      </xdr:nvGrpSpPr>
      <xdr:grpSpPr>
        <a:xfrm>
          <a:off x="6575809" y="160020"/>
          <a:ext cx="1429896" cy="713969"/>
          <a:chOff x="6477000" y="108856"/>
          <a:chExt cx="1260929" cy="716643"/>
        </a:xfrm>
      </xdr:grpSpPr>
      <xdr:sp macro="" textlink="">
        <xdr:nvSpPr>
          <xdr:cNvPr id="8" name="Parallelogram 7">
            <a:extLst>
              <a:ext uri="{FF2B5EF4-FFF2-40B4-BE49-F238E27FC236}">
                <a16:creationId xmlns:a16="http://schemas.microsoft.com/office/drawing/2014/main" id="{50134F13-28CD-8758-59A8-49FCD4AC34D2}"/>
              </a:ext>
            </a:extLst>
          </xdr:cNvPr>
          <xdr:cNvSpPr/>
        </xdr:nvSpPr>
        <xdr:spPr>
          <a:xfrm>
            <a:off x="6477000" y="108856"/>
            <a:ext cx="1260929" cy="716643"/>
          </a:xfrm>
          <a:prstGeom prst="parallelogram">
            <a:avLst>
              <a:gd name="adj" fmla="val 399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9" name="Picture 8" descr="Dabur Logo / Medicine / Logonoid.com">
            <a:extLst>
              <a:ext uri="{FF2B5EF4-FFF2-40B4-BE49-F238E27FC236}">
                <a16:creationId xmlns:a16="http://schemas.microsoft.com/office/drawing/2014/main" id="{38DFD60B-3FD5-750D-88CB-309BFDD5297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803574" y="181431"/>
            <a:ext cx="593722" cy="5289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7</xdr:col>
      <xdr:colOff>401934</xdr:colOff>
      <xdr:row>6</xdr:row>
      <xdr:rowOff>157985</xdr:rowOff>
    </xdr:from>
    <xdr:to>
      <xdr:col>11</xdr:col>
      <xdr:colOff>80388</xdr:colOff>
      <xdr:row>8</xdr:row>
      <xdr:rowOff>71482</xdr:rowOff>
    </xdr:to>
    <xdr:grpSp>
      <xdr:nvGrpSpPr>
        <xdr:cNvPr id="21" name="Group 20">
          <a:extLst>
            <a:ext uri="{FF2B5EF4-FFF2-40B4-BE49-F238E27FC236}">
              <a16:creationId xmlns:a16="http://schemas.microsoft.com/office/drawing/2014/main" id="{905885B2-5A09-31EC-B010-2192BB395014}"/>
            </a:ext>
          </a:extLst>
        </xdr:cNvPr>
        <xdr:cNvGrpSpPr/>
      </xdr:nvGrpSpPr>
      <xdr:grpSpPr>
        <a:xfrm>
          <a:off x="5409363" y="1455897"/>
          <a:ext cx="2358014" cy="390794"/>
          <a:chOff x="5409363" y="1484928"/>
          <a:chExt cx="2358014" cy="390794"/>
        </a:xfrm>
      </xdr:grpSpPr>
      <xdr:cxnSp macro="">
        <xdr:nvCxnSpPr>
          <xdr:cNvPr id="13" name="Straight Connector 12">
            <a:extLst>
              <a:ext uri="{FF2B5EF4-FFF2-40B4-BE49-F238E27FC236}">
                <a16:creationId xmlns:a16="http://schemas.microsoft.com/office/drawing/2014/main" id="{2DB80244-31EC-4C50-AB1F-243CF5133B10}"/>
              </a:ext>
            </a:extLst>
          </xdr:cNvPr>
          <xdr:cNvCxnSpPr/>
        </xdr:nvCxnSpPr>
        <xdr:spPr>
          <a:xfrm>
            <a:off x="5409363" y="1817077"/>
            <a:ext cx="2358014" cy="0"/>
          </a:xfrm>
          <a:prstGeom prst="line">
            <a:avLst/>
          </a:prstGeom>
          <a:ln>
            <a:solidFill>
              <a:srgbClr val="038654"/>
            </a:solidFill>
          </a:ln>
        </xdr:spPr>
        <xdr:style>
          <a:lnRef idx="1">
            <a:schemeClr val="accent1"/>
          </a:lnRef>
          <a:fillRef idx="0">
            <a:schemeClr val="accent1"/>
          </a:fillRef>
          <a:effectRef idx="0">
            <a:schemeClr val="accent1"/>
          </a:effectRef>
          <a:fontRef idx="minor">
            <a:schemeClr val="tx1"/>
          </a:fontRef>
        </xdr:style>
      </xdr:cxnSp>
      <xdr:sp macro="" textlink="">
        <xdr:nvSpPr>
          <xdr:cNvPr id="14" name="TextBox 13">
            <a:extLst>
              <a:ext uri="{FF2B5EF4-FFF2-40B4-BE49-F238E27FC236}">
                <a16:creationId xmlns:a16="http://schemas.microsoft.com/office/drawing/2014/main" id="{99240F22-6FA4-448A-AF56-34825A7F7992}"/>
              </a:ext>
            </a:extLst>
          </xdr:cNvPr>
          <xdr:cNvSpPr txBox="1"/>
        </xdr:nvSpPr>
        <xdr:spPr>
          <a:xfrm>
            <a:off x="5828045" y="1484928"/>
            <a:ext cx="1465384" cy="390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rgbClr val="004225"/>
                </a:solidFill>
              </a:rPr>
              <a:t>EBIT / Total Assets</a:t>
            </a:r>
          </a:p>
        </xdr:txBody>
      </xdr:sp>
    </xdr:grpSp>
    <xdr:clientData/>
  </xdr:twoCellAnchor>
  <xdr:twoCellAnchor>
    <xdr:from>
      <xdr:col>3</xdr:col>
      <xdr:colOff>328245</xdr:colOff>
      <xdr:row>6</xdr:row>
      <xdr:rowOff>138446</xdr:rowOff>
    </xdr:from>
    <xdr:to>
      <xdr:col>7</xdr:col>
      <xdr:colOff>65314</xdr:colOff>
      <xdr:row>8</xdr:row>
      <xdr:rowOff>91022</xdr:rowOff>
    </xdr:to>
    <xdr:grpSp>
      <xdr:nvGrpSpPr>
        <xdr:cNvPr id="22" name="Group 21">
          <a:extLst>
            <a:ext uri="{FF2B5EF4-FFF2-40B4-BE49-F238E27FC236}">
              <a16:creationId xmlns:a16="http://schemas.microsoft.com/office/drawing/2014/main" id="{EFED8B88-05DA-2C7D-0A7E-A2CF1EC196D4}"/>
            </a:ext>
          </a:extLst>
        </xdr:cNvPr>
        <xdr:cNvGrpSpPr/>
      </xdr:nvGrpSpPr>
      <xdr:grpSpPr>
        <a:xfrm>
          <a:off x="2714729" y="1436358"/>
          <a:ext cx="2358014" cy="429873"/>
          <a:chOff x="2714729" y="1441943"/>
          <a:chExt cx="2358014" cy="429873"/>
        </a:xfrm>
      </xdr:grpSpPr>
      <xdr:cxnSp macro="">
        <xdr:nvCxnSpPr>
          <xdr:cNvPr id="12" name="Straight Connector 11">
            <a:extLst>
              <a:ext uri="{FF2B5EF4-FFF2-40B4-BE49-F238E27FC236}">
                <a16:creationId xmlns:a16="http://schemas.microsoft.com/office/drawing/2014/main" id="{FCAE610A-0BC3-487F-8965-50B188E6893C}"/>
              </a:ext>
            </a:extLst>
          </xdr:cNvPr>
          <xdr:cNvCxnSpPr/>
        </xdr:nvCxnSpPr>
        <xdr:spPr>
          <a:xfrm>
            <a:off x="2714729" y="1800331"/>
            <a:ext cx="2358014" cy="0"/>
          </a:xfrm>
          <a:prstGeom prst="line">
            <a:avLst/>
          </a:prstGeom>
          <a:ln>
            <a:solidFill>
              <a:srgbClr val="038654"/>
            </a:solidFill>
          </a:ln>
        </xdr:spPr>
        <xdr:style>
          <a:lnRef idx="1">
            <a:schemeClr val="accent1"/>
          </a:lnRef>
          <a:fillRef idx="0">
            <a:schemeClr val="accent1"/>
          </a:fillRef>
          <a:effectRef idx="0">
            <a:schemeClr val="accent1"/>
          </a:effectRef>
          <a:fontRef idx="minor">
            <a:schemeClr val="tx1"/>
          </a:fontRef>
        </xdr:style>
      </xdr:cxnSp>
      <xdr:sp macro="" textlink="">
        <xdr:nvSpPr>
          <xdr:cNvPr id="15" name="TextBox 14">
            <a:extLst>
              <a:ext uri="{FF2B5EF4-FFF2-40B4-BE49-F238E27FC236}">
                <a16:creationId xmlns:a16="http://schemas.microsoft.com/office/drawing/2014/main" id="{DEFC0D21-1553-4D4C-BC30-62A0645A8323}"/>
              </a:ext>
            </a:extLst>
          </xdr:cNvPr>
          <xdr:cNvSpPr txBox="1"/>
        </xdr:nvSpPr>
        <xdr:spPr>
          <a:xfrm>
            <a:off x="2831962" y="1441943"/>
            <a:ext cx="2167094" cy="429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rgbClr val="004225"/>
                </a:solidFill>
              </a:rPr>
              <a:t>Retained Earnings / Total Assets</a:t>
            </a:r>
          </a:p>
        </xdr:txBody>
      </xdr:sp>
    </xdr:grpSp>
    <xdr:clientData/>
  </xdr:twoCellAnchor>
  <xdr:twoCellAnchor>
    <xdr:from>
      <xdr:col>1</xdr:col>
      <xdr:colOff>133978</xdr:colOff>
      <xdr:row>6</xdr:row>
      <xdr:rowOff>138446</xdr:rowOff>
    </xdr:from>
    <xdr:to>
      <xdr:col>3</xdr:col>
      <xdr:colOff>16747</xdr:colOff>
      <xdr:row>8</xdr:row>
      <xdr:rowOff>91022</xdr:rowOff>
    </xdr:to>
    <xdr:grpSp>
      <xdr:nvGrpSpPr>
        <xdr:cNvPr id="23" name="Group 22">
          <a:extLst>
            <a:ext uri="{FF2B5EF4-FFF2-40B4-BE49-F238E27FC236}">
              <a16:creationId xmlns:a16="http://schemas.microsoft.com/office/drawing/2014/main" id="{2EF6B9D4-0DC1-822C-1124-E69C1CB5BB00}"/>
            </a:ext>
          </a:extLst>
        </xdr:cNvPr>
        <xdr:cNvGrpSpPr/>
      </xdr:nvGrpSpPr>
      <xdr:grpSpPr>
        <a:xfrm>
          <a:off x="259582" y="1436358"/>
          <a:ext cx="2143649" cy="429873"/>
          <a:chOff x="259582" y="1426866"/>
          <a:chExt cx="2143649" cy="429873"/>
        </a:xfrm>
      </xdr:grpSpPr>
      <xdr:cxnSp macro="">
        <xdr:nvCxnSpPr>
          <xdr:cNvPr id="11" name="Straight Connector 10">
            <a:extLst>
              <a:ext uri="{FF2B5EF4-FFF2-40B4-BE49-F238E27FC236}">
                <a16:creationId xmlns:a16="http://schemas.microsoft.com/office/drawing/2014/main" id="{D494338F-B6FE-325C-3E0A-C3C228BDB9CE}"/>
              </a:ext>
            </a:extLst>
          </xdr:cNvPr>
          <xdr:cNvCxnSpPr/>
        </xdr:nvCxnSpPr>
        <xdr:spPr>
          <a:xfrm>
            <a:off x="259582" y="1791956"/>
            <a:ext cx="2143649" cy="0"/>
          </a:xfrm>
          <a:prstGeom prst="line">
            <a:avLst/>
          </a:prstGeom>
          <a:ln>
            <a:solidFill>
              <a:srgbClr val="038654"/>
            </a:solidFill>
          </a:ln>
        </xdr:spPr>
        <xdr:style>
          <a:lnRef idx="1">
            <a:schemeClr val="accent1"/>
          </a:lnRef>
          <a:fillRef idx="0">
            <a:schemeClr val="accent1"/>
          </a:fillRef>
          <a:effectRef idx="0">
            <a:schemeClr val="accent1"/>
          </a:effectRef>
          <a:fontRef idx="minor">
            <a:schemeClr val="tx1"/>
          </a:fontRef>
        </xdr:style>
      </xdr:cxnSp>
      <xdr:sp macro="" textlink="">
        <xdr:nvSpPr>
          <xdr:cNvPr id="16" name="TextBox 15">
            <a:extLst>
              <a:ext uri="{FF2B5EF4-FFF2-40B4-BE49-F238E27FC236}">
                <a16:creationId xmlns:a16="http://schemas.microsoft.com/office/drawing/2014/main" id="{433A4A5D-0F1F-4F3A-9107-4C97FDE7EE73}"/>
              </a:ext>
            </a:extLst>
          </xdr:cNvPr>
          <xdr:cNvSpPr txBox="1"/>
        </xdr:nvSpPr>
        <xdr:spPr>
          <a:xfrm>
            <a:off x="346672" y="1426866"/>
            <a:ext cx="1989573" cy="429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rgbClr val="004225"/>
                </a:solidFill>
              </a:rPr>
              <a:t>Working Capital / Total Assets</a:t>
            </a:r>
          </a:p>
        </xdr:txBody>
      </xdr:sp>
    </xdr:grpSp>
    <xdr:clientData/>
  </xdr:twoCellAnchor>
  <xdr:twoCellAnchor>
    <xdr:from>
      <xdr:col>2</xdr:col>
      <xdr:colOff>934495</xdr:colOff>
      <xdr:row>19</xdr:row>
      <xdr:rowOff>72010</xdr:rowOff>
    </xdr:from>
    <xdr:to>
      <xdr:col>4</xdr:col>
      <xdr:colOff>267954</xdr:colOff>
      <xdr:row>21</xdr:row>
      <xdr:rowOff>159095</xdr:rowOff>
    </xdr:to>
    <xdr:sp macro="" textlink="">
      <xdr:nvSpPr>
        <xdr:cNvPr id="17" name="TextBox 16">
          <a:extLst>
            <a:ext uri="{FF2B5EF4-FFF2-40B4-BE49-F238E27FC236}">
              <a16:creationId xmlns:a16="http://schemas.microsoft.com/office/drawing/2014/main" id="{C4FF4B38-E2B4-4339-914F-72C9B435E1E4}"/>
            </a:ext>
          </a:extLst>
        </xdr:cNvPr>
        <xdr:cNvSpPr txBox="1"/>
      </xdr:nvSpPr>
      <xdr:spPr>
        <a:xfrm>
          <a:off x="1671374" y="3873636"/>
          <a:ext cx="1594338" cy="455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rgbClr val="004225"/>
              </a:solidFill>
            </a:rPr>
            <a:t>Market Capitalization / Long-Term Liabilities</a:t>
          </a:r>
        </a:p>
      </xdr:txBody>
    </xdr:sp>
    <xdr:clientData/>
  </xdr:twoCellAnchor>
  <xdr:twoCellAnchor>
    <xdr:from>
      <xdr:col>6</xdr:col>
      <xdr:colOff>266286</xdr:colOff>
      <xdr:row>19</xdr:row>
      <xdr:rowOff>174171</xdr:rowOff>
    </xdr:from>
    <xdr:to>
      <xdr:col>8</xdr:col>
      <xdr:colOff>309828</xdr:colOff>
      <xdr:row>22</xdr:row>
      <xdr:rowOff>51384</xdr:rowOff>
    </xdr:to>
    <xdr:sp macro="" textlink="">
      <xdr:nvSpPr>
        <xdr:cNvPr id="18" name="TextBox 17">
          <a:extLst>
            <a:ext uri="{FF2B5EF4-FFF2-40B4-BE49-F238E27FC236}">
              <a16:creationId xmlns:a16="http://schemas.microsoft.com/office/drawing/2014/main" id="{EC2E8286-EC2D-47F2-8573-BDD9953384DC}"/>
            </a:ext>
          </a:extLst>
        </xdr:cNvPr>
        <xdr:cNvSpPr txBox="1"/>
      </xdr:nvSpPr>
      <xdr:spPr>
        <a:xfrm>
          <a:off x="4603824" y="3975797"/>
          <a:ext cx="1383323" cy="429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rgbClr val="004225"/>
              </a:solidFill>
            </a:rPr>
            <a:t>Sales / Total Assets</a:t>
          </a:r>
        </a:p>
      </xdr:txBody>
    </xdr:sp>
    <xdr:clientData/>
  </xdr:twoCellAnchor>
  <xdr:twoCellAnchor>
    <xdr:from>
      <xdr:col>5</xdr:col>
      <xdr:colOff>430409</xdr:colOff>
      <xdr:row>21</xdr:row>
      <xdr:rowOff>160774</xdr:rowOff>
    </xdr:from>
    <xdr:to>
      <xdr:col>9</xdr:col>
      <xdr:colOff>108862</xdr:colOff>
      <xdr:row>21</xdr:row>
      <xdr:rowOff>160774</xdr:rowOff>
    </xdr:to>
    <xdr:cxnSp macro="">
      <xdr:nvCxnSpPr>
        <xdr:cNvPr id="19" name="Straight Connector 18">
          <a:extLst>
            <a:ext uri="{FF2B5EF4-FFF2-40B4-BE49-F238E27FC236}">
              <a16:creationId xmlns:a16="http://schemas.microsoft.com/office/drawing/2014/main" id="{7716E6BC-B9FE-4BF3-AEBE-AC5643FAFC0A}"/>
            </a:ext>
          </a:extLst>
        </xdr:cNvPr>
        <xdr:cNvCxnSpPr/>
      </xdr:nvCxnSpPr>
      <xdr:spPr>
        <a:xfrm>
          <a:off x="4098057" y="4330840"/>
          <a:ext cx="2358014" cy="0"/>
        </a:xfrm>
        <a:prstGeom prst="line">
          <a:avLst/>
        </a:prstGeom>
        <a:ln>
          <a:solidFill>
            <a:srgbClr val="03865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540935</xdr:colOff>
      <xdr:row>21</xdr:row>
      <xdr:rowOff>154075</xdr:rowOff>
    </xdr:from>
    <xdr:to>
      <xdr:col>4</xdr:col>
      <xdr:colOff>638070</xdr:colOff>
      <xdr:row>21</xdr:row>
      <xdr:rowOff>154075</xdr:rowOff>
    </xdr:to>
    <xdr:cxnSp macro="">
      <xdr:nvCxnSpPr>
        <xdr:cNvPr id="20" name="Straight Connector 19">
          <a:extLst>
            <a:ext uri="{FF2B5EF4-FFF2-40B4-BE49-F238E27FC236}">
              <a16:creationId xmlns:a16="http://schemas.microsoft.com/office/drawing/2014/main" id="{5F0F872E-ED00-41FB-921E-3E81FA4205C6}"/>
            </a:ext>
          </a:extLst>
        </xdr:cNvPr>
        <xdr:cNvCxnSpPr/>
      </xdr:nvCxnSpPr>
      <xdr:spPr>
        <a:xfrm>
          <a:off x="1277814" y="4324141"/>
          <a:ext cx="2358014" cy="0"/>
        </a:xfrm>
        <a:prstGeom prst="line">
          <a:avLst/>
        </a:prstGeom>
        <a:ln>
          <a:solidFill>
            <a:srgbClr val="038654"/>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22860</xdr:colOff>
      <xdr:row>9</xdr:row>
      <xdr:rowOff>129540</xdr:rowOff>
    </xdr:from>
    <xdr:to>
      <xdr:col>14</xdr:col>
      <xdr:colOff>60960</xdr:colOff>
      <xdr:row>19</xdr:row>
      <xdr:rowOff>129540</xdr:rowOff>
    </xdr:to>
    <xdr:graphicFrame macro="">
      <xdr:nvGraphicFramePr>
        <xdr:cNvPr id="2" name="Chart 1">
          <a:extLst>
            <a:ext uri="{FF2B5EF4-FFF2-40B4-BE49-F238E27FC236}">
              <a16:creationId xmlns:a16="http://schemas.microsoft.com/office/drawing/2014/main" id="{15854C6B-0924-475E-81D2-07444F702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23</xdr:row>
      <xdr:rowOff>0</xdr:rowOff>
    </xdr:from>
    <xdr:to>
      <xdr:col>14</xdr:col>
      <xdr:colOff>83820</xdr:colOff>
      <xdr:row>29</xdr:row>
      <xdr:rowOff>137160</xdr:rowOff>
    </xdr:to>
    <xdr:graphicFrame macro="">
      <xdr:nvGraphicFramePr>
        <xdr:cNvPr id="3" name="Chart 2">
          <a:extLst>
            <a:ext uri="{FF2B5EF4-FFF2-40B4-BE49-F238E27FC236}">
              <a16:creationId xmlns:a16="http://schemas.microsoft.com/office/drawing/2014/main" id="{FAA5E0E6-1E8C-43C8-B08E-E2AB3D4A2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83820</xdr:colOff>
      <xdr:row>30</xdr:row>
      <xdr:rowOff>106680</xdr:rowOff>
    </xdr:from>
    <xdr:to>
      <xdr:col>13</xdr:col>
      <xdr:colOff>579120</xdr:colOff>
      <xdr:row>42</xdr:row>
      <xdr:rowOff>91440</xdr:rowOff>
    </xdr:to>
    <xdr:graphicFrame macro="">
      <xdr:nvGraphicFramePr>
        <xdr:cNvPr id="4" name="Chart 3">
          <a:extLst>
            <a:ext uri="{FF2B5EF4-FFF2-40B4-BE49-F238E27FC236}">
              <a16:creationId xmlns:a16="http://schemas.microsoft.com/office/drawing/2014/main" id="{B1507B07-2BFD-41B6-9F6C-422B9F2A0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426720</xdr:colOff>
      <xdr:row>19</xdr:row>
      <xdr:rowOff>30480</xdr:rowOff>
    </xdr:from>
    <xdr:to>
      <xdr:col>11</xdr:col>
      <xdr:colOff>297180</xdr:colOff>
      <xdr:row>20</xdr:row>
      <xdr:rowOff>99060</xdr:rowOff>
    </xdr:to>
    <xdr:sp macro="" textlink="">
      <xdr:nvSpPr>
        <xdr:cNvPr id="5" name="TextBox 4">
          <a:extLst>
            <a:ext uri="{FF2B5EF4-FFF2-40B4-BE49-F238E27FC236}">
              <a16:creationId xmlns:a16="http://schemas.microsoft.com/office/drawing/2014/main" id="{157C8F26-3411-7D85-DB30-9EC000C55961}"/>
            </a:ext>
          </a:extLst>
        </xdr:cNvPr>
        <xdr:cNvSpPr txBox="1"/>
      </xdr:nvSpPr>
      <xdr:spPr>
        <a:xfrm>
          <a:off x="6835140" y="3505200"/>
          <a:ext cx="4800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2019</a:t>
          </a:r>
        </a:p>
      </xdr:txBody>
    </xdr:sp>
    <xdr:clientData/>
  </xdr:twoCellAnchor>
  <xdr:twoCellAnchor>
    <xdr:from>
      <xdr:col>11</xdr:col>
      <xdr:colOff>525780</xdr:colOff>
      <xdr:row>19</xdr:row>
      <xdr:rowOff>30480</xdr:rowOff>
    </xdr:from>
    <xdr:to>
      <xdr:col>12</xdr:col>
      <xdr:colOff>396240</xdr:colOff>
      <xdr:row>20</xdr:row>
      <xdr:rowOff>99060</xdr:rowOff>
    </xdr:to>
    <xdr:sp macro="" textlink="">
      <xdr:nvSpPr>
        <xdr:cNvPr id="6" name="TextBox 5">
          <a:extLst>
            <a:ext uri="{FF2B5EF4-FFF2-40B4-BE49-F238E27FC236}">
              <a16:creationId xmlns:a16="http://schemas.microsoft.com/office/drawing/2014/main" id="{E67D51DF-CDC5-4F23-BC28-8BCF280ED352}"/>
            </a:ext>
          </a:extLst>
        </xdr:cNvPr>
        <xdr:cNvSpPr txBox="1"/>
      </xdr:nvSpPr>
      <xdr:spPr>
        <a:xfrm>
          <a:off x="7543800" y="3505200"/>
          <a:ext cx="4800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2021</a:t>
          </a:r>
        </a:p>
      </xdr:txBody>
    </xdr:sp>
    <xdr:clientData/>
  </xdr:twoCellAnchor>
  <xdr:twoCellAnchor>
    <xdr:from>
      <xdr:col>12</xdr:col>
      <xdr:colOff>586740</xdr:colOff>
      <xdr:row>19</xdr:row>
      <xdr:rowOff>30480</xdr:rowOff>
    </xdr:from>
    <xdr:to>
      <xdr:col>13</xdr:col>
      <xdr:colOff>457200</xdr:colOff>
      <xdr:row>20</xdr:row>
      <xdr:rowOff>99060</xdr:rowOff>
    </xdr:to>
    <xdr:sp macro="" textlink="">
      <xdr:nvSpPr>
        <xdr:cNvPr id="7" name="TextBox 6">
          <a:extLst>
            <a:ext uri="{FF2B5EF4-FFF2-40B4-BE49-F238E27FC236}">
              <a16:creationId xmlns:a16="http://schemas.microsoft.com/office/drawing/2014/main" id="{39461115-1429-45F3-B7E4-1010FCBAE94E}"/>
            </a:ext>
          </a:extLst>
        </xdr:cNvPr>
        <xdr:cNvSpPr txBox="1"/>
      </xdr:nvSpPr>
      <xdr:spPr>
        <a:xfrm>
          <a:off x="8214360" y="3505200"/>
          <a:ext cx="4800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2023</a:t>
          </a:r>
        </a:p>
      </xdr:txBody>
    </xdr:sp>
    <xdr:clientData/>
  </xdr:twoCellAnchor>
  <xdr:twoCellAnchor>
    <xdr:from>
      <xdr:col>10</xdr:col>
      <xdr:colOff>457200</xdr:colOff>
      <xdr:row>29</xdr:row>
      <xdr:rowOff>0</xdr:rowOff>
    </xdr:from>
    <xdr:to>
      <xdr:col>11</xdr:col>
      <xdr:colOff>327660</xdr:colOff>
      <xdr:row>30</xdr:row>
      <xdr:rowOff>68580</xdr:rowOff>
    </xdr:to>
    <xdr:sp macro="" textlink="">
      <xdr:nvSpPr>
        <xdr:cNvPr id="8" name="TextBox 7">
          <a:extLst>
            <a:ext uri="{FF2B5EF4-FFF2-40B4-BE49-F238E27FC236}">
              <a16:creationId xmlns:a16="http://schemas.microsoft.com/office/drawing/2014/main" id="{58B1DE8E-DF18-4BDB-849D-1B01795075A5}"/>
            </a:ext>
          </a:extLst>
        </xdr:cNvPr>
        <xdr:cNvSpPr txBox="1"/>
      </xdr:nvSpPr>
      <xdr:spPr>
        <a:xfrm>
          <a:off x="6865620" y="5303520"/>
          <a:ext cx="480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2019</a:t>
          </a:r>
        </a:p>
      </xdr:txBody>
    </xdr:sp>
    <xdr:clientData/>
  </xdr:twoCellAnchor>
  <xdr:twoCellAnchor>
    <xdr:from>
      <xdr:col>11</xdr:col>
      <xdr:colOff>556260</xdr:colOff>
      <xdr:row>29</xdr:row>
      <xdr:rowOff>0</xdr:rowOff>
    </xdr:from>
    <xdr:to>
      <xdr:col>12</xdr:col>
      <xdr:colOff>426720</xdr:colOff>
      <xdr:row>30</xdr:row>
      <xdr:rowOff>68580</xdr:rowOff>
    </xdr:to>
    <xdr:sp macro="" textlink="">
      <xdr:nvSpPr>
        <xdr:cNvPr id="9" name="TextBox 8">
          <a:extLst>
            <a:ext uri="{FF2B5EF4-FFF2-40B4-BE49-F238E27FC236}">
              <a16:creationId xmlns:a16="http://schemas.microsoft.com/office/drawing/2014/main" id="{D3BE8292-BD45-4D22-84CF-6BE7CD94DACB}"/>
            </a:ext>
          </a:extLst>
        </xdr:cNvPr>
        <xdr:cNvSpPr txBox="1"/>
      </xdr:nvSpPr>
      <xdr:spPr>
        <a:xfrm>
          <a:off x="7574280" y="5303520"/>
          <a:ext cx="480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2021</a:t>
          </a:r>
        </a:p>
      </xdr:txBody>
    </xdr:sp>
    <xdr:clientData/>
  </xdr:twoCellAnchor>
  <xdr:twoCellAnchor>
    <xdr:from>
      <xdr:col>13</xdr:col>
      <xdr:colOff>7620</xdr:colOff>
      <xdr:row>29</xdr:row>
      <xdr:rowOff>0</xdr:rowOff>
    </xdr:from>
    <xdr:to>
      <xdr:col>13</xdr:col>
      <xdr:colOff>487680</xdr:colOff>
      <xdr:row>30</xdr:row>
      <xdr:rowOff>68580</xdr:rowOff>
    </xdr:to>
    <xdr:sp macro="" textlink="">
      <xdr:nvSpPr>
        <xdr:cNvPr id="10" name="TextBox 9">
          <a:extLst>
            <a:ext uri="{FF2B5EF4-FFF2-40B4-BE49-F238E27FC236}">
              <a16:creationId xmlns:a16="http://schemas.microsoft.com/office/drawing/2014/main" id="{393A8D03-D3B6-46CC-80F5-37D378ABA139}"/>
            </a:ext>
          </a:extLst>
        </xdr:cNvPr>
        <xdr:cNvSpPr txBox="1"/>
      </xdr:nvSpPr>
      <xdr:spPr>
        <a:xfrm>
          <a:off x="8244840" y="5303520"/>
          <a:ext cx="480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2023</a:t>
          </a:r>
        </a:p>
      </xdr:txBody>
    </xdr:sp>
    <xdr:clientData/>
  </xdr:twoCellAnchor>
  <xdr:twoCellAnchor editAs="oneCell">
    <xdr:from>
      <xdr:col>1</xdr:col>
      <xdr:colOff>408545</xdr:colOff>
      <xdr:row>2</xdr:row>
      <xdr:rowOff>30480</xdr:rowOff>
    </xdr:from>
    <xdr:to>
      <xdr:col>1</xdr:col>
      <xdr:colOff>1570873</xdr:colOff>
      <xdr:row>7</xdr:row>
      <xdr:rowOff>152400</xdr:rowOff>
    </xdr:to>
    <xdr:pic>
      <xdr:nvPicPr>
        <xdr:cNvPr id="11" name="Picture 10" descr="Dabur logo in transparent PNG format">
          <a:extLst>
            <a:ext uri="{FF2B5EF4-FFF2-40B4-BE49-F238E27FC236}">
              <a16:creationId xmlns:a16="http://schemas.microsoft.com/office/drawing/2014/main" id="{2D4EBDE0-C225-E345-12C3-7C3ADBE6873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38085" y="396240"/>
          <a:ext cx="1162328" cy="1036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457200</xdr:colOff>
      <xdr:row>42</xdr:row>
      <xdr:rowOff>0</xdr:rowOff>
    </xdr:from>
    <xdr:to>
      <xdr:col>11</xdr:col>
      <xdr:colOff>327660</xdr:colOff>
      <xdr:row>43</xdr:row>
      <xdr:rowOff>68580</xdr:rowOff>
    </xdr:to>
    <xdr:sp macro="" textlink="">
      <xdr:nvSpPr>
        <xdr:cNvPr id="12" name="TextBox 11">
          <a:extLst>
            <a:ext uri="{FF2B5EF4-FFF2-40B4-BE49-F238E27FC236}">
              <a16:creationId xmlns:a16="http://schemas.microsoft.com/office/drawing/2014/main" id="{31439551-63AE-4242-83CB-B57CE425BDDB}"/>
            </a:ext>
          </a:extLst>
        </xdr:cNvPr>
        <xdr:cNvSpPr txBox="1"/>
      </xdr:nvSpPr>
      <xdr:spPr>
        <a:xfrm>
          <a:off x="6865620" y="5082540"/>
          <a:ext cx="480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2019</a:t>
          </a:r>
        </a:p>
      </xdr:txBody>
    </xdr:sp>
    <xdr:clientData/>
  </xdr:twoCellAnchor>
  <xdr:twoCellAnchor>
    <xdr:from>
      <xdr:col>11</xdr:col>
      <xdr:colOff>556260</xdr:colOff>
      <xdr:row>42</xdr:row>
      <xdr:rowOff>0</xdr:rowOff>
    </xdr:from>
    <xdr:to>
      <xdr:col>12</xdr:col>
      <xdr:colOff>426720</xdr:colOff>
      <xdr:row>43</xdr:row>
      <xdr:rowOff>68580</xdr:rowOff>
    </xdr:to>
    <xdr:sp macro="" textlink="">
      <xdr:nvSpPr>
        <xdr:cNvPr id="13" name="TextBox 12">
          <a:extLst>
            <a:ext uri="{FF2B5EF4-FFF2-40B4-BE49-F238E27FC236}">
              <a16:creationId xmlns:a16="http://schemas.microsoft.com/office/drawing/2014/main" id="{1D3E93B9-2E7F-4F8B-83AE-E9F2C5B215EF}"/>
            </a:ext>
          </a:extLst>
        </xdr:cNvPr>
        <xdr:cNvSpPr txBox="1"/>
      </xdr:nvSpPr>
      <xdr:spPr>
        <a:xfrm>
          <a:off x="7574280" y="5082540"/>
          <a:ext cx="480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2021</a:t>
          </a:r>
        </a:p>
      </xdr:txBody>
    </xdr:sp>
    <xdr:clientData/>
  </xdr:twoCellAnchor>
  <xdr:twoCellAnchor>
    <xdr:from>
      <xdr:col>13</xdr:col>
      <xdr:colOff>7620</xdr:colOff>
      <xdr:row>42</xdr:row>
      <xdr:rowOff>0</xdr:rowOff>
    </xdr:from>
    <xdr:to>
      <xdr:col>13</xdr:col>
      <xdr:colOff>487680</xdr:colOff>
      <xdr:row>43</xdr:row>
      <xdr:rowOff>68580</xdr:rowOff>
    </xdr:to>
    <xdr:sp macro="" textlink="">
      <xdr:nvSpPr>
        <xdr:cNvPr id="14" name="TextBox 13">
          <a:extLst>
            <a:ext uri="{FF2B5EF4-FFF2-40B4-BE49-F238E27FC236}">
              <a16:creationId xmlns:a16="http://schemas.microsoft.com/office/drawing/2014/main" id="{9A87A913-7AAD-4B13-B4B3-F4D95307D23F}"/>
            </a:ext>
          </a:extLst>
        </xdr:cNvPr>
        <xdr:cNvSpPr txBox="1"/>
      </xdr:nvSpPr>
      <xdr:spPr>
        <a:xfrm>
          <a:off x="8244840" y="5082540"/>
          <a:ext cx="480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2023</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xdr:col>
      <xdr:colOff>396240</xdr:colOff>
      <xdr:row>14</xdr:row>
      <xdr:rowOff>170688</xdr:rowOff>
    </xdr:from>
    <xdr:to>
      <xdr:col>10</xdr:col>
      <xdr:colOff>556260</xdr:colOff>
      <xdr:row>25</xdr:row>
      <xdr:rowOff>83820</xdr:rowOff>
    </xdr:to>
    <xdr:graphicFrame macro="">
      <xdr:nvGraphicFramePr>
        <xdr:cNvPr id="3" name="Chart 2">
          <a:extLst>
            <a:ext uri="{FF2B5EF4-FFF2-40B4-BE49-F238E27FC236}">
              <a16:creationId xmlns:a16="http://schemas.microsoft.com/office/drawing/2014/main" id="{EA3BEC7C-D9F5-9F1B-2611-96CE1C445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396240</xdr:colOff>
      <xdr:row>245</xdr:row>
      <xdr:rowOff>83820</xdr:rowOff>
    </xdr:from>
    <xdr:to>
      <xdr:col>13</xdr:col>
      <xdr:colOff>91440</xdr:colOff>
      <xdr:row>260</xdr:row>
      <xdr:rowOff>83820</xdr:rowOff>
    </xdr:to>
    <xdr:graphicFrame macro="">
      <xdr:nvGraphicFramePr>
        <xdr:cNvPr id="4" name="Chart 3">
          <a:extLst>
            <a:ext uri="{FF2B5EF4-FFF2-40B4-BE49-F238E27FC236}">
              <a16:creationId xmlns:a16="http://schemas.microsoft.com/office/drawing/2014/main" id="{24C7B27F-B547-214B-2A03-65246A285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525780</xdr:colOff>
      <xdr:row>47</xdr:row>
      <xdr:rowOff>137160</xdr:rowOff>
    </xdr:from>
    <xdr:to>
      <xdr:col>31</xdr:col>
      <xdr:colOff>281940</xdr:colOff>
      <xdr:row>62</xdr:row>
      <xdr:rowOff>137160</xdr:rowOff>
    </xdr:to>
    <xdr:graphicFrame macro="">
      <xdr:nvGraphicFramePr>
        <xdr:cNvPr id="5" name="Chart 4">
          <a:extLst>
            <a:ext uri="{FF2B5EF4-FFF2-40B4-BE49-F238E27FC236}">
              <a16:creationId xmlns:a16="http://schemas.microsoft.com/office/drawing/2014/main" id="{EF9E6E0B-C394-E26B-CE47-2BBC1EE9F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customWidth="1"/>
    <col min="2" max="6" width="13.44140625" customWidth="1"/>
    <col min="7" max="7" width="14.77734375" bestFit="1" customWidth="1"/>
    <col min="8" max="11" width="13.44140625" customWidth="1"/>
    <col min="12" max="12" width="13.33203125" customWidth="1"/>
    <col min="13" max="14" width="12.109375" customWidth="1"/>
  </cols>
  <sheetData>
    <row r="1" spans="1:14" s="2" customFormat="1" x14ac:dyDescent="0.3">
      <c r="A1" s="2" t="str">
        <f>'Data Sheet'!B1</f>
        <v>DABUR INDIA LTD</v>
      </c>
      <c r="H1" t="str">
        <f>UPDATE</f>
        <v/>
      </c>
      <c r="J1" s="3"/>
      <c r="K1" s="3"/>
      <c r="M1" s="2" t="s">
        <v>1</v>
      </c>
    </row>
    <row r="3" spans="1:14" s="2" customFormat="1" x14ac:dyDescent="0.3">
      <c r="A3" s="11" t="s">
        <v>2</v>
      </c>
      <c r="B3" s="12">
        <f>'Data Sheet'!B16</f>
        <v>42094</v>
      </c>
      <c r="C3" s="12">
        <f>'Data Sheet'!C16</f>
        <v>42460</v>
      </c>
      <c r="D3" s="12">
        <f>'Data Sheet'!D16</f>
        <v>42825</v>
      </c>
      <c r="E3" s="12">
        <f>'Data Sheet'!E16</f>
        <v>43190</v>
      </c>
      <c r="F3" s="12">
        <f>'Data Sheet'!F16</f>
        <v>43555</v>
      </c>
      <c r="G3" s="12">
        <f>'Data Sheet'!G16</f>
        <v>43921</v>
      </c>
      <c r="H3" s="12">
        <f>'Data Sheet'!H16</f>
        <v>44286</v>
      </c>
      <c r="I3" s="12">
        <f>'Data Sheet'!I16</f>
        <v>44651</v>
      </c>
      <c r="J3" s="12">
        <f>'Data Sheet'!J16</f>
        <v>45016</v>
      </c>
      <c r="K3" s="12">
        <f>'Data Sheet'!K16</f>
        <v>45382</v>
      </c>
      <c r="L3" s="13" t="s">
        <v>3</v>
      </c>
      <c r="M3" s="13" t="s">
        <v>4</v>
      </c>
      <c r="N3" s="13" t="s">
        <v>5</v>
      </c>
    </row>
    <row r="4" spans="1:14" s="2" customFormat="1" x14ac:dyDescent="0.3">
      <c r="A4" s="2" t="s">
        <v>6</v>
      </c>
      <c r="B4" s="1">
        <f>'Data Sheet'!B17</f>
        <v>7795.49</v>
      </c>
      <c r="C4" s="1">
        <f>'Data Sheet'!C17</f>
        <v>7779.66</v>
      </c>
      <c r="D4" s="1">
        <f>'Data Sheet'!D17</f>
        <v>7613.59</v>
      </c>
      <c r="E4" s="1">
        <f>'Data Sheet'!E17</f>
        <v>7721.85</v>
      </c>
      <c r="F4" s="1">
        <f>'Data Sheet'!F17</f>
        <v>8514.99</v>
      </c>
      <c r="G4" s="1">
        <f>'Data Sheet'!G17</f>
        <v>8684.64</v>
      </c>
      <c r="H4" s="1">
        <f>'Data Sheet'!H17</f>
        <v>9561.65</v>
      </c>
      <c r="I4" s="1">
        <f>'Data Sheet'!I17</f>
        <v>10888.68</v>
      </c>
      <c r="J4" s="1">
        <f>'Data Sheet'!J17</f>
        <v>11529.89</v>
      </c>
      <c r="K4" s="1">
        <f>'Data Sheet'!K17</f>
        <v>12404.01</v>
      </c>
      <c r="L4" s="1">
        <f>SUM(Quarters!H4:K4)</f>
        <v>12622.65</v>
      </c>
      <c r="M4" s="1">
        <f>$K4+M23*K4</f>
        <v>13528.153717805586</v>
      </c>
      <c r="N4" s="1">
        <f>$K4+N23*L4</f>
        <v>13072.545763888498</v>
      </c>
    </row>
    <row r="5" spans="1:14" x14ac:dyDescent="0.3">
      <c r="A5" t="s">
        <v>7</v>
      </c>
      <c r="B5" s="6">
        <f>SUM('Data Sheet'!B18,'Data Sheet'!B20:B24, -1*'Data Sheet'!B19)</f>
        <v>6475.2699999999995</v>
      </c>
      <c r="C5" s="6">
        <f>SUM('Data Sheet'!C18,'Data Sheet'!C20:C24, -1*'Data Sheet'!C19)</f>
        <v>6261.380000000001</v>
      </c>
      <c r="D5" s="6">
        <f>SUM('Data Sheet'!D18,'Data Sheet'!D20:D24, -1*'Data Sheet'!D19)</f>
        <v>6101.98</v>
      </c>
      <c r="E5" s="6">
        <f>SUM('Data Sheet'!E18,'Data Sheet'!E20:E24, -1*'Data Sheet'!E19)</f>
        <v>6104.41</v>
      </c>
      <c r="F5" s="6">
        <f>SUM('Data Sheet'!F18,'Data Sheet'!F20:F24, -1*'Data Sheet'!F19)</f>
        <v>6775.4300000000012</v>
      </c>
      <c r="G5" s="6">
        <f>SUM('Data Sheet'!G18,'Data Sheet'!G20:G24, -1*'Data Sheet'!G19)</f>
        <v>6892.3</v>
      </c>
      <c r="H5" s="6">
        <f>SUM('Data Sheet'!H18,'Data Sheet'!H20:H24, -1*'Data Sheet'!H19)</f>
        <v>7559.9800000000014</v>
      </c>
      <c r="I5" s="6">
        <f>SUM('Data Sheet'!I18,'Data Sheet'!I20:I24, -1*'Data Sheet'!I19)</f>
        <v>8636.67</v>
      </c>
      <c r="J5" s="6">
        <f>SUM('Data Sheet'!J18,'Data Sheet'!J20:J24, -1*'Data Sheet'!J19)</f>
        <v>9367.4</v>
      </c>
      <c r="K5" s="6">
        <f>SUM('Data Sheet'!K18,'Data Sheet'!K20:K24, -1*'Data Sheet'!K19)</f>
        <v>10004.289999999999</v>
      </c>
      <c r="L5" s="6">
        <f>SUM(Quarters!H5:K5)</f>
        <v>10173.120000000001</v>
      </c>
      <c r="M5" s="6">
        <f>M4-M6</f>
        <v>10880.911163493263</v>
      </c>
      <c r="N5" s="6">
        <f>N4-N6</f>
        <v>10535.709756788738</v>
      </c>
    </row>
    <row r="6" spans="1:14" s="2" customFormat="1" x14ac:dyDescent="0.3">
      <c r="A6" s="2" t="s">
        <v>8</v>
      </c>
      <c r="B6" s="1">
        <f>B4-B5</f>
        <v>1320.2200000000003</v>
      </c>
      <c r="C6" s="1">
        <f t="shared" ref="C6:K6" si="0">C4-C5</f>
        <v>1518.2799999999988</v>
      </c>
      <c r="D6" s="1">
        <f t="shared" si="0"/>
        <v>1511.6100000000006</v>
      </c>
      <c r="E6" s="1">
        <f t="shared" si="0"/>
        <v>1617.4400000000005</v>
      </c>
      <c r="F6" s="1">
        <f t="shared" si="0"/>
        <v>1739.5599999999986</v>
      </c>
      <c r="G6" s="1">
        <f t="shared" si="0"/>
        <v>1792.3399999999992</v>
      </c>
      <c r="H6" s="1">
        <f t="shared" si="0"/>
        <v>2001.6699999999983</v>
      </c>
      <c r="I6" s="1">
        <f t="shared" si="0"/>
        <v>2252.0100000000002</v>
      </c>
      <c r="J6" s="1">
        <f t="shared" si="0"/>
        <v>2162.4899999999998</v>
      </c>
      <c r="K6" s="1">
        <f t="shared" si="0"/>
        <v>2399.7200000000012</v>
      </c>
      <c r="L6" s="1">
        <f>SUM(Quarters!H6:K6)</f>
        <v>2449.5300000000002</v>
      </c>
      <c r="M6" s="1">
        <f>M4*M24</f>
        <v>2647.2425543123227</v>
      </c>
      <c r="N6" s="1">
        <f>N4*N24</f>
        <v>2536.836007099761</v>
      </c>
    </row>
    <row r="7" spans="1:14" x14ac:dyDescent="0.3">
      <c r="A7" t="s">
        <v>9</v>
      </c>
      <c r="B7" s="6">
        <f>'Data Sheet'!B25</f>
        <v>154.24</v>
      </c>
      <c r="C7" s="6">
        <f>'Data Sheet'!C25</f>
        <v>217.19</v>
      </c>
      <c r="D7" s="6">
        <f>'Data Sheet'!D25</f>
        <v>295.93</v>
      </c>
      <c r="E7" s="6">
        <f>'Data Sheet'!E25</f>
        <v>290.88</v>
      </c>
      <c r="F7" s="6">
        <f>'Data Sheet'!F25</f>
        <v>221.79</v>
      </c>
      <c r="G7" s="6">
        <f>'Data Sheet'!G25</f>
        <v>205.29</v>
      </c>
      <c r="H7" s="6">
        <f>'Data Sheet'!H25</f>
        <v>325.29000000000002</v>
      </c>
      <c r="I7" s="6">
        <f>'Data Sheet'!I25</f>
        <v>308.16000000000003</v>
      </c>
      <c r="J7" s="6">
        <f>'Data Sheet'!J25</f>
        <v>445.39</v>
      </c>
      <c r="K7" s="6">
        <f>'Data Sheet'!K25</f>
        <v>482.41</v>
      </c>
      <c r="L7" s="6">
        <f>SUM(Quarters!H7:K7)</f>
        <v>502.52</v>
      </c>
      <c r="M7" s="6">
        <v>0</v>
      </c>
      <c r="N7" s="6">
        <v>0</v>
      </c>
    </row>
    <row r="8" spans="1:14" x14ac:dyDescent="0.3">
      <c r="A8" t="s">
        <v>10</v>
      </c>
      <c r="B8" s="6">
        <f>'Data Sheet'!B26</f>
        <v>114.98</v>
      </c>
      <c r="C8" s="6">
        <f>'Data Sheet'!C26</f>
        <v>133.19</v>
      </c>
      <c r="D8" s="6">
        <f>'Data Sheet'!D26</f>
        <v>142.86000000000001</v>
      </c>
      <c r="E8" s="6">
        <f>'Data Sheet'!E26</f>
        <v>162.18</v>
      </c>
      <c r="F8" s="6">
        <f>'Data Sheet'!F26</f>
        <v>176.9</v>
      </c>
      <c r="G8" s="6">
        <f>'Data Sheet'!G26</f>
        <v>220.45</v>
      </c>
      <c r="H8" s="6">
        <f>'Data Sheet'!H26</f>
        <v>240.13</v>
      </c>
      <c r="I8" s="6">
        <f>'Data Sheet'!I26</f>
        <v>252.89</v>
      </c>
      <c r="J8" s="6">
        <f>'Data Sheet'!J26</f>
        <v>310.95999999999998</v>
      </c>
      <c r="K8" s="6">
        <f>'Data Sheet'!K26</f>
        <v>399.21</v>
      </c>
      <c r="L8" s="6">
        <f>SUM(Quarters!H8:K8)</f>
        <v>411.69</v>
      </c>
      <c r="M8" s="6">
        <f>+$L8</f>
        <v>411.69</v>
      </c>
      <c r="N8" s="6">
        <f>+$L8</f>
        <v>411.69</v>
      </c>
    </row>
    <row r="9" spans="1:14" x14ac:dyDescent="0.3">
      <c r="A9" t="s">
        <v>11</v>
      </c>
      <c r="B9" s="6">
        <f>'Data Sheet'!B27</f>
        <v>40.119999999999997</v>
      </c>
      <c r="C9" s="6">
        <f>'Data Sheet'!C27</f>
        <v>48.48</v>
      </c>
      <c r="D9" s="6">
        <f>'Data Sheet'!D27</f>
        <v>54.03</v>
      </c>
      <c r="E9" s="6">
        <f>'Data Sheet'!E27</f>
        <v>53.05</v>
      </c>
      <c r="F9" s="6">
        <f>'Data Sheet'!F27</f>
        <v>59.58</v>
      </c>
      <c r="G9" s="6">
        <f>'Data Sheet'!G27</f>
        <v>49.54</v>
      </c>
      <c r="H9" s="6">
        <f>'Data Sheet'!H27</f>
        <v>30.81</v>
      </c>
      <c r="I9" s="6">
        <f>'Data Sheet'!I27</f>
        <v>38.6</v>
      </c>
      <c r="J9" s="6">
        <f>'Data Sheet'!J27</f>
        <v>78.239999999999995</v>
      </c>
      <c r="K9" s="6">
        <f>'Data Sheet'!K27</f>
        <v>124.18</v>
      </c>
      <c r="L9" s="6">
        <f>SUM(Quarters!H9:K9)</f>
        <v>132.53</v>
      </c>
      <c r="M9" s="6">
        <f>+$L9</f>
        <v>132.53</v>
      </c>
      <c r="N9" s="6">
        <f>+$L9</f>
        <v>132.53</v>
      </c>
    </row>
    <row r="10" spans="1:14" x14ac:dyDescent="0.3">
      <c r="A10" t="s">
        <v>12</v>
      </c>
      <c r="B10" s="6">
        <f>'Data Sheet'!B28</f>
        <v>1319.36</v>
      </c>
      <c r="C10" s="6">
        <f>'Data Sheet'!C28</f>
        <v>1553.8</v>
      </c>
      <c r="D10" s="6">
        <f>'Data Sheet'!D28</f>
        <v>1610.65</v>
      </c>
      <c r="E10" s="6">
        <f>'Data Sheet'!E28</f>
        <v>1693.09</v>
      </c>
      <c r="F10" s="6">
        <f>'Data Sheet'!F28</f>
        <v>1724.87</v>
      </c>
      <c r="G10" s="6">
        <f>'Data Sheet'!G28</f>
        <v>1727.64</v>
      </c>
      <c r="H10" s="6">
        <f>'Data Sheet'!H28</f>
        <v>2056.02</v>
      </c>
      <c r="I10" s="6">
        <f>'Data Sheet'!I28</f>
        <v>2268.6799999999998</v>
      </c>
      <c r="J10" s="6">
        <f>'Data Sheet'!J28</f>
        <v>2218.6799999999998</v>
      </c>
      <c r="K10" s="6">
        <f>'Data Sheet'!K28</f>
        <v>2358.7399999999998</v>
      </c>
      <c r="L10" s="6">
        <f>SUM(Quarters!H10:K10)</f>
        <v>2407.83</v>
      </c>
      <c r="M10" s="6">
        <f>M6+M7-SUM(M8:M9)</f>
        <v>2103.0225543123224</v>
      </c>
      <c r="N10" s="6">
        <f>N6+N7-SUM(N8:N9)</f>
        <v>1992.616007099761</v>
      </c>
    </row>
    <row r="11" spans="1:14" x14ac:dyDescent="0.3">
      <c r="A11" t="s">
        <v>13</v>
      </c>
      <c r="B11" s="6">
        <f>'Data Sheet'!B29</f>
        <v>250.89</v>
      </c>
      <c r="C11" s="6">
        <f>'Data Sheet'!C29</f>
        <v>299.89999999999998</v>
      </c>
      <c r="D11" s="6">
        <f>'Data Sheet'!D29</f>
        <v>330.34</v>
      </c>
      <c r="E11" s="6">
        <f>'Data Sheet'!E29</f>
        <v>335.35</v>
      </c>
      <c r="F11" s="6">
        <f>'Data Sheet'!F29</f>
        <v>278.62</v>
      </c>
      <c r="G11" s="6">
        <f>'Data Sheet'!G29</f>
        <v>279.72000000000003</v>
      </c>
      <c r="H11" s="6">
        <f>'Data Sheet'!H29</f>
        <v>361.07</v>
      </c>
      <c r="I11" s="6">
        <f>'Data Sheet'!I29</f>
        <v>526.38</v>
      </c>
      <c r="J11" s="6">
        <f>'Data Sheet'!J29</f>
        <v>517.35</v>
      </c>
      <c r="K11" s="6">
        <f>'Data Sheet'!K29</f>
        <v>547.42999999999995</v>
      </c>
      <c r="L11" s="6">
        <f>SUM(Quarters!H11:K11)</f>
        <v>558.78</v>
      </c>
      <c r="M11" s="7">
        <f>IF($L10&gt;0,$L11/$L10,0)</f>
        <v>0.23206787854624289</v>
      </c>
      <c r="N11" s="7">
        <f>IF($L10&gt;0,$L11/$L10,0)</f>
        <v>0.23206787854624289</v>
      </c>
    </row>
    <row r="12" spans="1:14" s="2" customFormat="1" x14ac:dyDescent="0.3">
      <c r="A12" s="2" t="s">
        <v>14</v>
      </c>
      <c r="B12" s="1">
        <f>'Data Sheet'!B30</f>
        <v>1065.83</v>
      </c>
      <c r="C12" s="1">
        <f>'Data Sheet'!C30</f>
        <v>1251.1500000000001</v>
      </c>
      <c r="D12" s="1">
        <f>'Data Sheet'!D30</f>
        <v>1276.94</v>
      </c>
      <c r="E12" s="1">
        <f>'Data Sheet'!E30</f>
        <v>1354.39</v>
      </c>
      <c r="F12" s="1">
        <f>'Data Sheet'!F30</f>
        <v>1442.33</v>
      </c>
      <c r="G12" s="1">
        <f>'Data Sheet'!G30</f>
        <v>1444.96</v>
      </c>
      <c r="H12" s="1">
        <f>'Data Sheet'!H30</f>
        <v>1693.3</v>
      </c>
      <c r="I12" s="1">
        <f>'Data Sheet'!I30</f>
        <v>1739.22</v>
      </c>
      <c r="J12" s="1">
        <f>'Data Sheet'!J30</f>
        <v>1707.15</v>
      </c>
      <c r="K12" s="1">
        <f>'Data Sheet'!K30</f>
        <v>1842.68</v>
      </c>
      <c r="L12" s="1">
        <f>SUM(Quarters!H12:K12)</f>
        <v>1878.92</v>
      </c>
      <c r="M12" s="1">
        <f>M10-M11*M10</f>
        <v>1614.9785715981609</v>
      </c>
      <c r="N12" s="1">
        <f>N10-N11*N10</f>
        <v>1530.1938375748341</v>
      </c>
    </row>
    <row r="13" spans="1:14" x14ac:dyDescent="0.3">
      <c r="A13" t="s">
        <v>57</v>
      </c>
      <c r="B13" s="6">
        <f>IF('Data Sheet'!B93&gt;0,B12/'Data Sheet'!B93,0)</f>
        <v>6.0679191574153135</v>
      </c>
      <c r="C13" s="6">
        <f>IF('Data Sheet'!C93&gt;0,C12/'Data Sheet'!C93,0)</f>
        <v>7.112443863339208</v>
      </c>
      <c r="D13" s="6">
        <f>IF('Data Sheet'!D93&gt;0,D12/'Data Sheet'!D93,0)</f>
        <v>7.2491626454726088</v>
      </c>
      <c r="E13" s="6">
        <f>IF('Data Sheet'!E93&gt;0,E12/'Data Sheet'!E93,0)</f>
        <v>7.6888447346011928</v>
      </c>
      <c r="F13" s="6">
        <f>IF('Data Sheet'!F93&gt;0,F12/'Data Sheet'!F93,0)</f>
        <v>8.1658268697276792</v>
      </c>
      <c r="G13" s="6">
        <f>IF('Data Sheet'!G93&gt;0,G12/'Data Sheet'!G93,0)</f>
        <v>8.1770131854450785</v>
      </c>
      <c r="H13" s="6">
        <f>IF('Data Sheet'!H93&gt;0,H12/'Data Sheet'!H93,0)</f>
        <v>9.5807400701595551</v>
      </c>
      <c r="I13" s="6">
        <f>IF('Data Sheet'!I93&gt;0,I12/'Data Sheet'!I93,0)</f>
        <v>9.8377736297301883</v>
      </c>
      <c r="J13" s="6">
        <f>IF('Data Sheet'!J93&gt;0,J12/'Data Sheet'!J93,0)</f>
        <v>9.6351168303420245</v>
      </c>
      <c r="K13" s="6">
        <f>IF('Data Sheet'!K93&gt;0,K12/'Data Sheet'!K93,0)</f>
        <v>10.398871331828444</v>
      </c>
      <c r="L13" s="6">
        <f>IF('Data Sheet'!$B6&gt;0,'Profit &amp; Loss'!L12/'Data Sheet'!$B6,0)</f>
        <v>10.60152910730714</v>
      </c>
      <c r="M13" s="6">
        <f>IF('Data Sheet'!$B6&gt;0,'Profit &amp; Loss'!M12/'Data Sheet'!$B6,0)</f>
        <v>9.1122785081191378</v>
      </c>
      <c r="N13" s="6">
        <f>IF('Data Sheet'!$B6&gt;0,'Profit &amp; Loss'!N12/'Data Sheet'!$B6,0)</f>
        <v>8.6338931454620838</v>
      </c>
    </row>
    <row r="14" spans="1:14" x14ac:dyDescent="0.3">
      <c r="A14" t="s">
        <v>16</v>
      </c>
      <c r="B14" s="6">
        <f>IF(B15&gt;0,B15/B13,"")</f>
        <v>43.762942964637894</v>
      </c>
      <c r="C14" s="6">
        <f t="shared" ref="C14:K14" si="1">IF(C15&gt;0,C15/C13,"")</f>
        <v>35.13560244574991</v>
      </c>
      <c r="D14" s="6">
        <f t="shared" si="1"/>
        <v>38.259591288549188</v>
      </c>
      <c r="E14" s="6">
        <f t="shared" si="1"/>
        <v>42.711227932870145</v>
      </c>
      <c r="F14" s="6">
        <f t="shared" si="1"/>
        <v>50.062290876567779</v>
      </c>
      <c r="G14" s="6">
        <f t="shared" si="1"/>
        <v>55.038433935887504</v>
      </c>
      <c r="H14" s="6">
        <f t="shared" si="1"/>
        <v>56.415266048544268</v>
      </c>
      <c r="I14" s="6">
        <f t="shared" si="1"/>
        <v>54.504201883603002</v>
      </c>
      <c r="J14" s="6">
        <f t="shared" si="1"/>
        <v>56.553543625340481</v>
      </c>
      <c r="K14" s="6">
        <f t="shared" si="1"/>
        <v>50.308344367985754</v>
      </c>
      <c r="L14" s="6">
        <f>IF(L13&gt;0,L15/L13,0)</f>
        <v>59.019787963298064</v>
      </c>
      <c r="M14" s="6">
        <f>M25</f>
        <v>59.019787963298064</v>
      </c>
      <c r="N14" s="6">
        <f>N25</f>
        <v>49.251930303003085</v>
      </c>
    </row>
    <row r="15" spans="1:14" s="2" customFormat="1" x14ac:dyDescent="0.3">
      <c r="A15" s="2" t="s">
        <v>58</v>
      </c>
      <c r="B15" s="1">
        <f>'Data Sheet'!B90</f>
        <v>265.55</v>
      </c>
      <c r="C15" s="1">
        <f>'Data Sheet'!C90</f>
        <v>249.9</v>
      </c>
      <c r="D15" s="1">
        <f>'Data Sheet'!D90</f>
        <v>277.35000000000002</v>
      </c>
      <c r="E15" s="1">
        <f>'Data Sheet'!E90</f>
        <v>328.4</v>
      </c>
      <c r="F15" s="1">
        <f>'Data Sheet'!F90</f>
        <v>408.8</v>
      </c>
      <c r="G15" s="1">
        <f>'Data Sheet'!G90</f>
        <v>450.05</v>
      </c>
      <c r="H15" s="1">
        <f>'Data Sheet'!H90</f>
        <v>540.5</v>
      </c>
      <c r="I15" s="1">
        <f>'Data Sheet'!I90</f>
        <v>536.20000000000005</v>
      </c>
      <c r="J15" s="1">
        <f>'Data Sheet'!J90</f>
        <v>544.9</v>
      </c>
      <c r="K15" s="1">
        <f>'Data Sheet'!K90</f>
        <v>523.15</v>
      </c>
      <c r="L15" s="1">
        <f>'Data Sheet'!B8</f>
        <v>625.70000000000005</v>
      </c>
      <c r="M15" s="8">
        <f>M13*M14</f>
        <v>537.80474541170952</v>
      </c>
      <c r="N15" s="9">
        <f>N13*N14</f>
        <v>425.23590344387463</v>
      </c>
    </row>
    <row r="17" spans="1:14" s="2" customFormat="1" x14ac:dyDescent="0.3">
      <c r="A17" s="2" t="s">
        <v>15</v>
      </c>
    </row>
    <row r="18" spans="1:14" x14ac:dyDescent="0.3">
      <c r="A18" t="s">
        <v>17</v>
      </c>
      <c r="B18" s="5">
        <f>IF('Data Sheet'!B30&gt;0, 'Data Sheet'!B31/'Data Sheet'!B30, 0)</f>
        <v>0.32960228178977891</v>
      </c>
      <c r="C18" s="5">
        <f>IF('Data Sheet'!C30&gt;0, 'Data Sheet'!C31/'Data Sheet'!C30, 0)</f>
        <v>0.31634895895775883</v>
      </c>
      <c r="D18" s="5">
        <f>IF('Data Sheet'!D30&gt;0, 'Data Sheet'!D31/'Data Sheet'!D30, 0)</f>
        <v>0.31038263348317069</v>
      </c>
      <c r="E18" s="5">
        <f>IF('Data Sheet'!E30&gt;0, 'Data Sheet'!E31/'Data Sheet'!E30, 0)</f>
        <v>0.81286778549753025</v>
      </c>
      <c r="F18" s="5">
        <f>IF('Data Sheet'!F30&gt;0, 'Data Sheet'!F31/'Data Sheet'!F30, 0)</f>
        <v>0.33676759132792083</v>
      </c>
      <c r="G18" s="5">
        <f>IF('Data Sheet'!G30&gt;0, 'Data Sheet'!G31/'Data Sheet'!G30, 0)</f>
        <v>0.36688212822500277</v>
      </c>
      <c r="H18" s="5">
        <f>IF('Data Sheet'!H30&gt;0, 'Data Sheet'!H31/'Data Sheet'!H30, 0)</f>
        <v>0.49578928719069271</v>
      </c>
      <c r="I18" s="5">
        <f>IF('Data Sheet'!I30&gt;0, 'Data Sheet'!I31/'Data Sheet'!I30, 0)</f>
        <v>0.52857602833454076</v>
      </c>
      <c r="J18" s="5">
        <f>IF('Data Sheet'!J30&gt;0, 'Data Sheet'!J31/'Data Sheet'!J30, 0)</f>
        <v>0.53969481299241429</v>
      </c>
      <c r="K18" s="5">
        <f>IF('Data Sheet'!K30&gt;0, 'Data Sheet'!K31/'Data Sheet'!K30, 0)</f>
        <v>0.52890355351987317</v>
      </c>
    </row>
    <row r="19" spans="1:14" x14ac:dyDescent="0.3">
      <c r="A19" t="s">
        <v>18</v>
      </c>
      <c r="B19" s="5">
        <f>IF(B6&gt;0,B6/B4,0)</f>
        <v>0.16935689738553963</v>
      </c>
      <c r="C19" s="5">
        <f t="shared" ref="C19:K19" si="2">IF(C6&gt;0,C6/C4,0)</f>
        <v>0.19516019980307608</v>
      </c>
      <c r="D19" s="5">
        <f t="shared" si="2"/>
        <v>0.19854102992149572</v>
      </c>
      <c r="E19" s="5">
        <f t="shared" si="2"/>
        <v>0.20946275827683786</v>
      </c>
      <c r="F19" s="5">
        <f t="shared" si="2"/>
        <v>0.20429383945254176</v>
      </c>
      <c r="G19" s="5">
        <f t="shared" si="2"/>
        <v>0.20638046021481596</v>
      </c>
      <c r="H19" s="5">
        <f t="shared" si="2"/>
        <v>0.20934357563809575</v>
      </c>
      <c r="I19" s="5">
        <f t="shared" si="2"/>
        <v>0.20682121248856611</v>
      </c>
      <c r="J19" s="5">
        <f t="shared" si="2"/>
        <v>0.18755512845309016</v>
      </c>
      <c r="K19" s="5">
        <f t="shared" si="2"/>
        <v>0.19346324293514769</v>
      </c>
      <c r="L19" s="5">
        <f>IF(L6&gt;0,L6/L4,0)</f>
        <v>0.1940582999607848</v>
      </c>
    </row>
    <row r="20" spans="1:14" x14ac:dyDescent="0.3">
      <c r="B20" s="5"/>
      <c r="C20" s="5"/>
      <c r="D20" s="5"/>
      <c r="E20" s="5"/>
      <c r="F20" s="5"/>
      <c r="G20" s="5"/>
      <c r="H20" s="5"/>
      <c r="I20" s="5"/>
      <c r="J20" s="5"/>
      <c r="K20" s="5"/>
      <c r="L20" s="5"/>
    </row>
    <row r="21" spans="1:14" x14ac:dyDescent="0.3">
      <c r="B21" s="5"/>
      <c r="C21" s="5"/>
      <c r="D21" s="5"/>
      <c r="E21" s="5"/>
      <c r="F21" s="5"/>
      <c r="G21" s="5"/>
      <c r="H21" s="5"/>
      <c r="I21" s="5"/>
      <c r="J21" s="5"/>
      <c r="K21" s="5"/>
      <c r="L21" s="5"/>
    </row>
    <row r="22" spans="1:14" s="2" customFormat="1" x14ac:dyDescent="0.3">
      <c r="A22" s="11"/>
      <c r="B22" s="12"/>
      <c r="C22" s="12"/>
      <c r="D22" s="12"/>
      <c r="E22" s="12"/>
      <c r="F22" s="12"/>
      <c r="G22" s="12" t="s">
        <v>19</v>
      </c>
      <c r="H22" s="12" t="s">
        <v>65</v>
      </c>
      <c r="I22" s="12" t="s">
        <v>66</v>
      </c>
      <c r="J22" s="12" t="s">
        <v>67</v>
      </c>
      <c r="K22" s="12" t="s">
        <v>68</v>
      </c>
      <c r="L22" s="13" t="s">
        <v>69</v>
      </c>
      <c r="M22" s="13" t="s">
        <v>20</v>
      </c>
      <c r="N22" s="13" t="s">
        <v>21</v>
      </c>
    </row>
    <row r="23" spans="1:14" s="2" customFormat="1" x14ac:dyDescent="0.3">
      <c r="A23"/>
      <c r="B23"/>
      <c r="C23"/>
      <c r="D23"/>
      <c r="E23"/>
      <c r="F23"/>
      <c r="G23" t="s">
        <v>22</v>
      </c>
      <c r="H23" s="5">
        <f>IF(B4=0,"",POWER($K4/B4,1/9)-1)</f>
        <v>5.2963186326840939E-2</v>
      </c>
      <c r="I23" s="5">
        <f>IF(D4=0,"",POWER($K4/D4,1/7)-1)</f>
        <v>7.2214813650357534E-2</v>
      </c>
      <c r="J23" s="5">
        <f>IF(F4=0,"",POWER($K4/F4,1/5)-1)</f>
        <v>7.8141077448843799E-2</v>
      </c>
      <c r="K23" s="5">
        <f>IF(H4=0,"",POWER($K4/H4, 1/3)-1)</f>
        <v>9.0627443690031395E-2</v>
      </c>
      <c r="L23" s="5">
        <f>IF(ISERROR(MAX(IF(J4=0,"",(K4-J4)/J4),IF(K4=0,"",(L4-K4)/K4))),"",MAX(IF(J4=0,"",(K4-J4)/J4),IF(K4=0,"",(L4-K4)/K4)))</f>
        <v>7.5813385903941918E-2</v>
      </c>
      <c r="M23" s="16">
        <f>MAX(K23:L23)</f>
        <v>9.0627443690031395E-2</v>
      </c>
      <c r="N23" s="16">
        <f>MIN(H23:L23)</f>
        <v>5.2963186326840939E-2</v>
      </c>
    </row>
    <row r="24" spans="1:14" x14ac:dyDescent="0.3">
      <c r="G24" t="s">
        <v>18</v>
      </c>
      <c r="H24" s="5">
        <f>IF(SUM(B4:$K$4)=0,"",SUMPRODUCT(B19:$K$19,B4:$K$4)/SUM(B4:$K$4))</f>
        <v>0.19801555660907222</v>
      </c>
      <c r="I24" s="5">
        <f>IF(SUM(E4:$K$4)=0,"",SUMPRODUCT(E19:$K$19,E4:$K$4)/SUM(E4:$K$4))</f>
        <v>0.20150186759503652</v>
      </c>
      <c r="J24" s="5">
        <f>IF(SUM(G4:$K$4)=0,"",SUMPRODUCT(G19:$K$19,G4:$K$4)/SUM(G4:$K$4))</f>
        <v>0.1998955319757138</v>
      </c>
      <c r="K24" s="5">
        <f>IF(SUM(I4:$K$4)=0, "", SUMPRODUCT(I19:$K$19,I4:$K$4)/SUM(I4:$K$4))</f>
        <v>0.19568394989687729</v>
      </c>
      <c r="L24" s="5">
        <f>L19</f>
        <v>0.1940582999607848</v>
      </c>
      <c r="M24" s="16">
        <f>MAX(K24:L24)</f>
        <v>0.19568394989687729</v>
      </c>
      <c r="N24" s="16">
        <f>MIN(H24:L24)</f>
        <v>0.1940582999607848</v>
      </c>
    </row>
    <row r="25" spans="1:14" x14ac:dyDescent="0.3">
      <c r="G25" t="s">
        <v>23</v>
      </c>
      <c r="H25" s="6">
        <f>IF(ISERROR(AVERAGEIF(B14:$L14,"&gt;0")),"",AVERAGEIF(B14:$L14,"&gt;0"))</f>
        <v>49.251930303003085</v>
      </c>
      <c r="I25" s="6">
        <f>IF(ISERROR(AVERAGEIF(E14:$L14,"&gt;0")),"",AVERAGEIF(E14:$L14,"&gt;0"))</f>
        <v>53.07663707926212</v>
      </c>
      <c r="J25" s="6">
        <f>IF(ISERROR(AVERAGEIF(G14:$L14,"&gt;0")),"",AVERAGEIF(G14:$L14,"&gt;0"))</f>
        <v>55.306596304109853</v>
      </c>
      <c r="K25" s="6">
        <f>IF(ISERROR(AVERAGEIF(I14:$L14,"&gt;0")),"",AVERAGEIF(I14:$L14,"&gt;0"))</f>
        <v>55.096469460056824</v>
      </c>
      <c r="L25" s="6">
        <f>L14</f>
        <v>59.019787963298064</v>
      </c>
      <c r="M25" s="1">
        <f>MAX(K25:L25)</f>
        <v>59.019787963298064</v>
      </c>
      <c r="N25" s="1">
        <f>MIN(H25:L25)</f>
        <v>49.251930303003085</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customWidth="1"/>
    <col min="2" max="11" width="13.44140625" bestFit="1" customWidth="1"/>
  </cols>
  <sheetData>
    <row r="1" spans="1:11" s="2" customFormat="1" x14ac:dyDescent="0.3">
      <c r="A1" s="2" t="str">
        <f>'Profit &amp; Loss'!A1</f>
        <v>DABUR INDIA LTD</v>
      </c>
      <c r="E1" t="str">
        <f>UPDATE</f>
        <v/>
      </c>
      <c r="J1" s="2" t="s">
        <v>1</v>
      </c>
    </row>
    <row r="3" spans="1:11" s="2" customFormat="1" x14ac:dyDescent="0.3">
      <c r="A3" s="11" t="s">
        <v>2</v>
      </c>
      <c r="B3" s="12">
        <f>'Data Sheet'!B41</f>
        <v>44651</v>
      </c>
      <c r="C3" s="12">
        <f>'Data Sheet'!C41</f>
        <v>44742</v>
      </c>
      <c r="D3" s="12">
        <f>'Data Sheet'!D41</f>
        <v>44834</v>
      </c>
      <c r="E3" s="12">
        <f>'Data Sheet'!E41</f>
        <v>44926</v>
      </c>
      <c r="F3" s="12">
        <f>'Data Sheet'!F41</f>
        <v>45016</v>
      </c>
      <c r="G3" s="12">
        <f>'Data Sheet'!G41</f>
        <v>45107</v>
      </c>
      <c r="H3" s="12">
        <f>'Data Sheet'!H41</f>
        <v>45199</v>
      </c>
      <c r="I3" s="12">
        <f>'Data Sheet'!I41</f>
        <v>45291</v>
      </c>
      <c r="J3" s="12">
        <f>'Data Sheet'!J41</f>
        <v>45382</v>
      </c>
      <c r="K3" s="12">
        <f>'Data Sheet'!K41</f>
        <v>45473</v>
      </c>
    </row>
    <row r="4" spans="1:11" s="2" customFormat="1" x14ac:dyDescent="0.3">
      <c r="A4" s="2" t="s">
        <v>6</v>
      </c>
      <c r="B4" s="1">
        <f>'Data Sheet'!B42</f>
        <v>2517.81</v>
      </c>
      <c r="C4" s="1">
        <f>'Data Sheet'!C42</f>
        <v>2822.43</v>
      </c>
      <c r="D4" s="1">
        <f>'Data Sheet'!D42</f>
        <v>2986.49</v>
      </c>
      <c r="E4" s="1">
        <f>'Data Sheet'!E42</f>
        <v>3043.17</v>
      </c>
      <c r="F4" s="1">
        <f>'Data Sheet'!F42</f>
        <v>2677.8</v>
      </c>
      <c r="G4" s="1">
        <f>'Data Sheet'!G42</f>
        <v>3130.47</v>
      </c>
      <c r="H4" s="1">
        <f>'Data Sheet'!H42</f>
        <v>3203.84</v>
      </c>
      <c r="I4" s="1">
        <f>'Data Sheet'!I42</f>
        <v>3255.06</v>
      </c>
      <c r="J4" s="1">
        <f>'Data Sheet'!J42</f>
        <v>2814.64</v>
      </c>
      <c r="K4" s="1">
        <f>'Data Sheet'!K42</f>
        <v>3349.11</v>
      </c>
    </row>
    <row r="5" spans="1:11" x14ac:dyDescent="0.3">
      <c r="A5" t="s">
        <v>7</v>
      </c>
      <c r="B5" s="6">
        <f>'Data Sheet'!B43</f>
        <v>2065.44</v>
      </c>
      <c r="C5" s="6">
        <f>'Data Sheet'!C43</f>
        <v>2279.11</v>
      </c>
      <c r="D5" s="6">
        <f>'Data Sheet'!D43</f>
        <v>2386.09</v>
      </c>
      <c r="E5" s="6">
        <f>'Data Sheet'!E43</f>
        <v>2434.0500000000002</v>
      </c>
      <c r="F5" s="6">
        <f>'Data Sheet'!F43</f>
        <v>2268.15</v>
      </c>
      <c r="G5" s="6">
        <f>'Data Sheet'!G43</f>
        <v>2525.94</v>
      </c>
      <c r="H5" s="6">
        <f>'Data Sheet'!H43</f>
        <v>2542.9699999999998</v>
      </c>
      <c r="I5" s="6">
        <f>'Data Sheet'!I43</f>
        <v>2587.64</v>
      </c>
      <c r="J5" s="6">
        <f>'Data Sheet'!J43</f>
        <v>2348.23</v>
      </c>
      <c r="K5" s="6">
        <f>'Data Sheet'!K43</f>
        <v>2694.28</v>
      </c>
    </row>
    <row r="6" spans="1:11" s="2" customFormat="1" x14ac:dyDescent="0.3">
      <c r="A6" s="2" t="s">
        <v>8</v>
      </c>
      <c r="B6" s="1">
        <f>'Data Sheet'!B50</f>
        <v>452.37</v>
      </c>
      <c r="C6" s="1">
        <f>'Data Sheet'!C50</f>
        <v>543.32000000000005</v>
      </c>
      <c r="D6" s="1">
        <f>'Data Sheet'!D50</f>
        <v>600.4</v>
      </c>
      <c r="E6" s="1">
        <f>'Data Sheet'!E50</f>
        <v>609.12</v>
      </c>
      <c r="F6" s="1">
        <f>'Data Sheet'!F50</f>
        <v>409.65</v>
      </c>
      <c r="G6" s="1">
        <f>'Data Sheet'!G50</f>
        <v>604.53</v>
      </c>
      <c r="H6" s="1">
        <f>'Data Sheet'!H50</f>
        <v>660.87</v>
      </c>
      <c r="I6" s="1">
        <f>'Data Sheet'!I50</f>
        <v>667.42</v>
      </c>
      <c r="J6" s="1">
        <f>'Data Sheet'!J50</f>
        <v>466.41</v>
      </c>
      <c r="K6" s="1">
        <f>'Data Sheet'!K50</f>
        <v>654.83000000000004</v>
      </c>
    </row>
    <row r="7" spans="1:11" x14ac:dyDescent="0.3">
      <c r="A7" t="s">
        <v>9</v>
      </c>
      <c r="B7" s="6">
        <f>'Data Sheet'!B44</f>
        <v>14.14</v>
      </c>
      <c r="C7" s="6">
        <f>'Data Sheet'!C44</f>
        <v>100.55</v>
      </c>
      <c r="D7" s="6">
        <f>'Data Sheet'!D44</f>
        <v>123.28</v>
      </c>
      <c r="E7" s="6">
        <f>'Data Sheet'!E44</f>
        <v>100.84</v>
      </c>
      <c r="F7" s="6">
        <f>'Data Sheet'!F44</f>
        <v>120.72</v>
      </c>
      <c r="G7" s="6">
        <f>'Data Sheet'!G44</f>
        <v>109.78</v>
      </c>
      <c r="H7" s="6">
        <f>'Data Sheet'!H44</f>
        <v>116.9</v>
      </c>
      <c r="I7" s="6">
        <f>'Data Sheet'!I44</f>
        <v>127.37</v>
      </c>
      <c r="J7" s="6">
        <f>'Data Sheet'!J44</f>
        <v>128.85</v>
      </c>
      <c r="K7" s="6">
        <f>'Data Sheet'!K44</f>
        <v>129.4</v>
      </c>
    </row>
    <row r="8" spans="1:11" x14ac:dyDescent="0.3">
      <c r="A8" t="s">
        <v>10</v>
      </c>
      <c r="B8" s="6">
        <f>'Data Sheet'!B45</f>
        <v>65.05</v>
      </c>
      <c r="C8" s="6">
        <f>'Data Sheet'!C45</f>
        <v>67.599999999999994</v>
      </c>
      <c r="D8" s="6">
        <f>'Data Sheet'!D45</f>
        <v>70.47</v>
      </c>
      <c r="E8" s="6">
        <f>'Data Sheet'!E45</f>
        <v>70.89</v>
      </c>
      <c r="F8" s="6">
        <f>'Data Sheet'!F45</f>
        <v>102</v>
      </c>
      <c r="G8" s="6">
        <f>'Data Sheet'!G45</f>
        <v>96.64</v>
      </c>
      <c r="H8" s="6">
        <f>'Data Sheet'!H45</f>
        <v>98.32</v>
      </c>
      <c r="I8" s="6">
        <f>'Data Sheet'!I45</f>
        <v>96.89</v>
      </c>
      <c r="J8" s="6">
        <f>'Data Sheet'!J45</f>
        <v>107.36</v>
      </c>
      <c r="K8" s="6">
        <f>'Data Sheet'!K45</f>
        <v>109.12</v>
      </c>
    </row>
    <row r="9" spans="1:11" x14ac:dyDescent="0.3">
      <c r="A9" t="s">
        <v>11</v>
      </c>
      <c r="B9" s="6">
        <f>'Data Sheet'!B46</f>
        <v>11.75</v>
      </c>
      <c r="C9" s="6">
        <f>'Data Sheet'!C46</f>
        <v>12.15</v>
      </c>
      <c r="D9" s="6">
        <f>'Data Sheet'!D46</f>
        <v>15.06</v>
      </c>
      <c r="E9" s="6">
        <f>'Data Sheet'!E46</f>
        <v>18.91</v>
      </c>
      <c r="F9" s="6">
        <f>'Data Sheet'!F46</f>
        <v>32.119999999999997</v>
      </c>
      <c r="G9" s="6">
        <f>'Data Sheet'!G46</f>
        <v>24.31</v>
      </c>
      <c r="H9" s="6">
        <f>'Data Sheet'!H46</f>
        <v>28.14</v>
      </c>
      <c r="I9" s="6">
        <f>'Data Sheet'!I46</f>
        <v>36.49</v>
      </c>
      <c r="J9" s="6">
        <f>'Data Sheet'!J46</f>
        <v>35.24</v>
      </c>
      <c r="K9" s="6">
        <f>'Data Sheet'!K46</f>
        <v>32.659999999999997</v>
      </c>
    </row>
    <row r="10" spans="1:11" x14ac:dyDescent="0.3">
      <c r="A10" t="s">
        <v>12</v>
      </c>
      <c r="B10" s="6">
        <f>'Data Sheet'!B47</f>
        <v>389.71</v>
      </c>
      <c r="C10" s="6">
        <f>'Data Sheet'!C47</f>
        <v>564.12</v>
      </c>
      <c r="D10" s="6">
        <f>'Data Sheet'!D47</f>
        <v>638.15</v>
      </c>
      <c r="E10" s="6">
        <f>'Data Sheet'!E47</f>
        <v>620.16</v>
      </c>
      <c r="F10" s="6">
        <f>'Data Sheet'!F47</f>
        <v>396.25</v>
      </c>
      <c r="G10" s="6">
        <f>'Data Sheet'!G47</f>
        <v>593.36</v>
      </c>
      <c r="H10" s="6">
        <f>'Data Sheet'!H47</f>
        <v>651.30999999999995</v>
      </c>
      <c r="I10" s="6">
        <f>'Data Sheet'!I47</f>
        <v>661.41</v>
      </c>
      <c r="J10" s="6">
        <f>'Data Sheet'!J47</f>
        <v>452.66</v>
      </c>
      <c r="K10" s="6">
        <f>'Data Sheet'!K47</f>
        <v>642.45000000000005</v>
      </c>
    </row>
    <row r="11" spans="1:11" x14ac:dyDescent="0.3">
      <c r="A11" t="s">
        <v>13</v>
      </c>
      <c r="B11" s="6">
        <f>'Data Sheet'!B48</f>
        <v>95.37</v>
      </c>
      <c r="C11" s="6">
        <f>'Data Sheet'!C48</f>
        <v>123.06</v>
      </c>
      <c r="D11" s="6">
        <f>'Data Sheet'!D48</f>
        <v>147.29</v>
      </c>
      <c r="E11" s="6">
        <f>'Data Sheet'!E48</f>
        <v>143.51</v>
      </c>
      <c r="F11" s="6">
        <f>'Data Sheet'!F48</f>
        <v>103.49</v>
      </c>
      <c r="G11" s="6">
        <f>'Data Sheet'!G48</f>
        <v>136.75</v>
      </c>
      <c r="H11" s="6">
        <f>'Data Sheet'!H48</f>
        <v>144.27000000000001</v>
      </c>
      <c r="I11" s="6">
        <f>'Data Sheet'!I48</f>
        <v>154.97</v>
      </c>
      <c r="J11" s="6">
        <f>'Data Sheet'!J48</f>
        <v>111.44</v>
      </c>
      <c r="K11" s="6">
        <f>'Data Sheet'!K48</f>
        <v>148.1</v>
      </c>
    </row>
    <row r="12" spans="1:11" s="2" customFormat="1" x14ac:dyDescent="0.3">
      <c r="A12" s="2" t="s">
        <v>14</v>
      </c>
      <c r="B12" s="1">
        <f>'Data Sheet'!B49</f>
        <v>294.22000000000003</v>
      </c>
      <c r="C12" s="1">
        <f>'Data Sheet'!C49</f>
        <v>440.32</v>
      </c>
      <c r="D12" s="1">
        <f>'Data Sheet'!D49</f>
        <v>490.06</v>
      </c>
      <c r="E12" s="1">
        <f>'Data Sheet'!E49</f>
        <v>475.94</v>
      </c>
      <c r="F12" s="1">
        <f>'Data Sheet'!F49</f>
        <v>300.83</v>
      </c>
      <c r="G12" s="1">
        <f>'Data Sheet'!G49</f>
        <v>463.88</v>
      </c>
      <c r="H12" s="1">
        <f>'Data Sheet'!H49</f>
        <v>515.04999999999995</v>
      </c>
      <c r="I12" s="1">
        <f>'Data Sheet'!I49</f>
        <v>514.22</v>
      </c>
      <c r="J12" s="1">
        <f>'Data Sheet'!J49</f>
        <v>349.53</v>
      </c>
      <c r="K12" s="1">
        <f>'Data Sheet'!K49</f>
        <v>500.12</v>
      </c>
    </row>
    <row r="14" spans="1:11" s="2" customFormat="1" x14ac:dyDescent="0.3">
      <c r="A14" s="2" t="s">
        <v>18</v>
      </c>
      <c r="B14" s="10">
        <f>IF(B4&gt;0,B6/B4,"")</f>
        <v>0.1796680448484993</v>
      </c>
      <c r="C14" s="10">
        <f t="shared" ref="C14:K14" si="0">IF(C4&gt;0,C6/C4,"")</f>
        <v>0.1925007883277885</v>
      </c>
      <c r="D14" s="10">
        <f t="shared" si="0"/>
        <v>0.20103867751105814</v>
      </c>
      <c r="E14" s="10">
        <f t="shared" si="0"/>
        <v>0.2001597018898057</v>
      </c>
      <c r="F14" s="10">
        <f t="shared" si="0"/>
        <v>0.15298005825677793</v>
      </c>
      <c r="G14" s="10">
        <f t="shared" si="0"/>
        <v>0.19311157749475319</v>
      </c>
      <c r="H14" s="10">
        <f t="shared" si="0"/>
        <v>0.20627434578505793</v>
      </c>
      <c r="I14" s="10">
        <f t="shared" si="0"/>
        <v>0.20504076729768422</v>
      </c>
      <c r="J14" s="10">
        <f t="shared" si="0"/>
        <v>0.16570858084870535</v>
      </c>
      <c r="K14" s="10">
        <f t="shared" si="0"/>
        <v>0.19552358686337565</v>
      </c>
    </row>
    <row r="22" s="23"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bestFit="1" customWidth="1"/>
    <col min="2" max="2" width="13.44140625" customWidth="1"/>
    <col min="3" max="11" width="15.44140625" customWidth="1"/>
  </cols>
  <sheetData>
    <row r="1" spans="1:11" s="2" customFormat="1" x14ac:dyDescent="0.3">
      <c r="A1" s="2" t="str">
        <f>'Profit &amp; Loss'!A1</f>
        <v>DABUR INDIA LTD</v>
      </c>
      <c r="E1" t="str">
        <f>UPDATE</f>
        <v/>
      </c>
      <c r="G1"/>
      <c r="J1" s="2" t="s">
        <v>1</v>
      </c>
    </row>
    <row r="2" spans="1:11" x14ac:dyDescent="0.3">
      <c r="G2" s="2"/>
      <c r="H2" s="2"/>
    </row>
    <row r="3" spans="1:11" x14ac:dyDescent="0.3">
      <c r="A3" s="11" t="s">
        <v>2</v>
      </c>
      <c r="B3" s="12">
        <f>'Data Sheet'!B56</f>
        <v>42094</v>
      </c>
      <c r="C3" s="12">
        <f>'Data Sheet'!C56</f>
        <v>42460</v>
      </c>
      <c r="D3" s="12">
        <f>'Data Sheet'!D56</f>
        <v>42825</v>
      </c>
      <c r="E3" s="12">
        <f>'Data Sheet'!E56</f>
        <v>43190</v>
      </c>
      <c r="F3" s="12">
        <f>'Data Sheet'!F56</f>
        <v>43555</v>
      </c>
      <c r="G3" s="12">
        <f>'Data Sheet'!G56</f>
        <v>43921</v>
      </c>
      <c r="H3" s="12">
        <f>'Data Sheet'!H56</f>
        <v>44286</v>
      </c>
      <c r="I3" s="12">
        <f>'Data Sheet'!I56</f>
        <v>44651</v>
      </c>
      <c r="J3" s="12">
        <f>'Data Sheet'!J56</f>
        <v>45016</v>
      </c>
      <c r="K3" s="12">
        <f>'Data Sheet'!K56</f>
        <v>45382</v>
      </c>
    </row>
    <row r="4" spans="1:11" x14ac:dyDescent="0.3">
      <c r="A4" t="s">
        <v>24</v>
      </c>
      <c r="B4" s="14">
        <f>'Data Sheet'!B57</f>
        <v>175.65</v>
      </c>
      <c r="C4" s="14">
        <f>'Data Sheet'!C57</f>
        <v>175.91</v>
      </c>
      <c r="D4" s="14">
        <f>'Data Sheet'!D57</f>
        <v>176.15</v>
      </c>
      <c r="E4" s="14">
        <f>'Data Sheet'!E57</f>
        <v>176.15</v>
      </c>
      <c r="F4" s="14">
        <f>'Data Sheet'!F57</f>
        <v>176.63</v>
      </c>
      <c r="G4" s="14">
        <f>'Data Sheet'!G57</f>
        <v>176.71</v>
      </c>
      <c r="H4" s="14">
        <f>'Data Sheet'!H57</f>
        <v>176.74</v>
      </c>
      <c r="I4" s="14">
        <f>'Data Sheet'!I57</f>
        <v>176.79</v>
      </c>
      <c r="J4" s="14">
        <f>'Data Sheet'!J57</f>
        <v>177.18</v>
      </c>
      <c r="K4" s="14">
        <f>'Data Sheet'!K57</f>
        <v>177.2</v>
      </c>
    </row>
    <row r="5" spans="1:11" x14ac:dyDescent="0.3">
      <c r="A5" t="s">
        <v>25</v>
      </c>
      <c r="B5" s="14">
        <f>'Data Sheet'!B58</f>
        <v>3178.49</v>
      </c>
      <c r="C5" s="14">
        <f>'Data Sheet'!C58</f>
        <v>3994.7</v>
      </c>
      <c r="D5" s="14">
        <f>'Data Sheet'!D58</f>
        <v>4671.24</v>
      </c>
      <c r="E5" s="14">
        <f>'Data Sheet'!E58</f>
        <v>5530.37</v>
      </c>
      <c r="F5" s="14">
        <f>'Data Sheet'!F58</f>
        <v>5455.05</v>
      </c>
      <c r="G5" s="14">
        <f>'Data Sheet'!G58</f>
        <v>6429.04</v>
      </c>
      <c r="H5" s="14">
        <f>'Data Sheet'!H58</f>
        <v>7486.79</v>
      </c>
      <c r="I5" s="14">
        <f>'Data Sheet'!I58</f>
        <v>8204.51</v>
      </c>
      <c r="J5" s="14">
        <f>'Data Sheet'!J58</f>
        <v>8796.08</v>
      </c>
      <c r="K5" s="14">
        <f>'Data Sheet'!K58</f>
        <v>9689.1</v>
      </c>
    </row>
    <row r="6" spans="1:11" x14ac:dyDescent="0.3">
      <c r="A6" t="s">
        <v>71</v>
      </c>
      <c r="B6" s="14">
        <f>'Data Sheet'!B59</f>
        <v>733.56</v>
      </c>
      <c r="C6" s="14">
        <f>'Data Sheet'!C59</f>
        <v>805.22</v>
      </c>
      <c r="D6" s="14">
        <f>'Data Sheet'!D59</f>
        <v>975</v>
      </c>
      <c r="E6" s="14">
        <f>'Data Sheet'!E59</f>
        <v>937.59</v>
      </c>
      <c r="F6" s="14">
        <f>'Data Sheet'!F59</f>
        <v>699.37</v>
      </c>
      <c r="G6" s="14">
        <f>'Data Sheet'!G59</f>
        <v>521.99</v>
      </c>
      <c r="H6" s="14">
        <f>'Data Sheet'!H59</f>
        <v>509.06</v>
      </c>
      <c r="I6" s="14">
        <f>'Data Sheet'!I59</f>
        <v>1030.0999999999999</v>
      </c>
      <c r="J6" s="14">
        <f>'Data Sheet'!J59</f>
        <v>1173.79</v>
      </c>
      <c r="K6" s="14">
        <f>'Data Sheet'!K59</f>
        <v>1365.09</v>
      </c>
    </row>
    <row r="7" spans="1:11" x14ac:dyDescent="0.3">
      <c r="A7" t="s">
        <v>72</v>
      </c>
      <c r="B7" s="14">
        <f>'Data Sheet'!B60</f>
        <v>2018.58</v>
      </c>
      <c r="C7" s="14">
        <f>'Data Sheet'!C60</f>
        <v>1956.47</v>
      </c>
      <c r="D7" s="14">
        <f>'Data Sheet'!D60</f>
        <v>1909.85</v>
      </c>
      <c r="E7" s="14">
        <f>'Data Sheet'!E60</f>
        <v>2057.52</v>
      </c>
      <c r="F7" s="14">
        <f>'Data Sheet'!F60</f>
        <v>2105.59</v>
      </c>
      <c r="G7" s="14">
        <f>'Data Sheet'!G60</f>
        <v>2208.84</v>
      </c>
      <c r="H7" s="14">
        <f>'Data Sheet'!H60</f>
        <v>2660.63</v>
      </c>
      <c r="I7" s="14">
        <f>'Data Sheet'!I60</f>
        <v>2872.46</v>
      </c>
      <c r="J7" s="14">
        <f>'Data Sheet'!J60</f>
        <v>3505.23</v>
      </c>
      <c r="K7" s="14">
        <f>'Data Sheet'!K60</f>
        <v>3884.97</v>
      </c>
    </row>
    <row r="8" spans="1:11" s="2" customFormat="1" x14ac:dyDescent="0.3">
      <c r="A8" s="2" t="s">
        <v>26</v>
      </c>
      <c r="B8" s="15">
        <f>'Data Sheet'!B61</f>
        <v>6106.28</v>
      </c>
      <c r="C8" s="15">
        <f>'Data Sheet'!C61</f>
        <v>6932.3</v>
      </c>
      <c r="D8" s="15">
        <f>'Data Sheet'!D61</f>
        <v>7732.24</v>
      </c>
      <c r="E8" s="15">
        <f>'Data Sheet'!E61</f>
        <v>8701.6299999999992</v>
      </c>
      <c r="F8" s="15">
        <f>'Data Sheet'!F61</f>
        <v>8436.64</v>
      </c>
      <c r="G8" s="15">
        <f>'Data Sheet'!G61</f>
        <v>9336.58</v>
      </c>
      <c r="H8" s="15">
        <f>'Data Sheet'!H61</f>
        <v>10833.22</v>
      </c>
      <c r="I8" s="15">
        <f>'Data Sheet'!I61</f>
        <v>12283.86</v>
      </c>
      <c r="J8" s="15">
        <f>'Data Sheet'!J61</f>
        <v>13652.28</v>
      </c>
      <c r="K8" s="15">
        <f>'Data Sheet'!K61</f>
        <v>15116.36</v>
      </c>
    </row>
    <row r="9" spans="1:11" s="2" customFormat="1" x14ac:dyDescent="0.3">
      <c r="B9" s="15"/>
      <c r="C9" s="15"/>
      <c r="D9" s="15"/>
      <c r="E9" s="15"/>
      <c r="F9" s="15"/>
      <c r="G9" s="15"/>
      <c r="H9" s="15"/>
      <c r="I9" s="15"/>
      <c r="J9" s="15"/>
      <c r="K9" s="15"/>
    </row>
    <row r="10" spans="1:11" x14ac:dyDescent="0.3">
      <c r="A10" t="s">
        <v>27</v>
      </c>
      <c r="B10" s="14">
        <f>'Data Sheet'!B62</f>
        <v>1877.13</v>
      </c>
      <c r="C10" s="14">
        <f>'Data Sheet'!C62</f>
        <v>1667.4</v>
      </c>
      <c r="D10" s="14">
        <f>'Data Sheet'!D62</f>
        <v>1958.4</v>
      </c>
      <c r="E10" s="14">
        <f>'Data Sheet'!E62</f>
        <v>2028.11</v>
      </c>
      <c r="F10" s="14">
        <f>'Data Sheet'!F62</f>
        <v>1969.06</v>
      </c>
      <c r="G10" s="14">
        <f>'Data Sheet'!G62</f>
        <v>2252.6799999999998</v>
      </c>
      <c r="H10" s="14">
        <f>'Data Sheet'!H62</f>
        <v>2242.92</v>
      </c>
      <c r="I10" s="14">
        <f>'Data Sheet'!I62</f>
        <v>2307.9</v>
      </c>
      <c r="J10" s="14">
        <f>'Data Sheet'!J62</f>
        <v>3578.65</v>
      </c>
      <c r="K10" s="14">
        <f>'Data Sheet'!K62</f>
        <v>3815</v>
      </c>
    </row>
    <row r="11" spans="1:11" x14ac:dyDescent="0.3">
      <c r="A11" t="s">
        <v>28</v>
      </c>
      <c r="B11" s="14">
        <f>'Data Sheet'!B63</f>
        <v>50.3</v>
      </c>
      <c r="C11" s="14">
        <f>'Data Sheet'!C63</f>
        <v>44.8</v>
      </c>
      <c r="D11" s="14">
        <f>'Data Sheet'!D63</f>
        <v>42.1</v>
      </c>
      <c r="E11" s="14">
        <f>'Data Sheet'!E63</f>
        <v>41.51</v>
      </c>
      <c r="F11" s="14">
        <f>'Data Sheet'!F63</f>
        <v>63.76</v>
      </c>
      <c r="G11" s="14">
        <f>'Data Sheet'!G63</f>
        <v>146.57</v>
      </c>
      <c r="H11" s="14">
        <f>'Data Sheet'!H63</f>
        <v>147.30000000000001</v>
      </c>
      <c r="I11" s="14">
        <f>'Data Sheet'!I63</f>
        <v>167.5</v>
      </c>
      <c r="J11" s="14">
        <f>'Data Sheet'!J63</f>
        <v>175.13</v>
      </c>
      <c r="K11" s="14">
        <f>'Data Sheet'!K63</f>
        <v>232.23</v>
      </c>
    </row>
    <row r="12" spans="1:11" x14ac:dyDescent="0.3">
      <c r="A12" t="s">
        <v>29</v>
      </c>
      <c r="B12" s="14">
        <f>'Data Sheet'!B64</f>
        <v>1813.37</v>
      </c>
      <c r="C12" s="14">
        <f>'Data Sheet'!C64</f>
        <v>2690.74</v>
      </c>
      <c r="D12" s="14">
        <f>'Data Sheet'!D64</f>
        <v>3240.16</v>
      </c>
      <c r="E12" s="14">
        <f>'Data Sheet'!E64</f>
        <v>3805.17</v>
      </c>
      <c r="F12" s="14">
        <f>'Data Sheet'!F64</f>
        <v>3358.76</v>
      </c>
      <c r="G12" s="14">
        <f>'Data Sheet'!G64</f>
        <v>2800.26</v>
      </c>
      <c r="H12" s="14">
        <f>'Data Sheet'!H64</f>
        <v>4159.63</v>
      </c>
      <c r="I12" s="14">
        <f>'Data Sheet'!I64</f>
        <v>6219.62</v>
      </c>
      <c r="J12" s="14">
        <f>'Data Sheet'!J64</f>
        <v>6265.26</v>
      </c>
      <c r="K12" s="14">
        <f>'Data Sheet'!K64</f>
        <v>6932.69</v>
      </c>
    </row>
    <row r="13" spans="1:11" x14ac:dyDescent="0.3">
      <c r="A13" t="s">
        <v>73</v>
      </c>
      <c r="B13" s="14">
        <f>'Data Sheet'!B65</f>
        <v>2365.48</v>
      </c>
      <c r="C13" s="14">
        <f>'Data Sheet'!C65</f>
        <v>2529.36</v>
      </c>
      <c r="D13" s="14">
        <f>'Data Sheet'!D65</f>
        <v>2491.58</v>
      </c>
      <c r="E13" s="14">
        <f>'Data Sheet'!E65</f>
        <v>2826.84</v>
      </c>
      <c r="F13" s="14">
        <f>'Data Sheet'!F65</f>
        <v>3045.06</v>
      </c>
      <c r="G13" s="14">
        <f>'Data Sheet'!G65</f>
        <v>4137.07</v>
      </c>
      <c r="H13" s="14">
        <f>'Data Sheet'!H65</f>
        <v>4283.37</v>
      </c>
      <c r="I13" s="14">
        <f>'Data Sheet'!I65</f>
        <v>3588.84</v>
      </c>
      <c r="J13" s="14">
        <f>'Data Sheet'!J65</f>
        <v>3633.24</v>
      </c>
      <c r="K13" s="14">
        <f>'Data Sheet'!K65</f>
        <v>4136.4399999999996</v>
      </c>
    </row>
    <row r="14" spans="1:11" s="2" customFormat="1" x14ac:dyDescent="0.3">
      <c r="A14" s="2" t="s">
        <v>26</v>
      </c>
      <c r="B14" s="14">
        <f>'Data Sheet'!B66</f>
        <v>6106.28</v>
      </c>
      <c r="C14" s="14">
        <f>'Data Sheet'!C66</f>
        <v>6932.3</v>
      </c>
      <c r="D14" s="14">
        <f>'Data Sheet'!D66</f>
        <v>7732.24</v>
      </c>
      <c r="E14" s="14">
        <f>'Data Sheet'!E66</f>
        <v>8701.6299999999992</v>
      </c>
      <c r="F14" s="14">
        <f>'Data Sheet'!F66</f>
        <v>8436.64</v>
      </c>
      <c r="G14" s="14">
        <f>'Data Sheet'!G66</f>
        <v>9336.58</v>
      </c>
      <c r="H14" s="14">
        <f>'Data Sheet'!H66</f>
        <v>10833.22</v>
      </c>
      <c r="I14" s="14">
        <f>'Data Sheet'!I66</f>
        <v>12283.86</v>
      </c>
      <c r="J14" s="14">
        <f>'Data Sheet'!J66</f>
        <v>13652.28</v>
      </c>
      <c r="K14" s="14">
        <f>'Data Sheet'!K66</f>
        <v>15116.36</v>
      </c>
    </row>
    <row r="15" spans="1:11" x14ac:dyDescent="0.3">
      <c r="B15" s="4"/>
      <c r="C15" s="4"/>
      <c r="D15" s="4"/>
      <c r="E15" s="4"/>
      <c r="F15" s="4"/>
      <c r="G15" s="4"/>
      <c r="H15" s="4"/>
      <c r="I15" s="4"/>
      <c r="J15" s="4"/>
      <c r="K15" s="4"/>
    </row>
    <row r="16" spans="1:11" x14ac:dyDescent="0.3">
      <c r="A16" t="s">
        <v>30</v>
      </c>
      <c r="B16" s="4">
        <f>B13-B7</f>
        <v>346.90000000000009</v>
      </c>
      <c r="C16" s="4">
        <f t="shared" ref="C16:K16" si="0">C13-C7</f>
        <v>572.8900000000001</v>
      </c>
      <c r="D16" s="4">
        <f t="shared" si="0"/>
        <v>581.73</v>
      </c>
      <c r="E16" s="4">
        <f t="shared" si="0"/>
        <v>769.32000000000016</v>
      </c>
      <c r="F16" s="4">
        <f t="shared" si="0"/>
        <v>939.4699999999998</v>
      </c>
      <c r="G16" s="4">
        <f t="shared" si="0"/>
        <v>1928.2299999999996</v>
      </c>
      <c r="H16" s="4">
        <f t="shared" si="0"/>
        <v>1622.7399999999998</v>
      </c>
      <c r="I16" s="4">
        <f t="shared" si="0"/>
        <v>716.38000000000011</v>
      </c>
      <c r="J16" s="4">
        <f t="shared" si="0"/>
        <v>128.00999999999976</v>
      </c>
      <c r="K16" s="4">
        <f t="shared" si="0"/>
        <v>251.4699999999998</v>
      </c>
    </row>
    <row r="17" spans="1:11" x14ac:dyDescent="0.3">
      <c r="A17" t="s">
        <v>44</v>
      </c>
      <c r="B17" s="4">
        <f>'Data Sheet'!B67</f>
        <v>710.84</v>
      </c>
      <c r="C17" s="4">
        <f>'Data Sheet'!C67</f>
        <v>809.2</v>
      </c>
      <c r="D17" s="4">
        <f>'Data Sheet'!D67</f>
        <v>650.41999999999996</v>
      </c>
      <c r="E17" s="4">
        <f>'Data Sheet'!E67</f>
        <v>706.08</v>
      </c>
      <c r="F17" s="4">
        <f>'Data Sheet'!F67</f>
        <v>833.56</v>
      </c>
      <c r="G17" s="4">
        <f>'Data Sheet'!G67</f>
        <v>813.89</v>
      </c>
      <c r="H17" s="4">
        <f>'Data Sheet'!H67</f>
        <v>561.58000000000004</v>
      </c>
      <c r="I17" s="4">
        <f>'Data Sheet'!I67</f>
        <v>646.15</v>
      </c>
      <c r="J17" s="4">
        <f>'Data Sheet'!J67</f>
        <v>848.75</v>
      </c>
      <c r="K17" s="4">
        <f>'Data Sheet'!K67</f>
        <v>898.72</v>
      </c>
    </row>
    <row r="18" spans="1:11" x14ac:dyDescent="0.3">
      <c r="A18" t="s">
        <v>45</v>
      </c>
      <c r="B18" s="4">
        <f>'Data Sheet'!B68</f>
        <v>973.27</v>
      </c>
      <c r="C18" s="4">
        <f>'Data Sheet'!C68</f>
        <v>1096.5</v>
      </c>
      <c r="D18" s="4">
        <f>'Data Sheet'!D68</f>
        <v>1106.71</v>
      </c>
      <c r="E18" s="4">
        <f>'Data Sheet'!E68</f>
        <v>1256.18</v>
      </c>
      <c r="F18" s="4">
        <f>'Data Sheet'!F68</f>
        <v>1300.53</v>
      </c>
      <c r="G18" s="4">
        <f>'Data Sheet'!G68</f>
        <v>1379.57</v>
      </c>
      <c r="H18" s="4">
        <f>'Data Sheet'!H68</f>
        <v>1734.28</v>
      </c>
      <c r="I18" s="4">
        <f>'Data Sheet'!I68</f>
        <v>1911.37</v>
      </c>
      <c r="J18" s="4">
        <f>'Data Sheet'!J68</f>
        <v>2024.2</v>
      </c>
      <c r="K18" s="4">
        <f>'Data Sheet'!K68</f>
        <v>1946.97</v>
      </c>
    </row>
    <row r="20" spans="1:11" x14ac:dyDescent="0.3">
      <c r="A20" t="s">
        <v>46</v>
      </c>
      <c r="B20" s="4">
        <f>IF('Profit &amp; Loss'!B4&gt;0,'Balance Sheet'!B17/('Profit &amp; Loss'!B4/365),0)</f>
        <v>33.282911016498005</v>
      </c>
      <c r="C20" s="4">
        <f>IF('Profit &amp; Loss'!C4&gt;0,'Balance Sheet'!C17/('Profit &amp; Loss'!C4/365),0)</f>
        <v>37.965412370206408</v>
      </c>
      <c r="D20" s="4">
        <f>IF('Profit &amp; Loss'!D4&gt;0,'Balance Sheet'!D17/('Profit &amp; Loss'!D4/365),0)</f>
        <v>31.181518836711721</v>
      </c>
      <c r="E20" s="4">
        <f>IF('Profit &amp; Loss'!E4&gt;0,'Balance Sheet'!E17/('Profit &amp; Loss'!E4/365),0)</f>
        <v>33.375318090872007</v>
      </c>
      <c r="F20" s="4">
        <f>IF('Profit &amp; Loss'!F4&gt;0,'Balance Sheet'!F17/('Profit &amp; Loss'!F4/365),0)</f>
        <v>35.731034328871786</v>
      </c>
      <c r="G20" s="4">
        <f>IF('Profit &amp; Loss'!G4&gt;0,'Balance Sheet'!G17/('Profit &amp; Loss'!G4/365),0)</f>
        <v>34.206351673759649</v>
      </c>
      <c r="H20" s="4">
        <f>IF('Profit &amp; Loss'!H4&gt;0,'Balance Sheet'!H17/('Profit &amp; Loss'!H4/365),0)</f>
        <v>21.437377440086181</v>
      </c>
      <c r="I20" s="4">
        <f>IF('Profit &amp; Loss'!I4&gt;0,'Balance Sheet'!I17/('Profit &amp; Loss'!I4/365),0)</f>
        <v>21.659627245910432</v>
      </c>
      <c r="J20" s="4">
        <f>IF('Profit &amp; Loss'!J4&gt;0,'Balance Sheet'!J17/('Profit &amp; Loss'!J4/365),0)</f>
        <v>26.868751566580428</v>
      </c>
      <c r="K20" s="4">
        <f>IF('Profit &amp; Loss'!K4&gt;0,'Balance Sheet'!K17/('Profit &amp; Loss'!K4/365),0)</f>
        <v>26.445705864474473</v>
      </c>
    </row>
    <row r="21" spans="1:11" x14ac:dyDescent="0.3">
      <c r="A21" t="s">
        <v>47</v>
      </c>
      <c r="B21" s="4">
        <f>IF('Balance Sheet'!B18&gt;0,'Profit &amp; Loss'!B4/'Balance Sheet'!B18,0)</f>
        <v>8.0095862402005604</v>
      </c>
      <c r="C21" s="4">
        <f>IF('Balance Sheet'!C18&gt;0,'Profit &amp; Loss'!C4/'Balance Sheet'!C18,0)</f>
        <v>7.0949931600547194</v>
      </c>
      <c r="D21" s="4">
        <f>IF('Balance Sheet'!D18&gt;0,'Profit &amp; Loss'!D4/'Balance Sheet'!D18,0)</f>
        <v>6.8794806227466996</v>
      </c>
      <c r="E21" s="4">
        <f>IF('Balance Sheet'!E18&gt;0,'Profit &amp; Loss'!E4/'Balance Sheet'!E18,0)</f>
        <v>6.1470887930073719</v>
      </c>
      <c r="F21" s="4">
        <f>IF('Balance Sheet'!F18&gt;0,'Profit &amp; Loss'!F4/'Balance Sheet'!F18,0)</f>
        <v>6.5473230144633341</v>
      </c>
      <c r="G21" s="4">
        <f>IF('Balance Sheet'!G18&gt;0,'Profit &amp; Loss'!G4/'Balance Sheet'!G18,0)</f>
        <v>6.2951789325659444</v>
      </c>
      <c r="H21" s="4">
        <f>IF('Balance Sheet'!H18&gt;0,'Profit &amp; Loss'!H4/'Balance Sheet'!H18,0)</f>
        <v>5.5133254145812671</v>
      </c>
      <c r="I21" s="4">
        <f>IF('Balance Sheet'!I18&gt;0,'Profit &amp; Loss'!I4/'Balance Sheet'!I18,0)</f>
        <v>5.6967933994987892</v>
      </c>
      <c r="J21" s="4">
        <f>IF('Balance Sheet'!J18&gt;0,'Profit &amp; Loss'!J4/'Balance Sheet'!J18,0)</f>
        <v>5.6960231202450347</v>
      </c>
      <c r="K21" s="4">
        <f>IF('Balance Sheet'!K18&gt;0,'Profit &amp; Loss'!K4/'Balance Sheet'!K18,0)</f>
        <v>6.3709302146412119</v>
      </c>
    </row>
    <row r="23" spans="1:11" s="2" customFormat="1" x14ac:dyDescent="0.3">
      <c r="A23" s="2" t="s">
        <v>59</v>
      </c>
      <c r="B23" s="10">
        <f>IF(SUM('Balance Sheet'!B4:B5)&gt;0,'Profit &amp; Loss'!B12/SUM('Balance Sheet'!B4:B5),"")</f>
        <v>0.31776550770093076</v>
      </c>
      <c r="C23" s="10">
        <f>IF(SUM('Balance Sheet'!C4:C5)&gt;0,'Profit &amp; Loss'!C12/SUM('Balance Sheet'!C4:C5),"")</f>
        <v>0.299992087488401</v>
      </c>
      <c r="D23" s="10">
        <f>IF(SUM('Balance Sheet'!D4:D5)&gt;0,'Profit &amp; Loss'!D12/SUM('Balance Sheet'!D4:D5),"")</f>
        <v>0.26342836041663664</v>
      </c>
      <c r="E23" s="10">
        <f>IF(SUM('Balance Sheet'!E4:E5)&gt;0,'Profit &amp; Loss'!E12/SUM('Balance Sheet'!E4:E5),"")</f>
        <v>0.23734079614195697</v>
      </c>
      <c r="F23" s="10">
        <f>IF(SUM('Balance Sheet'!F4:F5)&gt;0,'Profit &amp; Loss'!F12/SUM('Balance Sheet'!F4:F5),"")</f>
        <v>0.25611007727711799</v>
      </c>
      <c r="G23" s="10">
        <f>IF(SUM('Balance Sheet'!G4:G5)&gt;0,'Profit &amp; Loss'!G12/SUM('Balance Sheet'!G4:G5),"")</f>
        <v>0.21874276198766227</v>
      </c>
      <c r="H23" s="10">
        <f>IF(SUM('Balance Sheet'!H4:H5)&gt;0,'Profit &amp; Loss'!H12/SUM('Balance Sheet'!H4:H5),"")</f>
        <v>0.22095561705897934</v>
      </c>
      <c r="I23" s="10">
        <f>IF(SUM('Balance Sheet'!I4:I5)&gt;0,'Profit &amp; Loss'!I12/SUM('Balance Sheet'!I4:I5),"")</f>
        <v>0.2075119611516113</v>
      </c>
      <c r="J23" s="10">
        <f>IF(SUM('Balance Sheet'!J4:J5)&gt;0,'Profit &amp; Loss'!J12/SUM('Balance Sheet'!J4:J5),"")</f>
        <v>0.19024858301219402</v>
      </c>
      <c r="K23" s="10">
        <f>IF(SUM('Balance Sheet'!K4:K5)&gt;0,'Profit &amp; Loss'!K12/SUM('Balance Sheet'!K4:K5),"")</f>
        <v>0.18676504870113414</v>
      </c>
    </row>
    <row r="24" spans="1:11" s="2" customFormat="1" x14ac:dyDescent="0.3">
      <c r="A24" s="2" t="s">
        <v>60</v>
      </c>
      <c r="B24" s="10"/>
      <c r="C24" s="10">
        <f>IF((B4+B5+B6+C4+C5+C6)&gt;0,('Profit &amp; Loss'!C10+'Profit &amp; Loss'!C9)*2/(B4+B5+B6+C4+C5+C6),"")</f>
        <v>0.35356643603540788</v>
      </c>
      <c r="D24" s="10">
        <f>IF((C4+C5+C6+D4+D5+D6)&gt;0,('Profit &amp; Loss'!D10+'Profit &amp; Loss'!D9)*2/(C4+C5+C6+D4+D5+D6),"")</f>
        <v>0.30832489058381846</v>
      </c>
      <c r="E24" s="10">
        <f>IF((D4+D5+D6+E4+E5+E6)&gt;0,('Profit &amp; Loss'!E10+'Profit &amp; Loss'!E9)*2/(D4+D5+D6+E4+E5+E6),"")</f>
        <v>0.28013315686038581</v>
      </c>
      <c r="F24" s="10">
        <f>IF((E4+E5+E6+F4+F5+F6)&gt;0,('Profit &amp; Loss'!F10+'Profit &amp; Loss'!F9)*2/(E4+E5+E6+F4+F5+F6),"")</f>
        <v>0.27505633841894817</v>
      </c>
      <c r="G24" s="10">
        <f>IF((F4+F5+F6+G4+G5+G6)&gt;0,('Profit &amp; Loss'!G10+'Profit &amp; Loss'!G9)*2/(F4+F5+F6+G4+G5+G6),"")</f>
        <v>0.26409209148816504</v>
      </c>
      <c r="H24" s="10">
        <f>IF((G4+G5+G6+H4+H5+H6)&gt;0,('Profit &amp; Loss'!H10+'Profit &amp; Loss'!H9)*2/(G4+G5+G6+H4+H5+H6),"")</f>
        <v>0.27278235175319748</v>
      </c>
      <c r="I24" s="10">
        <f>IF((H4+H5+H6+I4+I5+I6)&gt;0,('Profit &amp; Loss'!I10+'Profit &amp; Loss'!I9)*2/(H4+H5+H6+I4+I5+I6),"")</f>
        <v>0.26242963059009927</v>
      </c>
      <c r="J24" s="10">
        <f>IF((I4+I5+I6+J4+J5+J6)&gt;0,('Profit &amp; Loss'!J10+'Profit &amp; Loss'!J9)*2/(I4+I5+I6+J4+J5+J6),"")</f>
        <v>0.23487750818699837</v>
      </c>
      <c r="K24" s="10">
        <f>IF((J4+J5+J6+K4+K5+K6)&gt;0,('Profit &amp; Loss'!K10+'Profit &amp; Loss'!K9)*2/(J4+J5+J6+K4+K5+K6),"")</f>
        <v>0.23228261744074868</v>
      </c>
    </row>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bestFit="1" customWidth="1"/>
    <col min="2" max="6" width="13.44140625" customWidth="1"/>
    <col min="7" max="11" width="13.44140625" bestFit="1" customWidth="1"/>
  </cols>
  <sheetData>
    <row r="1" spans="1:11" s="2" customFormat="1" x14ac:dyDescent="0.3">
      <c r="A1" s="2" t="str">
        <f>'Balance Sheet'!A1</f>
        <v>DABUR INDIA LTD</v>
      </c>
      <c r="E1" t="str">
        <f>UPDATE</f>
        <v/>
      </c>
      <c r="F1"/>
      <c r="J1" s="2" t="s">
        <v>1</v>
      </c>
    </row>
    <row r="3" spans="1:11" s="2" customFormat="1" x14ac:dyDescent="0.3">
      <c r="A3" s="11" t="s">
        <v>2</v>
      </c>
      <c r="B3" s="12">
        <f>'Data Sheet'!B81</f>
        <v>42094</v>
      </c>
      <c r="C3" s="12">
        <f>'Data Sheet'!C81</f>
        <v>42460</v>
      </c>
      <c r="D3" s="12">
        <f>'Data Sheet'!D81</f>
        <v>42825</v>
      </c>
      <c r="E3" s="12">
        <f>'Data Sheet'!E81</f>
        <v>43190</v>
      </c>
      <c r="F3" s="12">
        <f>'Data Sheet'!F81</f>
        <v>43555</v>
      </c>
      <c r="G3" s="12">
        <f>'Data Sheet'!G81</f>
        <v>43921</v>
      </c>
      <c r="H3" s="12">
        <f>'Data Sheet'!H81</f>
        <v>44286</v>
      </c>
      <c r="I3" s="12">
        <f>'Data Sheet'!I81</f>
        <v>44651</v>
      </c>
      <c r="J3" s="12">
        <f>'Data Sheet'!J81</f>
        <v>45016</v>
      </c>
      <c r="K3" s="12">
        <f>'Data Sheet'!K81</f>
        <v>45382</v>
      </c>
    </row>
    <row r="4" spans="1:11" s="2" customFormat="1" x14ac:dyDescent="0.3">
      <c r="A4" s="2" t="s">
        <v>32</v>
      </c>
      <c r="B4" s="1">
        <f>'Data Sheet'!B82</f>
        <v>1047.21</v>
      </c>
      <c r="C4" s="1">
        <f>'Data Sheet'!C82</f>
        <v>1186.99</v>
      </c>
      <c r="D4" s="1">
        <f>'Data Sheet'!D82</f>
        <v>1226.94</v>
      </c>
      <c r="E4" s="1">
        <f>'Data Sheet'!E82</f>
        <v>1091.5</v>
      </c>
      <c r="F4" s="1">
        <f>'Data Sheet'!F82</f>
        <v>1499.13</v>
      </c>
      <c r="G4" s="1">
        <f>'Data Sheet'!G82</f>
        <v>1613.62</v>
      </c>
      <c r="H4" s="1">
        <f>'Data Sheet'!H82</f>
        <v>2114.67</v>
      </c>
      <c r="I4" s="1">
        <f>'Data Sheet'!I82</f>
        <v>1802.33</v>
      </c>
      <c r="J4" s="1">
        <f>'Data Sheet'!J82</f>
        <v>1488.43</v>
      </c>
      <c r="K4" s="1">
        <f>'Data Sheet'!K82</f>
        <v>2013.47</v>
      </c>
    </row>
    <row r="5" spans="1:11" x14ac:dyDescent="0.3">
      <c r="A5" t="s">
        <v>33</v>
      </c>
      <c r="B5" s="6">
        <f>'Data Sheet'!B83</f>
        <v>-875.9</v>
      </c>
      <c r="C5" s="6">
        <f>'Data Sheet'!C83</f>
        <v>-730.33</v>
      </c>
      <c r="D5" s="6">
        <f>'Data Sheet'!D83</f>
        <v>-807.07</v>
      </c>
      <c r="E5" s="6">
        <f>'Data Sheet'!E83</f>
        <v>-540.92999999999995</v>
      </c>
      <c r="F5" s="6">
        <f>'Data Sheet'!F83</f>
        <v>337.58</v>
      </c>
      <c r="G5" s="6">
        <f>'Data Sheet'!G83</f>
        <v>-516.63</v>
      </c>
      <c r="H5" s="6">
        <f>'Data Sheet'!H83</f>
        <v>-1404.22</v>
      </c>
      <c r="I5" s="6">
        <f>'Data Sheet'!I83</f>
        <v>-1273.45</v>
      </c>
      <c r="J5" s="6">
        <f>'Data Sheet'!J83</f>
        <v>-582.79</v>
      </c>
      <c r="K5" s="6">
        <f>'Data Sheet'!K83</f>
        <v>-971.04</v>
      </c>
    </row>
    <row r="6" spans="1:11" x14ac:dyDescent="0.3">
      <c r="A6" t="s">
        <v>34</v>
      </c>
      <c r="B6" s="6">
        <f>'Data Sheet'!B84</f>
        <v>-416.77</v>
      </c>
      <c r="C6" s="6">
        <f>'Data Sheet'!C84</f>
        <v>-374.31</v>
      </c>
      <c r="D6" s="6">
        <f>'Data Sheet'!D84</f>
        <v>-338.97</v>
      </c>
      <c r="E6" s="6">
        <f>'Data Sheet'!E84</f>
        <v>-577.11</v>
      </c>
      <c r="F6" s="6">
        <f>'Data Sheet'!F84</f>
        <v>-1888.2</v>
      </c>
      <c r="G6" s="6">
        <f>'Data Sheet'!G84</f>
        <v>-1042.97</v>
      </c>
      <c r="H6" s="6">
        <f>'Data Sheet'!H84</f>
        <v>-613.41</v>
      </c>
      <c r="I6" s="6">
        <f>'Data Sheet'!I84</f>
        <v>-490.49</v>
      </c>
      <c r="J6" s="6">
        <f>'Data Sheet'!J84</f>
        <v>-1035.24</v>
      </c>
      <c r="K6" s="6">
        <f>'Data Sheet'!K84</f>
        <v>-1161.18</v>
      </c>
    </row>
    <row r="7" spans="1:11" s="2" customFormat="1" x14ac:dyDescent="0.3">
      <c r="A7" s="2" t="s">
        <v>35</v>
      </c>
      <c r="B7" s="1">
        <f>'Data Sheet'!B85</f>
        <v>-245.46</v>
      </c>
      <c r="C7" s="1">
        <f>'Data Sheet'!C85</f>
        <v>82.35</v>
      </c>
      <c r="D7" s="1">
        <f>'Data Sheet'!D85</f>
        <v>80.900000000000006</v>
      </c>
      <c r="E7" s="1">
        <f>'Data Sheet'!E85</f>
        <v>-26.54</v>
      </c>
      <c r="F7" s="1">
        <f>'Data Sheet'!F85</f>
        <v>-51.49</v>
      </c>
      <c r="G7" s="1">
        <f>'Data Sheet'!G85</f>
        <v>54.02</v>
      </c>
      <c r="H7" s="1">
        <f>'Data Sheet'!H85</f>
        <v>97.04</v>
      </c>
      <c r="I7" s="1">
        <f>'Data Sheet'!I85</f>
        <v>38.39</v>
      </c>
      <c r="J7" s="1">
        <f>'Data Sheet'!J85</f>
        <v>-129.6</v>
      </c>
      <c r="K7" s="1">
        <f>'Data Sheet'!K85</f>
        <v>-118.75</v>
      </c>
    </row>
    <row r="8" spans="1:11" x14ac:dyDescent="0.3">
      <c r="B8" s="6"/>
      <c r="C8" s="6"/>
      <c r="D8" s="6"/>
      <c r="E8" s="6"/>
      <c r="F8" s="6"/>
      <c r="G8" s="6"/>
      <c r="H8" s="6"/>
      <c r="I8" s="6"/>
      <c r="J8" s="6"/>
      <c r="K8" s="6"/>
    </row>
    <row r="24"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2"/>
    <col min="2" max="2" width="10.44140625" customWidth="1"/>
    <col min="3" max="3" width="13.33203125" style="20" customWidth="1"/>
    <col min="6" max="6" width="6.77734375" customWidth="1"/>
  </cols>
  <sheetData>
    <row r="1" spans="1:7" ht="21" x14ac:dyDescent="0.4">
      <c r="A1" s="19" t="s">
        <v>56</v>
      </c>
    </row>
    <row r="3" spans="1:7" x14ac:dyDescent="0.3">
      <c r="A3" s="2" t="s">
        <v>48</v>
      </c>
    </row>
    <row r="4" spans="1:7" x14ac:dyDescent="0.3">
      <c r="B4" t="s">
        <v>90</v>
      </c>
    </row>
    <row r="5" spans="1:7" x14ac:dyDescent="0.3">
      <c r="B5" t="s">
        <v>49</v>
      </c>
    </row>
    <row r="7" spans="1:7" x14ac:dyDescent="0.3">
      <c r="A7" s="2" t="s">
        <v>50</v>
      </c>
    </row>
    <row r="8" spans="1:7" x14ac:dyDescent="0.3">
      <c r="B8" t="s">
        <v>51</v>
      </c>
      <c r="C8" s="21" t="s">
        <v>91</v>
      </c>
    </row>
    <row r="10" spans="1:7" x14ac:dyDescent="0.3">
      <c r="A10" s="2" t="s">
        <v>52</v>
      </c>
    </row>
    <row r="11" spans="1:7" x14ac:dyDescent="0.3">
      <c r="B11" t="s">
        <v>53</v>
      </c>
    </row>
    <row r="14" spans="1:7" x14ac:dyDescent="0.3">
      <c r="A14" s="2" t="s">
        <v>54</v>
      </c>
    </row>
    <row r="15" spans="1:7" x14ac:dyDescent="0.3">
      <c r="B15" t="s">
        <v>55</v>
      </c>
    </row>
    <row r="16" spans="1:7" x14ac:dyDescent="0.3">
      <c r="B16" t="s">
        <v>92</v>
      </c>
      <c r="G16" s="22"/>
    </row>
  </sheetData>
  <hyperlinks>
    <hyperlink ref="C8" r:id="rId1" display=" http://www.screener.in/excel"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AE932-5F8E-4467-9191-5C6058976E71}">
  <sheetPr>
    <tabColor rgb="FF002060"/>
  </sheetPr>
  <dimension ref="A1"/>
  <sheetViews>
    <sheetView topLeftCell="A7" workbookViewId="0">
      <selection activeCell="E33" sqref="E33"/>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E8279-CFC0-47F9-B656-27338063B6CE}">
  <dimension ref="B2:O87"/>
  <sheetViews>
    <sheetView showGridLines="0" zoomScale="103" workbookViewId="0">
      <selection activeCell="O15" sqref="O15"/>
    </sheetView>
  </sheetViews>
  <sheetFormatPr defaultRowHeight="14.4" x14ac:dyDescent="0.3"/>
  <cols>
    <col min="1" max="1" width="1.88671875" customWidth="1"/>
    <col min="2" max="2" width="24.109375" bestFit="1" customWidth="1"/>
    <col min="3" max="3" width="16.6640625" bestFit="1" customWidth="1"/>
    <col min="4" max="4" width="9.5546875" bestFit="1" customWidth="1"/>
    <col min="5" max="5" width="15.88671875" bestFit="1" customWidth="1"/>
    <col min="6" max="6" width="10.21875" bestFit="1" customWidth="1"/>
    <col min="7" max="7" width="13.77734375" bestFit="1" customWidth="1"/>
    <col min="8" max="8" width="10.6640625" bestFit="1" customWidth="1"/>
    <col min="9" max="9" width="10.44140625" bestFit="1" customWidth="1"/>
    <col min="10" max="10" width="14.33203125" bestFit="1" customWidth="1"/>
    <col min="11" max="11" width="13" bestFit="1" customWidth="1"/>
    <col min="12" max="12" width="13.6640625" bestFit="1" customWidth="1"/>
    <col min="13" max="14" width="9.21875" bestFit="1" customWidth="1"/>
  </cols>
  <sheetData>
    <row r="2" spans="2:15" x14ac:dyDescent="0.3">
      <c r="B2" s="63" t="s">
        <v>162</v>
      </c>
      <c r="C2" s="64">
        <v>42064</v>
      </c>
      <c r="D2" s="64">
        <v>42430</v>
      </c>
      <c r="E2" s="64">
        <v>42795</v>
      </c>
      <c r="F2" s="64">
        <v>43160</v>
      </c>
      <c r="G2" s="64">
        <v>43525</v>
      </c>
      <c r="H2" s="64">
        <v>43891</v>
      </c>
      <c r="I2" s="64">
        <v>44256</v>
      </c>
      <c r="J2" s="64">
        <v>44621</v>
      </c>
      <c r="K2" s="64">
        <v>44986</v>
      </c>
      <c r="L2" s="64">
        <v>45352</v>
      </c>
    </row>
    <row r="3" spans="2:15" x14ac:dyDescent="0.3">
      <c r="B3" t="s">
        <v>164</v>
      </c>
      <c r="C3" s="80">
        <v>176</v>
      </c>
      <c r="D3" s="80">
        <v>176</v>
      </c>
      <c r="E3" s="80">
        <v>176</v>
      </c>
      <c r="F3" s="80">
        <v>176</v>
      </c>
      <c r="G3" s="80">
        <v>177</v>
      </c>
      <c r="H3" s="80">
        <v>177</v>
      </c>
      <c r="I3" s="80">
        <v>177</v>
      </c>
      <c r="J3" s="80">
        <v>177</v>
      </c>
      <c r="K3" s="80">
        <v>177</v>
      </c>
      <c r="L3" s="80">
        <v>177</v>
      </c>
    </row>
    <row r="4" spans="2:15" x14ac:dyDescent="0.3">
      <c r="B4" t="s">
        <v>25</v>
      </c>
      <c r="C4" s="61">
        <v>3178</v>
      </c>
      <c r="D4" s="61">
        <v>3995</v>
      </c>
      <c r="E4" s="61">
        <v>4671</v>
      </c>
      <c r="F4" s="61">
        <v>5530</v>
      </c>
      <c r="G4" s="61">
        <v>5455</v>
      </c>
      <c r="H4" s="61">
        <v>6429</v>
      </c>
      <c r="I4" s="61">
        <v>7487</v>
      </c>
      <c r="J4" s="61">
        <v>8205</v>
      </c>
      <c r="K4" s="61">
        <v>8796</v>
      </c>
      <c r="L4" s="61">
        <v>9689</v>
      </c>
    </row>
    <row r="5" spans="2:15" x14ac:dyDescent="0.3">
      <c r="B5" s="2" t="s">
        <v>165</v>
      </c>
      <c r="C5" s="61"/>
      <c r="D5" s="61"/>
      <c r="E5" s="61"/>
      <c r="F5" s="61"/>
      <c r="G5" s="61"/>
      <c r="H5" s="61"/>
      <c r="I5" s="61"/>
      <c r="J5" s="61"/>
      <c r="K5" s="61"/>
      <c r="L5" s="61"/>
    </row>
    <row r="6" spans="2:15" x14ac:dyDescent="0.3">
      <c r="B6" t="s">
        <v>245</v>
      </c>
      <c r="C6" s="61">
        <v>211</v>
      </c>
      <c r="D6" s="61">
        <v>342</v>
      </c>
      <c r="E6" s="61">
        <v>470</v>
      </c>
      <c r="F6" s="61">
        <v>364</v>
      </c>
      <c r="G6" s="61">
        <v>26</v>
      </c>
      <c r="H6" s="61">
        <v>163</v>
      </c>
      <c r="I6" s="61">
        <v>1</v>
      </c>
      <c r="J6" s="61">
        <v>250</v>
      </c>
      <c r="K6" s="61">
        <v>299</v>
      </c>
      <c r="L6" s="61">
        <v>536</v>
      </c>
    </row>
    <row r="7" spans="2:15" x14ac:dyDescent="0.3">
      <c r="B7" t="s">
        <v>246</v>
      </c>
      <c r="C7" s="61">
        <v>523</v>
      </c>
      <c r="D7" s="61">
        <v>450</v>
      </c>
      <c r="E7" s="61">
        <v>440</v>
      </c>
      <c r="F7" s="61">
        <v>464</v>
      </c>
      <c r="G7" s="61">
        <v>498</v>
      </c>
      <c r="H7" s="61">
        <v>304</v>
      </c>
      <c r="I7" s="61">
        <v>349</v>
      </c>
      <c r="J7" s="61">
        <v>617</v>
      </c>
      <c r="K7" s="61">
        <v>700</v>
      </c>
      <c r="L7" s="61">
        <v>622</v>
      </c>
    </row>
    <row r="8" spans="2:15" x14ac:dyDescent="0.3">
      <c r="B8" t="s">
        <v>247</v>
      </c>
      <c r="C8" s="61">
        <v>0</v>
      </c>
      <c r="D8" s="61">
        <v>0</v>
      </c>
      <c r="E8" s="61">
        <v>0</v>
      </c>
      <c r="F8" s="61">
        <v>0</v>
      </c>
      <c r="G8" s="61">
        <v>0</v>
      </c>
      <c r="H8" s="61">
        <v>0</v>
      </c>
      <c r="I8" s="61">
        <v>159</v>
      </c>
      <c r="J8" s="61">
        <v>162</v>
      </c>
      <c r="K8" s="61">
        <v>175</v>
      </c>
      <c r="L8" s="61">
        <v>207</v>
      </c>
    </row>
    <row r="9" spans="2:15" x14ac:dyDescent="0.3">
      <c r="B9" t="s">
        <v>166</v>
      </c>
      <c r="C9" s="61">
        <v>0</v>
      </c>
      <c r="D9" s="61">
        <v>13</v>
      </c>
      <c r="E9" s="61">
        <v>64</v>
      </c>
      <c r="F9" s="61">
        <v>109</v>
      </c>
      <c r="G9" s="61">
        <v>175</v>
      </c>
      <c r="H9" s="61">
        <v>55</v>
      </c>
      <c r="I9" s="61">
        <v>0</v>
      </c>
      <c r="J9" s="61">
        <v>0</v>
      </c>
      <c r="K9" s="61">
        <v>0</v>
      </c>
      <c r="L9" s="61">
        <v>0</v>
      </c>
    </row>
    <row r="10" spans="2:15" x14ac:dyDescent="0.3">
      <c r="B10" s="2" t="s">
        <v>167</v>
      </c>
      <c r="C10" s="61"/>
      <c r="D10" s="61"/>
      <c r="E10" s="61"/>
      <c r="F10" s="61"/>
      <c r="G10" s="61"/>
      <c r="H10" s="61"/>
      <c r="I10" s="61"/>
      <c r="J10" s="61"/>
      <c r="K10" s="61"/>
      <c r="L10" s="61"/>
    </row>
    <row r="11" spans="2:15" x14ac:dyDescent="0.3">
      <c r="B11" t="s">
        <v>168</v>
      </c>
      <c r="C11">
        <v>18</v>
      </c>
      <c r="D11">
        <v>22</v>
      </c>
      <c r="E11">
        <v>25</v>
      </c>
      <c r="F11">
        <v>27</v>
      </c>
      <c r="G11">
        <v>31</v>
      </c>
      <c r="H11">
        <v>36</v>
      </c>
      <c r="I11">
        <v>37</v>
      </c>
      <c r="J11">
        <v>41</v>
      </c>
      <c r="K11">
        <v>468</v>
      </c>
      <c r="L11" s="61">
        <v>437</v>
      </c>
      <c r="O11" t="s">
        <v>1603</v>
      </c>
    </row>
    <row r="12" spans="2:15" x14ac:dyDescent="0.3">
      <c r="B12" t="s">
        <v>169</v>
      </c>
      <c r="C12" s="61">
        <v>1096</v>
      </c>
      <c r="D12" s="61">
        <v>1330</v>
      </c>
      <c r="E12" s="61">
        <v>1310</v>
      </c>
      <c r="F12" s="61">
        <v>1410</v>
      </c>
      <c r="G12" s="61">
        <v>1455</v>
      </c>
      <c r="H12" s="61">
        <v>1482</v>
      </c>
      <c r="I12" s="61">
        <v>1915</v>
      </c>
      <c r="J12" s="61">
        <v>2018</v>
      </c>
      <c r="K12" s="61">
        <v>2187</v>
      </c>
      <c r="L12" s="61">
        <v>2422</v>
      </c>
    </row>
    <row r="13" spans="2:15" x14ac:dyDescent="0.3">
      <c r="B13" s="79" t="s">
        <v>248</v>
      </c>
      <c r="C13" s="61">
        <v>42</v>
      </c>
      <c r="D13" s="61">
        <v>35</v>
      </c>
      <c r="E13" s="61">
        <v>18</v>
      </c>
      <c r="F13" s="61">
        <v>25</v>
      </c>
      <c r="G13" s="61">
        <v>28</v>
      </c>
      <c r="H13" s="61">
        <v>30</v>
      </c>
      <c r="I13" s="61">
        <v>43</v>
      </c>
      <c r="J13" s="61">
        <v>37</v>
      </c>
      <c r="K13" s="61">
        <v>9</v>
      </c>
      <c r="L13" s="61">
        <v>33</v>
      </c>
    </row>
    <row r="14" spans="2:15" x14ac:dyDescent="0.3">
      <c r="B14" t="s">
        <v>170</v>
      </c>
      <c r="C14" s="61">
        <v>863</v>
      </c>
      <c r="D14" s="61">
        <v>569</v>
      </c>
      <c r="E14" s="61">
        <v>557</v>
      </c>
      <c r="F14" s="61">
        <v>596</v>
      </c>
      <c r="G14" s="61">
        <v>591</v>
      </c>
      <c r="H14" s="61">
        <v>660</v>
      </c>
      <c r="I14" s="61">
        <v>666</v>
      </c>
      <c r="J14" s="61">
        <v>777</v>
      </c>
      <c r="K14" s="61">
        <v>842</v>
      </c>
      <c r="L14" s="61">
        <v>994</v>
      </c>
    </row>
    <row r="15" spans="2:15" x14ac:dyDescent="0.3">
      <c r="B15" s="2" t="s">
        <v>120</v>
      </c>
      <c r="C15" s="62">
        <f>SUM(C3:C14)</f>
        <v>6107</v>
      </c>
      <c r="D15" s="62">
        <f t="shared" ref="D15:L15" si="0">SUM(D3:D14)</f>
        <v>6932</v>
      </c>
      <c r="E15" s="62">
        <f t="shared" si="0"/>
        <v>7731</v>
      </c>
      <c r="F15" s="62">
        <f t="shared" si="0"/>
        <v>8701</v>
      </c>
      <c r="G15" s="62">
        <f t="shared" si="0"/>
        <v>8436</v>
      </c>
      <c r="H15" s="62">
        <f t="shared" si="0"/>
        <v>9336</v>
      </c>
      <c r="I15" s="62">
        <f t="shared" si="0"/>
        <v>10834</v>
      </c>
      <c r="J15" s="62">
        <f t="shared" si="0"/>
        <v>12284</v>
      </c>
      <c r="K15" s="62">
        <f t="shared" si="0"/>
        <v>13653</v>
      </c>
      <c r="L15" s="62">
        <f t="shared" si="0"/>
        <v>15117</v>
      </c>
    </row>
    <row r="16" spans="2:15" x14ac:dyDescent="0.3">
      <c r="C16" s="61"/>
      <c r="D16" s="61"/>
      <c r="E16" s="61"/>
      <c r="F16" s="61"/>
      <c r="G16" s="61"/>
      <c r="H16" s="61"/>
      <c r="I16" s="61"/>
      <c r="J16" s="61"/>
      <c r="K16" s="61"/>
      <c r="L16" s="61"/>
    </row>
    <row r="17" spans="2:15" x14ac:dyDescent="0.3">
      <c r="B17" s="2" t="s">
        <v>171</v>
      </c>
      <c r="C17" s="61"/>
      <c r="D17" s="61"/>
      <c r="E17" s="61"/>
      <c r="F17" s="61"/>
      <c r="G17" s="61"/>
      <c r="H17" s="61"/>
      <c r="I17" s="61"/>
      <c r="J17" s="61"/>
      <c r="K17" s="61"/>
      <c r="L17" s="61"/>
    </row>
    <row r="18" spans="2:15" x14ac:dyDescent="0.3">
      <c r="B18" t="s">
        <v>249</v>
      </c>
      <c r="C18">
        <v>92</v>
      </c>
      <c r="D18">
        <v>80</v>
      </c>
      <c r="E18">
        <v>98</v>
      </c>
      <c r="F18">
        <v>108</v>
      </c>
      <c r="G18">
        <v>108</v>
      </c>
      <c r="H18">
        <v>103</v>
      </c>
      <c r="I18">
        <v>93</v>
      </c>
      <c r="J18">
        <v>123</v>
      </c>
      <c r="K18">
        <v>141</v>
      </c>
      <c r="L18">
        <v>145</v>
      </c>
    </row>
    <row r="19" spans="2:15" x14ac:dyDescent="0.3">
      <c r="B19" t="s">
        <v>172</v>
      </c>
      <c r="C19">
        <v>622</v>
      </c>
      <c r="D19">
        <v>629</v>
      </c>
      <c r="E19">
        <v>714</v>
      </c>
      <c r="F19">
        <v>763</v>
      </c>
      <c r="G19">
        <v>788</v>
      </c>
      <c r="H19" s="61">
        <v>1054</v>
      </c>
      <c r="I19" s="61">
        <v>1057</v>
      </c>
      <c r="J19" s="61">
        <v>1144</v>
      </c>
      <c r="K19" s="61">
        <v>1279</v>
      </c>
      <c r="L19" s="61">
        <v>1513</v>
      </c>
    </row>
    <row r="20" spans="2:15" x14ac:dyDescent="0.3">
      <c r="B20" t="s">
        <v>250</v>
      </c>
      <c r="C20">
        <v>985</v>
      </c>
      <c r="D20" s="61">
        <v>1122</v>
      </c>
      <c r="E20" s="61">
        <v>1303</v>
      </c>
      <c r="F20" s="61">
        <v>1431</v>
      </c>
      <c r="G20" s="61">
        <v>1527</v>
      </c>
      <c r="H20" s="61">
        <v>1719</v>
      </c>
      <c r="I20" s="61">
        <v>1862</v>
      </c>
      <c r="J20" s="61">
        <v>2074</v>
      </c>
      <c r="K20" s="61">
        <v>2408</v>
      </c>
      <c r="L20" s="61">
        <v>2775</v>
      </c>
    </row>
    <row r="21" spans="2:15" x14ac:dyDescent="0.3">
      <c r="B21" t="s">
        <v>251</v>
      </c>
      <c r="C21">
        <v>53</v>
      </c>
      <c r="D21">
        <v>58</v>
      </c>
      <c r="E21">
        <v>62</v>
      </c>
      <c r="F21">
        <v>59</v>
      </c>
      <c r="G21">
        <v>68</v>
      </c>
      <c r="H21">
        <v>69</v>
      </c>
      <c r="I21">
        <v>73</v>
      </c>
      <c r="J21">
        <v>78</v>
      </c>
      <c r="K21">
        <v>88</v>
      </c>
      <c r="L21">
        <v>93</v>
      </c>
    </row>
    <row r="22" spans="2:15" x14ac:dyDescent="0.3">
      <c r="B22" t="s">
        <v>252</v>
      </c>
      <c r="C22">
        <v>81</v>
      </c>
      <c r="D22">
        <v>89</v>
      </c>
      <c r="E22">
        <v>94</v>
      </c>
      <c r="F22">
        <v>104</v>
      </c>
      <c r="G22">
        <v>113</v>
      </c>
      <c r="H22">
        <v>126</v>
      </c>
      <c r="I22">
        <v>129</v>
      </c>
      <c r="J22">
        <v>134</v>
      </c>
      <c r="K22">
        <v>148</v>
      </c>
      <c r="L22">
        <v>159</v>
      </c>
    </row>
    <row r="23" spans="2:15" x14ac:dyDescent="0.3">
      <c r="B23" t="s">
        <v>253</v>
      </c>
      <c r="C23">
        <v>31</v>
      </c>
      <c r="D23">
        <v>35</v>
      </c>
      <c r="E23">
        <v>35</v>
      </c>
      <c r="F23">
        <v>42</v>
      </c>
      <c r="G23">
        <v>44</v>
      </c>
      <c r="H23">
        <v>45</v>
      </c>
      <c r="I23">
        <v>45</v>
      </c>
      <c r="J23">
        <v>47</v>
      </c>
      <c r="K23">
        <v>43</v>
      </c>
      <c r="L23">
        <v>44</v>
      </c>
    </row>
    <row r="24" spans="2:15" x14ac:dyDescent="0.3">
      <c r="B24" t="s">
        <v>254</v>
      </c>
      <c r="C24">
        <v>634</v>
      </c>
      <c r="D24">
        <v>425</v>
      </c>
      <c r="E24">
        <v>425</v>
      </c>
      <c r="F24">
        <v>426</v>
      </c>
      <c r="G24">
        <v>367</v>
      </c>
      <c r="H24">
        <v>374</v>
      </c>
      <c r="I24">
        <v>375</v>
      </c>
      <c r="J24">
        <v>291</v>
      </c>
      <c r="K24" s="61">
        <v>1322</v>
      </c>
      <c r="L24" s="61">
        <v>1321</v>
      </c>
      <c r="O24" t="s">
        <v>255</v>
      </c>
    </row>
    <row r="25" spans="2:15" x14ac:dyDescent="0.3">
      <c r="B25" t="s">
        <v>173</v>
      </c>
      <c r="C25">
        <v>43</v>
      </c>
      <c r="D25">
        <v>46</v>
      </c>
      <c r="E25">
        <v>112</v>
      </c>
      <c r="F25">
        <v>113</v>
      </c>
      <c r="G25">
        <v>125</v>
      </c>
      <c r="H25">
        <v>139</v>
      </c>
      <c r="I25">
        <v>146</v>
      </c>
      <c r="J25">
        <v>149</v>
      </c>
      <c r="K25">
        <v>154</v>
      </c>
      <c r="L25">
        <v>164</v>
      </c>
    </row>
    <row r="26" spans="2:15" x14ac:dyDescent="0.3">
      <c r="B26" s="2" t="s">
        <v>174</v>
      </c>
      <c r="C26" s="62">
        <v>2541</v>
      </c>
      <c r="D26" s="62">
        <v>2484</v>
      </c>
      <c r="E26" s="62">
        <v>2843</v>
      </c>
      <c r="F26" s="62">
        <v>3046</v>
      </c>
      <c r="G26" s="62">
        <v>3139</v>
      </c>
      <c r="H26" s="62">
        <v>3629</v>
      </c>
      <c r="I26" s="62">
        <v>3779</v>
      </c>
      <c r="J26" s="62">
        <v>4041</v>
      </c>
      <c r="K26" s="62">
        <v>5583</v>
      </c>
      <c r="L26" s="62">
        <v>6215</v>
      </c>
    </row>
    <row r="27" spans="2:15" x14ac:dyDescent="0.3">
      <c r="B27" s="2" t="s">
        <v>175</v>
      </c>
      <c r="C27" s="62">
        <v>664</v>
      </c>
      <c r="D27" s="62">
        <v>816</v>
      </c>
      <c r="E27" s="62">
        <v>884</v>
      </c>
      <c r="F27" s="62">
        <v>1018</v>
      </c>
      <c r="G27" s="62">
        <v>1170</v>
      </c>
      <c r="H27" s="62">
        <v>1377</v>
      </c>
      <c r="I27" s="62">
        <v>1536</v>
      </c>
      <c r="J27" s="62">
        <v>1733</v>
      </c>
      <c r="K27" s="62">
        <v>2004</v>
      </c>
      <c r="L27" s="62">
        <v>2400</v>
      </c>
    </row>
    <row r="28" spans="2:15" x14ac:dyDescent="0.3">
      <c r="B28" s="2" t="s">
        <v>176</v>
      </c>
      <c r="C28" s="2">
        <v>50</v>
      </c>
      <c r="D28" s="2">
        <v>45</v>
      </c>
      <c r="E28" s="2">
        <v>42</v>
      </c>
      <c r="F28" s="2">
        <v>42</v>
      </c>
      <c r="G28" s="2">
        <v>64</v>
      </c>
      <c r="H28" s="2">
        <v>147</v>
      </c>
      <c r="I28" s="2">
        <v>147</v>
      </c>
      <c r="J28" s="2">
        <v>168</v>
      </c>
      <c r="K28" s="2">
        <v>175</v>
      </c>
      <c r="L28" s="2">
        <v>232</v>
      </c>
    </row>
    <row r="29" spans="2:15" x14ac:dyDescent="0.3">
      <c r="B29" t="s">
        <v>29</v>
      </c>
      <c r="C29" s="61">
        <v>1813</v>
      </c>
      <c r="D29" s="61">
        <v>2691</v>
      </c>
      <c r="E29" s="61">
        <v>3240</v>
      </c>
      <c r="F29" s="61">
        <v>3805</v>
      </c>
      <c r="G29" s="61">
        <v>3359</v>
      </c>
      <c r="H29" s="61">
        <v>2800</v>
      </c>
      <c r="I29" s="61">
        <v>4160</v>
      </c>
      <c r="J29" s="61">
        <v>6220</v>
      </c>
      <c r="K29" s="61">
        <v>6265</v>
      </c>
      <c r="L29" s="61">
        <v>6933</v>
      </c>
    </row>
    <row r="30" spans="2:15" x14ac:dyDescent="0.3">
      <c r="B30" s="2" t="s">
        <v>177</v>
      </c>
      <c r="C30" s="61"/>
      <c r="D30" s="61"/>
      <c r="E30" s="61"/>
      <c r="F30" s="61"/>
      <c r="G30" s="61"/>
      <c r="H30" s="61"/>
      <c r="I30" s="61"/>
      <c r="J30" s="61"/>
      <c r="K30" s="61"/>
      <c r="L30" s="61"/>
    </row>
    <row r="31" spans="2:15" x14ac:dyDescent="0.3">
      <c r="B31" t="s">
        <v>256</v>
      </c>
      <c r="C31">
        <v>973</v>
      </c>
      <c r="D31" s="61">
        <v>1096</v>
      </c>
      <c r="E31" s="61">
        <v>1107</v>
      </c>
      <c r="F31" s="61">
        <v>1256</v>
      </c>
      <c r="G31" s="61">
        <v>1301</v>
      </c>
      <c r="H31" s="61">
        <v>1380</v>
      </c>
      <c r="I31" s="61">
        <v>1734</v>
      </c>
      <c r="J31" s="61">
        <v>1911</v>
      </c>
      <c r="K31" s="61">
        <v>2024</v>
      </c>
      <c r="L31" s="61">
        <v>1947</v>
      </c>
    </row>
    <row r="32" spans="2:15" x14ac:dyDescent="0.3">
      <c r="B32" t="s">
        <v>258</v>
      </c>
      <c r="C32">
        <v>711</v>
      </c>
      <c r="D32">
        <v>809</v>
      </c>
      <c r="E32">
        <v>650</v>
      </c>
      <c r="F32">
        <v>706</v>
      </c>
      <c r="G32">
        <v>834</v>
      </c>
      <c r="H32">
        <v>814</v>
      </c>
      <c r="I32">
        <v>562</v>
      </c>
      <c r="J32">
        <v>646</v>
      </c>
      <c r="K32">
        <v>849</v>
      </c>
      <c r="L32">
        <v>899</v>
      </c>
    </row>
    <row r="33" spans="2:14" x14ac:dyDescent="0.3">
      <c r="B33" t="s">
        <v>178</v>
      </c>
      <c r="C33">
        <v>276</v>
      </c>
      <c r="D33">
        <v>220</v>
      </c>
      <c r="E33">
        <v>305</v>
      </c>
      <c r="F33">
        <v>306</v>
      </c>
      <c r="G33">
        <v>328</v>
      </c>
      <c r="H33">
        <v>811</v>
      </c>
      <c r="I33" s="61">
        <v>1329</v>
      </c>
      <c r="J33">
        <v>570</v>
      </c>
      <c r="K33">
        <v>326</v>
      </c>
      <c r="L33">
        <v>666</v>
      </c>
    </row>
    <row r="34" spans="2:14" x14ac:dyDescent="0.3">
      <c r="B34" t="s">
        <v>257</v>
      </c>
      <c r="C34">
        <v>63</v>
      </c>
      <c r="D34">
        <v>19</v>
      </c>
      <c r="E34">
        <v>14</v>
      </c>
      <c r="F34">
        <v>17</v>
      </c>
      <c r="G34">
        <v>22</v>
      </c>
      <c r="H34">
        <v>23</v>
      </c>
      <c r="I34">
        <v>20</v>
      </c>
      <c r="J34">
        <v>24</v>
      </c>
      <c r="K34">
        <v>33</v>
      </c>
      <c r="L34">
        <v>45</v>
      </c>
    </row>
    <row r="35" spans="2:14" x14ac:dyDescent="0.3">
      <c r="B35" t="s">
        <v>179</v>
      </c>
      <c r="C35">
        <v>343</v>
      </c>
      <c r="D35">
        <v>385</v>
      </c>
      <c r="E35">
        <v>416</v>
      </c>
      <c r="F35">
        <v>542</v>
      </c>
      <c r="G35">
        <v>561</v>
      </c>
      <c r="H35" s="61">
        <v>1109</v>
      </c>
      <c r="I35">
        <v>639</v>
      </c>
      <c r="J35">
        <v>437</v>
      </c>
      <c r="K35">
        <v>401</v>
      </c>
      <c r="L35">
        <v>579</v>
      </c>
    </row>
    <row r="36" spans="2:14" x14ac:dyDescent="0.3">
      <c r="B36" s="2" t="s">
        <v>124</v>
      </c>
      <c r="C36" s="62">
        <f>C15</f>
        <v>6107</v>
      </c>
      <c r="D36" s="62">
        <f t="shared" ref="D36:L36" si="1">D15</f>
        <v>6932</v>
      </c>
      <c r="E36" s="62">
        <f t="shared" si="1"/>
        <v>7731</v>
      </c>
      <c r="F36" s="62">
        <f t="shared" si="1"/>
        <v>8701</v>
      </c>
      <c r="G36" s="62">
        <f t="shared" si="1"/>
        <v>8436</v>
      </c>
      <c r="H36" s="62">
        <f t="shared" si="1"/>
        <v>9336</v>
      </c>
      <c r="I36" s="62">
        <f t="shared" si="1"/>
        <v>10834</v>
      </c>
      <c r="J36" s="62">
        <f t="shared" si="1"/>
        <v>12284</v>
      </c>
      <c r="K36" s="62">
        <f t="shared" si="1"/>
        <v>13653</v>
      </c>
      <c r="L36" s="62">
        <f t="shared" si="1"/>
        <v>15117</v>
      </c>
    </row>
    <row r="38" spans="2:14" x14ac:dyDescent="0.3">
      <c r="B38" s="2" t="s">
        <v>191</v>
      </c>
      <c r="D38" s="2"/>
      <c r="E38" s="2"/>
      <c r="F38" s="2"/>
    </row>
    <row r="39" spans="2:14" x14ac:dyDescent="0.3">
      <c r="B39" s="63" t="s">
        <v>162</v>
      </c>
      <c r="C39" s="64"/>
      <c r="D39" s="64"/>
      <c r="E39" s="64">
        <v>42064</v>
      </c>
      <c r="F39" s="64">
        <v>42430</v>
      </c>
      <c r="G39" s="64">
        <v>42795</v>
      </c>
      <c r="H39" s="64">
        <v>43160</v>
      </c>
      <c r="I39" s="64">
        <v>43525</v>
      </c>
      <c r="J39" s="64">
        <v>43891</v>
      </c>
      <c r="K39" s="64">
        <v>44256</v>
      </c>
      <c r="L39" s="64">
        <v>44621</v>
      </c>
      <c r="M39" s="64">
        <v>44986</v>
      </c>
      <c r="N39" s="64">
        <v>45352</v>
      </c>
    </row>
    <row r="40" spans="2:14" x14ac:dyDescent="0.3">
      <c r="B40" s="2" t="s">
        <v>260</v>
      </c>
      <c r="C40" s="81"/>
      <c r="D40" s="81"/>
      <c r="E40" s="82">
        <v>1047</v>
      </c>
      <c r="F40" s="82">
        <v>1187</v>
      </c>
      <c r="G40" s="82">
        <v>1227</v>
      </c>
      <c r="H40" s="82">
        <v>1092</v>
      </c>
      <c r="I40" s="82">
        <v>1499</v>
      </c>
      <c r="J40" s="82">
        <v>1614</v>
      </c>
      <c r="K40" s="82">
        <v>2115</v>
      </c>
      <c r="L40" s="82">
        <v>1802</v>
      </c>
      <c r="M40" s="82">
        <v>1488</v>
      </c>
      <c r="N40" s="82">
        <v>2013</v>
      </c>
    </row>
    <row r="41" spans="2:14" x14ac:dyDescent="0.3">
      <c r="B41" t="s">
        <v>192</v>
      </c>
      <c r="C41" s="61"/>
      <c r="D41" s="61"/>
      <c r="E41" s="61">
        <v>1394</v>
      </c>
      <c r="F41" s="61">
        <v>1543</v>
      </c>
      <c r="G41" s="61">
        <v>1462</v>
      </c>
      <c r="H41" s="61">
        <v>1678</v>
      </c>
      <c r="I41" s="61">
        <v>1868</v>
      </c>
      <c r="J41" s="61">
        <v>1981</v>
      </c>
      <c r="K41" s="61">
        <v>2048</v>
      </c>
      <c r="L41" s="61">
        <v>2287</v>
      </c>
      <c r="M41" s="61">
        <v>2143</v>
      </c>
      <c r="N41" s="61">
        <v>2406</v>
      </c>
    </row>
    <row r="42" spans="2:14" x14ac:dyDescent="0.3">
      <c r="B42" t="s">
        <v>78</v>
      </c>
      <c r="C42" s="61"/>
      <c r="D42" s="61"/>
      <c r="E42">
        <v>-142</v>
      </c>
      <c r="F42">
        <v>-14</v>
      </c>
      <c r="G42">
        <v>115</v>
      </c>
      <c r="H42">
        <v>-60</v>
      </c>
      <c r="I42">
        <v>-130</v>
      </c>
      <c r="J42">
        <v>14</v>
      </c>
      <c r="K42">
        <v>248</v>
      </c>
      <c r="L42">
        <v>-78</v>
      </c>
      <c r="M42">
        <v>-191</v>
      </c>
      <c r="N42">
        <v>-55</v>
      </c>
    </row>
    <row r="43" spans="2:14" x14ac:dyDescent="0.3">
      <c r="B43" t="s">
        <v>45</v>
      </c>
      <c r="C43" s="61"/>
      <c r="D43" s="61"/>
      <c r="E43">
        <v>-1</v>
      </c>
      <c r="F43">
        <v>-123</v>
      </c>
      <c r="G43">
        <v>-10</v>
      </c>
      <c r="H43">
        <v>-149</v>
      </c>
      <c r="I43">
        <v>-44</v>
      </c>
      <c r="J43">
        <v>-79</v>
      </c>
      <c r="K43">
        <v>-355</v>
      </c>
      <c r="L43">
        <v>-177</v>
      </c>
      <c r="M43">
        <v>-96</v>
      </c>
      <c r="N43">
        <v>77</v>
      </c>
    </row>
    <row r="44" spans="2:14" x14ac:dyDescent="0.3">
      <c r="B44" t="s">
        <v>259</v>
      </c>
      <c r="C44" s="61"/>
      <c r="D44" s="61"/>
      <c r="E44">
        <v>26</v>
      </c>
      <c r="F44">
        <v>62</v>
      </c>
      <c r="G44">
        <v>-16</v>
      </c>
      <c r="H44">
        <v>86</v>
      </c>
      <c r="I44">
        <v>45</v>
      </c>
      <c r="J44">
        <v>26</v>
      </c>
      <c r="K44">
        <v>434</v>
      </c>
      <c r="L44">
        <v>108</v>
      </c>
      <c r="M44">
        <v>141</v>
      </c>
      <c r="N44">
        <v>217</v>
      </c>
    </row>
    <row r="45" spans="2:14" x14ac:dyDescent="0.3">
      <c r="B45" t="s">
        <v>193</v>
      </c>
      <c r="C45" s="61"/>
      <c r="D45" s="61"/>
      <c r="E45">
        <v>0</v>
      </c>
      <c r="F45">
        <v>0</v>
      </c>
      <c r="G45">
        <v>-1</v>
      </c>
      <c r="H45">
        <v>-138</v>
      </c>
      <c r="I45">
        <v>111</v>
      </c>
      <c r="J45">
        <v>-19</v>
      </c>
      <c r="K45">
        <v>62</v>
      </c>
      <c r="L45">
        <v>51</v>
      </c>
      <c r="M45">
        <v>-15</v>
      </c>
      <c r="N45">
        <v>-137</v>
      </c>
    </row>
    <row r="46" spans="2:14" x14ac:dyDescent="0.3">
      <c r="B46" t="s">
        <v>194</v>
      </c>
      <c r="E46">
        <v>-117</v>
      </c>
      <c r="F46">
        <v>-75</v>
      </c>
      <c r="G46">
        <v>87</v>
      </c>
      <c r="H46">
        <v>-262</v>
      </c>
      <c r="I46">
        <v>-18</v>
      </c>
      <c r="J46">
        <v>-58</v>
      </c>
      <c r="K46">
        <v>388</v>
      </c>
      <c r="L46">
        <v>-97</v>
      </c>
      <c r="M46">
        <v>-160</v>
      </c>
      <c r="N46">
        <v>101</v>
      </c>
    </row>
    <row r="47" spans="2:14" x14ac:dyDescent="0.3">
      <c r="B47" t="s">
        <v>195</v>
      </c>
      <c r="C47" s="61"/>
      <c r="D47" s="61"/>
      <c r="E47">
        <v>-230</v>
      </c>
      <c r="F47">
        <v>-281</v>
      </c>
      <c r="G47">
        <v>-322</v>
      </c>
      <c r="H47">
        <v>-325</v>
      </c>
      <c r="I47">
        <v>-351</v>
      </c>
      <c r="J47">
        <v>-309</v>
      </c>
      <c r="K47">
        <v>-321</v>
      </c>
      <c r="L47">
        <v>-388</v>
      </c>
      <c r="M47">
        <v>-494</v>
      </c>
      <c r="N47">
        <v>-494</v>
      </c>
    </row>
    <row r="48" spans="2:14" x14ac:dyDescent="0.3">
      <c r="C48" s="2"/>
      <c r="D48" s="2"/>
      <c r="E48" s="61"/>
      <c r="F48" s="61"/>
      <c r="G48" s="61"/>
      <c r="H48" s="61"/>
      <c r="I48" s="61"/>
      <c r="J48" s="61"/>
      <c r="K48" s="61"/>
      <c r="L48" s="61"/>
      <c r="M48" s="61"/>
      <c r="N48" s="61"/>
    </row>
    <row r="49" spans="2:14" x14ac:dyDescent="0.3">
      <c r="B49" s="2" t="s">
        <v>196</v>
      </c>
      <c r="C49" s="2"/>
      <c r="D49" s="62"/>
      <c r="E49" s="2">
        <f>SUM(E50:E56)</f>
        <v>-876</v>
      </c>
      <c r="F49" s="2">
        <f t="shared" ref="F49:N49" si="2">SUM(F50:F56)</f>
        <v>-730</v>
      </c>
      <c r="G49" s="2">
        <f t="shared" si="2"/>
        <v>-807</v>
      </c>
      <c r="H49" s="2">
        <f t="shared" si="2"/>
        <v>-540</v>
      </c>
      <c r="I49" s="2">
        <f t="shared" si="2"/>
        <v>337</v>
      </c>
      <c r="J49" s="2">
        <f t="shared" si="2"/>
        <v>-517</v>
      </c>
      <c r="K49" s="2">
        <f t="shared" si="2"/>
        <v>-1403</v>
      </c>
      <c r="L49" s="2">
        <f t="shared" si="2"/>
        <v>-1273</v>
      </c>
      <c r="M49" s="2">
        <f t="shared" si="2"/>
        <v>-582</v>
      </c>
      <c r="N49" s="2">
        <f t="shared" si="2"/>
        <v>-971</v>
      </c>
    </row>
    <row r="50" spans="2:14" x14ac:dyDescent="0.3">
      <c r="B50" t="s">
        <v>197</v>
      </c>
      <c r="E50">
        <v>-267</v>
      </c>
      <c r="F50">
        <v>-200</v>
      </c>
      <c r="G50">
        <v>-490</v>
      </c>
      <c r="H50">
        <v>-207</v>
      </c>
      <c r="I50">
        <v>-234</v>
      </c>
      <c r="J50">
        <v>-417</v>
      </c>
      <c r="K50">
        <v>-311</v>
      </c>
      <c r="L50">
        <v>-374</v>
      </c>
      <c r="M50">
        <v>-509</v>
      </c>
      <c r="N50">
        <v>-564</v>
      </c>
    </row>
    <row r="51" spans="2:14" x14ac:dyDescent="0.3">
      <c r="B51" t="s">
        <v>198</v>
      </c>
      <c r="E51">
        <v>16</v>
      </c>
      <c r="F51">
        <v>11</v>
      </c>
      <c r="G51">
        <v>4</v>
      </c>
      <c r="H51">
        <v>7</v>
      </c>
      <c r="I51">
        <v>9</v>
      </c>
      <c r="J51">
        <v>17</v>
      </c>
      <c r="K51">
        <v>5</v>
      </c>
      <c r="L51">
        <v>5</v>
      </c>
      <c r="M51">
        <v>23</v>
      </c>
      <c r="N51">
        <v>3</v>
      </c>
    </row>
    <row r="52" spans="2:14" x14ac:dyDescent="0.3">
      <c r="B52" t="s">
        <v>261</v>
      </c>
      <c r="E52" s="61">
        <v>-6317</v>
      </c>
      <c r="F52" s="61">
        <v>-7341</v>
      </c>
      <c r="G52" s="61">
        <v>-9111</v>
      </c>
      <c r="H52" s="61">
        <v>-9001</v>
      </c>
      <c r="I52" s="61">
        <v>-5393</v>
      </c>
      <c r="J52" s="61">
        <v>-8479</v>
      </c>
      <c r="K52" s="61">
        <v>-7635</v>
      </c>
      <c r="L52" s="61">
        <v>-7507</v>
      </c>
      <c r="M52" s="61">
        <v>-4177</v>
      </c>
      <c r="N52" s="61">
        <v>-5142</v>
      </c>
    </row>
    <row r="53" spans="2:14" x14ac:dyDescent="0.3">
      <c r="B53" t="s">
        <v>199</v>
      </c>
      <c r="E53" s="61">
        <v>5596</v>
      </c>
      <c r="F53" s="61">
        <v>6653</v>
      </c>
      <c r="G53" s="61">
        <v>8600</v>
      </c>
      <c r="H53" s="61">
        <v>8418</v>
      </c>
      <c r="I53" s="61">
        <v>5710</v>
      </c>
      <c r="J53" s="61">
        <v>8114</v>
      </c>
      <c r="K53" s="61">
        <v>6274</v>
      </c>
      <c r="L53" s="61">
        <v>6234</v>
      </c>
      <c r="M53" s="61">
        <v>4164</v>
      </c>
      <c r="N53" s="61">
        <v>4344</v>
      </c>
    </row>
    <row r="54" spans="2:14" x14ac:dyDescent="0.3">
      <c r="B54" t="s">
        <v>262</v>
      </c>
      <c r="E54">
        <v>96</v>
      </c>
      <c r="F54">
        <v>148</v>
      </c>
      <c r="G54">
        <v>190</v>
      </c>
      <c r="H54">
        <v>244</v>
      </c>
      <c r="I54">
        <v>244</v>
      </c>
      <c r="J54">
        <v>248</v>
      </c>
      <c r="K54">
        <v>262</v>
      </c>
      <c r="L54">
        <v>367</v>
      </c>
      <c r="M54">
        <v>394</v>
      </c>
      <c r="N54">
        <v>387</v>
      </c>
    </row>
    <row r="55" spans="2:14" x14ac:dyDescent="0.3">
      <c r="B55" t="s">
        <v>200</v>
      </c>
      <c r="E55">
        <v>0</v>
      </c>
      <c r="F55">
        <v>0</v>
      </c>
      <c r="G55">
        <v>0</v>
      </c>
      <c r="H55">
        <v>0</v>
      </c>
      <c r="I55">
        <v>0</v>
      </c>
      <c r="J55">
        <v>0</v>
      </c>
      <c r="K55">
        <v>0</v>
      </c>
      <c r="L55">
        <v>0</v>
      </c>
      <c r="M55">
        <v>-481</v>
      </c>
      <c r="N55">
        <v>0</v>
      </c>
    </row>
    <row r="56" spans="2:14" x14ac:dyDescent="0.3">
      <c r="B56" t="s">
        <v>201</v>
      </c>
      <c r="E56">
        <v>0</v>
      </c>
      <c r="F56">
        <v>-1</v>
      </c>
      <c r="G56">
        <v>0</v>
      </c>
      <c r="H56">
        <v>-1</v>
      </c>
      <c r="I56">
        <v>1</v>
      </c>
      <c r="J56">
        <v>0</v>
      </c>
      <c r="K56">
        <v>2</v>
      </c>
      <c r="L56">
        <v>2</v>
      </c>
      <c r="M56">
        <v>4</v>
      </c>
      <c r="N56">
        <v>1</v>
      </c>
    </row>
    <row r="57" spans="2:14" x14ac:dyDescent="0.3">
      <c r="N57" s="61"/>
    </row>
    <row r="58" spans="2:14" x14ac:dyDescent="0.3">
      <c r="B58" s="2" t="s">
        <v>202</v>
      </c>
      <c r="C58" s="62"/>
      <c r="D58" s="62"/>
      <c r="E58" s="62">
        <f>SUM(E59:E65)</f>
        <v>-417</v>
      </c>
      <c r="F58" s="62">
        <f t="shared" ref="F58:N58" si="3">SUM(F59:F65)</f>
        <v>-376</v>
      </c>
      <c r="G58" s="62">
        <f t="shared" si="3"/>
        <v>-339</v>
      </c>
      <c r="H58" s="62">
        <f t="shared" si="3"/>
        <v>-578</v>
      </c>
      <c r="I58" s="62">
        <f t="shared" si="3"/>
        <v>-1889</v>
      </c>
      <c r="J58" s="62">
        <f t="shared" si="3"/>
        <v>-1042</v>
      </c>
      <c r="K58" s="62">
        <f t="shared" si="3"/>
        <v>-614</v>
      </c>
      <c r="L58" s="62">
        <f t="shared" si="3"/>
        <v>-490</v>
      </c>
      <c r="M58" s="62">
        <f t="shared" si="3"/>
        <v>-1035</v>
      </c>
      <c r="N58" s="62">
        <f t="shared" si="3"/>
        <v>-1161</v>
      </c>
    </row>
    <row r="59" spans="2:14" x14ac:dyDescent="0.3">
      <c r="B59" t="s">
        <v>203</v>
      </c>
      <c r="E59" s="61">
        <v>46</v>
      </c>
      <c r="F59" s="61">
        <v>17</v>
      </c>
      <c r="G59" s="61">
        <v>15</v>
      </c>
      <c r="H59" s="61">
        <v>0</v>
      </c>
      <c r="I59" s="61">
        <v>0</v>
      </c>
      <c r="J59" s="61">
        <v>0</v>
      </c>
      <c r="K59" s="61">
        <v>0</v>
      </c>
      <c r="L59" s="61">
        <v>0</v>
      </c>
      <c r="M59" s="61">
        <v>0</v>
      </c>
      <c r="N59" s="61">
        <v>0</v>
      </c>
    </row>
    <row r="60" spans="2:14" x14ac:dyDescent="0.3">
      <c r="B60" t="s">
        <v>204</v>
      </c>
      <c r="E60">
        <v>75</v>
      </c>
      <c r="F60">
        <v>131</v>
      </c>
      <c r="G60">
        <v>168</v>
      </c>
      <c r="H60">
        <v>4</v>
      </c>
      <c r="I60">
        <v>32</v>
      </c>
      <c r="J60">
        <v>0</v>
      </c>
      <c r="K60">
        <v>65</v>
      </c>
      <c r="L60" s="61">
        <v>541</v>
      </c>
      <c r="M60" s="61">
        <v>935</v>
      </c>
      <c r="N60" s="61">
        <v>631</v>
      </c>
    </row>
    <row r="61" spans="2:14" x14ac:dyDescent="0.3">
      <c r="B61" t="s">
        <v>205</v>
      </c>
      <c r="E61">
        <v>-50</v>
      </c>
      <c r="F61">
        <v>-60</v>
      </c>
      <c r="G61">
        <v>0</v>
      </c>
      <c r="H61">
        <v>-62</v>
      </c>
      <c r="I61" s="61">
        <v>-272</v>
      </c>
      <c r="J61">
        <v>-358</v>
      </c>
      <c r="K61" s="61">
        <v>-28</v>
      </c>
      <c r="L61" s="61">
        <v>0</v>
      </c>
      <c r="M61" s="61">
        <v>-886</v>
      </c>
      <c r="N61">
        <v>-678</v>
      </c>
    </row>
    <row r="62" spans="2:14" x14ac:dyDescent="0.3">
      <c r="B62" t="s">
        <v>263</v>
      </c>
      <c r="E62">
        <v>-26</v>
      </c>
      <c r="F62">
        <v>-40</v>
      </c>
      <c r="G62">
        <v>-45</v>
      </c>
      <c r="H62">
        <v>-43</v>
      </c>
      <c r="I62" s="61">
        <v>-52</v>
      </c>
      <c r="J62" s="61">
        <v>-42</v>
      </c>
      <c r="K62">
        <v>-31</v>
      </c>
      <c r="L62" s="61">
        <v>-33</v>
      </c>
      <c r="M62" s="61">
        <v>-89</v>
      </c>
      <c r="N62">
        <v>-119</v>
      </c>
    </row>
    <row r="63" spans="2:14" x14ac:dyDescent="0.3">
      <c r="B63" t="s">
        <v>206</v>
      </c>
      <c r="E63">
        <v>-395</v>
      </c>
      <c r="F63">
        <v>-352</v>
      </c>
      <c r="G63">
        <v>-396</v>
      </c>
      <c r="H63">
        <v>-396</v>
      </c>
      <c r="I63">
        <v>-1325</v>
      </c>
      <c r="J63">
        <v>-512</v>
      </c>
      <c r="K63" s="61">
        <v>-592</v>
      </c>
      <c r="L63">
        <v>-972</v>
      </c>
      <c r="M63">
        <v>-921</v>
      </c>
      <c r="N63" s="61">
        <v>-966</v>
      </c>
    </row>
    <row r="64" spans="2:14" x14ac:dyDescent="0.3">
      <c r="B64" t="s">
        <v>264</v>
      </c>
      <c r="C64" s="61"/>
      <c r="D64" s="61"/>
      <c r="E64" s="61">
        <v>0</v>
      </c>
      <c r="F64" s="61">
        <v>0</v>
      </c>
      <c r="G64" s="61">
        <v>0</v>
      </c>
      <c r="H64" s="61">
        <v>0</v>
      </c>
      <c r="I64" s="61">
        <v>0</v>
      </c>
      <c r="J64" s="61">
        <v>-25</v>
      </c>
      <c r="K64">
        <v>-28</v>
      </c>
      <c r="L64" s="61">
        <v>-26</v>
      </c>
      <c r="M64" s="61">
        <v>-25</v>
      </c>
      <c r="N64" s="61">
        <v>-29</v>
      </c>
    </row>
    <row r="65" spans="2:14" x14ac:dyDescent="0.3">
      <c r="B65" t="s">
        <v>207</v>
      </c>
      <c r="C65" s="61"/>
      <c r="D65" s="61"/>
      <c r="E65" s="61">
        <v>-67</v>
      </c>
      <c r="F65" s="61">
        <v>-72</v>
      </c>
      <c r="G65" s="61">
        <v>-81</v>
      </c>
      <c r="H65" s="61">
        <v>-81</v>
      </c>
      <c r="I65">
        <v>-272</v>
      </c>
      <c r="J65">
        <v>-105</v>
      </c>
      <c r="K65">
        <v>0</v>
      </c>
      <c r="L65">
        <v>0</v>
      </c>
      <c r="M65">
        <v>-49</v>
      </c>
      <c r="N65" s="61">
        <v>0</v>
      </c>
    </row>
    <row r="66" spans="2:14" x14ac:dyDescent="0.3">
      <c r="C66" s="61"/>
      <c r="D66" s="61"/>
      <c r="E66" s="61"/>
      <c r="F66" s="61"/>
      <c r="G66" s="61"/>
      <c r="H66" s="61"/>
      <c r="N66" s="61"/>
    </row>
    <row r="67" spans="2:14" x14ac:dyDescent="0.3">
      <c r="B67" s="2" t="s">
        <v>35</v>
      </c>
      <c r="C67" s="62"/>
      <c r="D67" s="62"/>
      <c r="E67" s="62">
        <v>-245</v>
      </c>
      <c r="F67" s="62">
        <v>82</v>
      </c>
      <c r="G67" s="62">
        <v>81</v>
      </c>
      <c r="H67" s="62">
        <v>-27</v>
      </c>
      <c r="I67" s="62">
        <v>-51</v>
      </c>
      <c r="J67" s="62">
        <v>54</v>
      </c>
      <c r="K67" s="62">
        <v>97</v>
      </c>
      <c r="L67" s="62">
        <v>38</v>
      </c>
      <c r="M67" s="62">
        <v>-130</v>
      </c>
      <c r="N67" s="62">
        <v>-119</v>
      </c>
    </row>
    <row r="70" spans="2:14" x14ac:dyDescent="0.3">
      <c r="B70" t="s">
        <v>265</v>
      </c>
    </row>
    <row r="72" spans="2:14" x14ac:dyDescent="0.3">
      <c r="B72" s="20" t="s">
        <v>288</v>
      </c>
      <c r="C72" t="s">
        <v>289</v>
      </c>
      <c r="D72" t="s">
        <v>290</v>
      </c>
      <c r="E72" t="s">
        <v>291</v>
      </c>
      <c r="F72" t="s">
        <v>292</v>
      </c>
      <c r="G72" t="s">
        <v>293</v>
      </c>
      <c r="H72" t="s">
        <v>294</v>
      </c>
      <c r="I72" t="s">
        <v>295</v>
      </c>
      <c r="J72" t="s">
        <v>298</v>
      </c>
      <c r="K72" t="s">
        <v>296</v>
      </c>
      <c r="L72" t="s">
        <v>299</v>
      </c>
      <c r="M72" t="s">
        <v>269</v>
      </c>
    </row>
    <row r="73" spans="2:14" x14ac:dyDescent="0.3">
      <c r="B73" s="20">
        <v>1</v>
      </c>
      <c r="C73" t="s">
        <v>297</v>
      </c>
      <c r="D73" s="72">
        <v>2966.25</v>
      </c>
      <c r="E73" s="72">
        <v>234.96</v>
      </c>
      <c r="F73" s="72">
        <v>1484</v>
      </c>
      <c r="G73" s="72">
        <v>7559</v>
      </c>
      <c r="H73" s="72">
        <v>690872.51</v>
      </c>
      <c r="I73" s="72">
        <v>62107</v>
      </c>
      <c r="J73" s="72">
        <v>23528</v>
      </c>
      <c r="K73" s="72">
        <v>10338</v>
      </c>
      <c r="L73" s="72">
        <v>696947.51</v>
      </c>
      <c r="M73" s="72">
        <f>F73-G73</f>
        <v>-6075</v>
      </c>
    </row>
    <row r="74" spans="2:14" x14ac:dyDescent="0.3">
      <c r="B74" s="20">
        <v>2</v>
      </c>
      <c r="C74" t="s">
        <v>279</v>
      </c>
      <c r="D74" s="72">
        <v>2745.7</v>
      </c>
      <c r="E74" s="72">
        <v>96.42</v>
      </c>
      <c r="F74" s="72">
        <v>344.53</v>
      </c>
      <c r="G74" s="72">
        <v>778.85</v>
      </c>
      <c r="H74" s="72">
        <v>264294.31</v>
      </c>
      <c r="I74" s="72">
        <v>19718.78</v>
      </c>
      <c r="J74" s="72">
        <v>6592.39</v>
      </c>
      <c r="K74" s="72">
        <v>3244.46</v>
      </c>
      <c r="L74" s="72">
        <v>264728.63</v>
      </c>
      <c r="M74" s="72">
        <f t="shared" ref="M74:M82" si="4">F74-G74</f>
        <v>-434.32000000000005</v>
      </c>
    </row>
    <row r="75" spans="2:14" x14ac:dyDescent="0.3">
      <c r="B75" s="20">
        <v>3</v>
      </c>
      <c r="C75" t="s">
        <v>280</v>
      </c>
      <c r="D75" s="72">
        <v>608.54999999999995</v>
      </c>
      <c r="E75" s="72">
        <v>324.87</v>
      </c>
      <c r="F75" s="72">
        <v>6760.92</v>
      </c>
      <c r="G75" s="72">
        <v>459.86</v>
      </c>
      <c r="H75" s="72">
        <v>204051.43</v>
      </c>
      <c r="I75" s="72">
        <v>18052.38</v>
      </c>
      <c r="J75" s="72">
        <v>3820.07</v>
      </c>
      <c r="K75" s="72">
        <v>2467.63</v>
      </c>
      <c r="L75" s="72">
        <v>197698.26</v>
      </c>
      <c r="M75" s="72">
        <f t="shared" si="4"/>
        <v>6301.06</v>
      </c>
    </row>
    <row r="76" spans="2:14" x14ac:dyDescent="0.3">
      <c r="B76" s="20">
        <v>4</v>
      </c>
      <c r="C76" t="s">
        <v>281</v>
      </c>
      <c r="D76" s="72">
        <v>6268.8</v>
      </c>
      <c r="E76" s="72">
        <v>24.09</v>
      </c>
      <c r="F76" s="72">
        <v>2064.96</v>
      </c>
      <c r="G76" s="72">
        <v>446.35</v>
      </c>
      <c r="H76" s="72">
        <v>152614.13</v>
      </c>
      <c r="I76" s="72">
        <v>17008.86</v>
      </c>
      <c r="J76" s="72">
        <v>4874.5</v>
      </c>
      <c r="K76" s="72">
        <v>2183.65</v>
      </c>
      <c r="L76" s="72">
        <v>150995.51999999999</v>
      </c>
      <c r="M76" s="72">
        <f t="shared" si="4"/>
        <v>1618.6100000000001</v>
      </c>
    </row>
    <row r="77" spans="2:14" x14ac:dyDescent="0.3">
      <c r="B77" s="20">
        <v>5</v>
      </c>
      <c r="C77" t="s">
        <v>282</v>
      </c>
      <c r="D77" s="72">
        <v>1388.65</v>
      </c>
      <c r="E77" s="72">
        <v>102.29</v>
      </c>
      <c r="F77" s="72">
        <v>3222.2</v>
      </c>
      <c r="G77" s="72">
        <v>546.94000000000005</v>
      </c>
      <c r="H77" s="72">
        <v>144719.57</v>
      </c>
      <c r="I77" s="72">
        <v>13978.78</v>
      </c>
      <c r="J77" s="72">
        <v>3087.87</v>
      </c>
      <c r="K77" s="72">
        <v>-428.69</v>
      </c>
      <c r="L77" s="72">
        <v>142044.31</v>
      </c>
      <c r="M77" s="72">
        <f t="shared" si="4"/>
        <v>2675.2599999999998</v>
      </c>
    </row>
    <row r="78" spans="2:14" x14ac:dyDescent="0.3">
      <c r="B78" s="20">
        <v>6</v>
      </c>
      <c r="C78" t="s">
        <v>283</v>
      </c>
      <c r="D78" s="72">
        <v>633</v>
      </c>
      <c r="E78" s="72">
        <v>177.23</v>
      </c>
      <c r="F78" s="72">
        <v>1365.09</v>
      </c>
      <c r="G78" s="72">
        <v>666.36</v>
      </c>
      <c r="H78" s="72">
        <v>112886.04</v>
      </c>
      <c r="I78" s="72">
        <v>12622.65</v>
      </c>
      <c r="J78" s="72">
        <v>3461.7</v>
      </c>
      <c r="K78" s="72">
        <v>1849.05</v>
      </c>
      <c r="L78" s="72">
        <v>112187.31</v>
      </c>
      <c r="M78" s="72">
        <f t="shared" si="4"/>
        <v>698.7299999999999</v>
      </c>
    </row>
    <row r="79" spans="2:14" x14ac:dyDescent="0.3">
      <c r="B79" s="20">
        <v>7</v>
      </c>
      <c r="C79" t="s">
        <v>284</v>
      </c>
      <c r="D79" s="72">
        <v>3764.05</v>
      </c>
      <c r="E79" s="72">
        <v>27.2</v>
      </c>
      <c r="F79" s="72">
        <v>71.75</v>
      </c>
      <c r="G79" s="72">
        <v>1373.78</v>
      </c>
      <c r="H79" s="72">
        <v>101074.72</v>
      </c>
      <c r="I79" s="72">
        <v>5853.46</v>
      </c>
      <c r="J79" s="72">
        <v>2967.52</v>
      </c>
      <c r="K79" s="72">
        <v>1413.96</v>
      </c>
      <c r="L79" s="72">
        <v>102376.75</v>
      </c>
      <c r="M79" s="72">
        <f t="shared" si="4"/>
        <v>-1302.03</v>
      </c>
    </row>
    <row r="80" spans="2:14" x14ac:dyDescent="0.3">
      <c r="B80" s="20">
        <v>8</v>
      </c>
      <c r="C80" t="s">
        <v>285</v>
      </c>
      <c r="D80" s="72">
        <v>16413.150000000001</v>
      </c>
      <c r="E80" s="72">
        <v>3.25</v>
      </c>
      <c r="F80" s="72">
        <v>3.08</v>
      </c>
      <c r="G80" s="72">
        <v>588.20000000000005</v>
      </c>
      <c r="H80" s="72">
        <v>52693.17</v>
      </c>
      <c r="I80" s="72">
        <v>4205.7</v>
      </c>
      <c r="J80" s="72">
        <v>1566.49</v>
      </c>
      <c r="K80" s="72">
        <v>675.02</v>
      </c>
      <c r="L80" s="72">
        <v>53278.29</v>
      </c>
      <c r="M80" s="72">
        <f t="shared" si="4"/>
        <v>-585.12</v>
      </c>
    </row>
    <row r="81" spans="2:13" x14ac:dyDescent="0.3">
      <c r="B81" s="20">
        <v>9</v>
      </c>
      <c r="C81" t="s">
        <v>286</v>
      </c>
      <c r="D81" s="72">
        <v>751.65</v>
      </c>
      <c r="E81" s="72">
        <v>43.65</v>
      </c>
      <c r="F81" s="72">
        <v>93.95</v>
      </c>
      <c r="G81" s="72">
        <v>201.38</v>
      </c>
      <c r="H81" s="72">
        <v>32702.09</v>
      </c>
      <c r="I81" s="72">
        <v>3658.5</v>
      </c>
      <c r="J81" s="72">
        <v>1188.32</v>
      </c>
      <c r="K81" s="72">
        <v>737.99</v>
      </c>
      <c r="L81" s="72">
        <v>32809.519999999997</v>
      </c>
      <c r="M81" s="72">
        <f t="shared" si="4"/>
        <v>-107.42999999999999</v>
      </c>
    </row>
    <row r="82" spans="2:13" x14ac:dyDescent="0.3">
      <c r="B82" s="20">
        <v>10</v>
      </c>
      <c r="C82" t="s">
        <v>287</v>
      </c>
      <c r="D82" s="72">
        <v>8490.5499999999993</v>
      </c>
      <c r="E82" s="72">
        <v>3.26</v>
      </c>
      <c r="F82" s="72">
        <v>0.05</v>
      </c>
      <c r="G82" s="72">
        <v>475.63</v>
      </c>
      <c r="H82" s="72">
        <v>27195.119999999999</v>
      </c>
      <c r="I82" s="72">
        <v>2633.08</v>
      </c>
      <c r="J82" s="72">
        <v>847.9</v>
      </c>
      <c r="K82" s="72">
        <v>411.7</v>
      </c>
      <c r="L82" s="72">
        <v>27670.7</v>
      </c>
      <c r="M82" s="72">
        <f t="shared" si="4"/>
        <v>-475.58</v>
      </c>
    </row>
    <row r="83" spans="2:13" x14ac:dyDescent="0.3">
      <c r="D83" s="72"/>
      <c r="E83" s="72"/>
      <c r="F83" s="72"/>
      <c r="G83" s="72"/>
      <c r="H83" s="72"/>
      <c r="I83" s="72"/>
      <c r="J83" s="72"/>
      <c r="K83" s="72"/>
      <c r="L83" s="72"/>
      <c r="M83" s="72"/>
    </row>
    <row r="84" spans="2:13" x14ac:dyDescent="0.3">
      <c r="D84" s="72"/>
      <c r="E84" s="72"/>
      <c r="F84" s="72"/>
      <c r="G84" s="72"/>
      <c r="H84" s="72"/>
      <c r="I84" s="72"/>
      <c r="J84" s="72"/>
      <c r="K84" s="72"/>
      <c r="L84" s="72"/>
      <c r="M84" s="72"/>
    </row>
    <row r="85" spans="2:13" x14ac:dyDescent="0.3">
      <c r="D85" s="72"/>
      <c r="E85" s="72"/>
      <c r="F85" s="72"/>
      <c r="G85" s="72"/>
      <c r="H85" s="72"/>
      <c r="I85" s="72"/>
      <c r="J85" s="72"/>
      <c r="K85" s="72"/>
      <c r="L85" s="72"/>
      <c r="M85" s="72"/>
    </row>
    <row r="86" spans="2:13" x14ac:dyDescent="0.3">
      <c r="D86" s="72"/>
      <c r="E86" s="72"/>
      <c r="F86" s="72"/>
      <c r="G86" s="72"/>
      <c r="H86" s="72"/>
      <c r="I86" s="72"/>
      <c r="J86" s="72"/>
      <c r="K86" s="72"/>
      <c r="L86" s="72"/>
      <c r="M86" s="72"/>
    </row>
    <row r="87" spans="2:13" x14ac:dyDescent="0.3">
      <c r="D87" s="72"/>
      <c r="E87" s="72"/>
      <c r="F87" s="72"/>
      <c r="G87" s="72"/>
      <c r="H87" s="72"/>
      <c r="I87" s="72"/>
      <c r="J87" s="72"/>
      <c r="K87" s="72"/>
      <c r="L87" s="72"/>
      <c r="M87" s="72"/>
    </row>
  </sheetData>
  <pageMargins left="0.7" right="0.7" top="0.75" bottom="0.75" header="0.3" footer="0.3"/>
  <ignoredErrors>
    <ignoredError sqref="C15:L15 E58:N58"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7"/>
  <sheetViews>
    <sheetView zoomScale="86" zoomScaleNormal="120" zoomScalePageLayoutView="120" workbookViewId="0">
      <pane xSplit="1" ySplit="1" topLeftCell="B64" activePane="bottomRight" state="frozen"/>
      <selection activeCell="C4" sqref="C4"/>
      <selection pane="topRight" activeCell="C4" sqref="C4"/>
      <selection pane="bottomLeft" activeCell="C4" sqref="C4"/>
      <selection pane="bottomRight" activeCell="G98" sqref="G98"/>
    </sheetView>
  </sheetViews>
  <sheetFormatPr defaultColWidth="8.77734375" defaultRowHeight="14.4" x14ac:dyDescent="0.3"/>
  <cols>
    <col min="1" max="1" width="27.6640625" style="4" bestFit="1" customWidth="1"/>
    <col min="2" max="11" width="13.44140625" style="4" bestFit="1" customWidth="1"/>
    <col min="12" max="16384" width="8.77734375" style="4"/>
  </cols>
  <sheetData>
    <row r="1" spans="1:11" s="1" customFormat="1" x14ac:dyDescent="0.3">
      <c r="A1" s="1" t="s">
        <v>0</v>
      </c>
      <c r="B1" s="1" t="s">
        <v>63</v>
      </c>
      <c r="E1" s="309" t="str">
        <f>IF(B2&lt;&gt;B3, "A NEW VERSION OF THE WORKSHEET IS AVAILABLE", "")</f>
        <v/>
      </c>
      <c r="F1" s="309"/>
      <c r="G1" s="309"/>
      <c r="H1" s="309"/>
      <c r="I1" s="309"/>
      <c r="J1" s="309"/>
      <c r="K1" s="309"/>
    </row>
    <row r="2" spans="1:11" x14ac:dyDescent="0.3">
      <c r="A2" s="1" t="s">
        <v>61</v>
      </c>
      <c r="B2" s="4">
        <v>2.1</v>
      </c>
      <c r="E2" s="310" t="s">
        <v>36</v>
      </c>
      <c r="F2" s="310"/>
      <c r="G2" s="310"/>
      <c r="H2" s="310"/>
      <c r="I2" s="310"/>
      <c r="J2" s="310"/>
      <c r="K2" s="310"/>
    </row>
    <row r="3" spans="1:11" x14ac:dyDescent="0.3">
      <c r="A3" s="1" t="s">
        <v>62</v>
      </c>
      <c r="B3" s="4">
        <v>2.1</v>
      </c>
    </row>
    <row r="4" spans="1:11" x14ac:dyDescent="0.3">
      <c r="A4" s="1"/>
    </row>
    <row r="5" spans="1:11" x14ac:dyDescent="0.3">
      <c r="A5" s="1" t="s">
        <v>64</v>
      </c>
    </row>
    <row r="6" spans="1:11" x14ac:dyDescent="0.3">
      <c r="A6" s="4" t="s">
        <v>42</v>
      </c>
      <c r="B6" s="4">
        <f>IF(B9&gt;0, B9/B8, 0)</f>
        <v>177.23103723829311</v>
      </c>
    </row>
    <row r="7" spans="1:11" x14ac:dyDescent="0.3">
      <c r="A7" s="4" t="s">
        <v>31</v>
      </c>
      <c r="B7">
        <v>1</v>
      </c>
    </row>
    <row r="8" spans="1:11" x14ac:dyDescent="0.3">
      <c r="A8" s="4" t="s">
        <v>43</v>
      </c>
      <c r="B8">
        <v>625.70000000000005</v>
      </c>
    </row>
    <row r="9" spans="1:11" x14ac:dyDescent="0.3">
      <c r="A9" s="4" t="s">
        <v>79</v>
      </c>
      <c r="B9">
        <v>110893.46</v>
      </c>
    </row>
    <row r="15" spans="1:11" x14ac:dyDescent="0.3">
      <c r="A15" s="1" t="s">
        <v>37</v>
      </c>
    </row>
    <row r="16" spans="1:11" s="18" customFormat="1" x14ac:dyDescent="0.3">
      <c r="A16" s="17" t="s">
        <v>38</v>
      </c>
      <c r="B16" s="12">
        <v>42094</v>
      </c>
      <c r="C16" s="12">
        <v>42460</v>
      </c>
      <c r="D16" s="12">
        <v>42825</v>
      </c>
      <c r="E16" s="12">
        <v>43190</v>
      </c>
      <c r="F16" s="12">
        <v>43555</v>
      </c>
      <c r="G16" s="12">
        <v>43921</v>
      </c>
      <c r="H16" s="12">
        <v>44286</v>
      </c>
      <c r="I16" s="12">
        <v>44651</v>
      </c>
      <c r="J16" s="12">
        <v>45016</v>
      </c>
      <c r="K16" s="12">
        <v>45382</v>
      </c>
    </row>
    <row r="17" spans="1:11" s="6" customFormat="1" x14ac:dyDescent="0.3">
      <c r="A17" s="6" t="s">
        <v>6</v>
      </c>
      <c r="B17">
        <v>7795.49</v>
      </c>
      <c r="C17">
        <v>7779.66</v>
      </c>
      <c r="D17">
        <v>7613.59</v>
      </c>
      <c r="E17">
        <v>7721.85</v>
      </c>
      <c r="F17">
        <v>8514.99</v>
      </c>
      <c r="G17">
        <v>8684.64</v>
      </c>
      <c r="H17">
        <v>9561.65</v>
      </c>
      <c r="I17">
        <v>10888.68</v>
      </c>
      <c r="J17">
        <v>11529.89</v>
      </c>
      <c r="K17">
        <v>12404.01</v>
      </c>
    </row>
    <row r="18" spans="1:11" s="6" customFormat="1" x14ac:dyDescent="0.3">
      <c r="A18" s="4" t="s">
        <v>80</v>
      </c>
      <c r="B18">
        <v>2633.97</v>
      </c>
      <c r="C18">
        <v>2739.77</v>
      </c>
      <c r="D18">
        <v>2659.55</v>
      </c>
      <c r="E18">
        <v>2775.35</v>
      </c>
      <c r="F18">
        <v>3067.95</v>
      </c>
      <c r="G18">
        <v>3138.49</v>
      </c>
      <c r="H18">
        <v>3764.3</v>
      </c>
      <c r="I18">
        <v>4136.7</v>
      </c>
      <c r="J18">
        <v>4762.03</v>
      </c>
      <c r="K18">
        <v>4714.88</v>
      </c>
    </row>
    <row r="19" spans="1:11" s="6" customFormat="1" x14ac:dyDescent="0.3">
      <c r="A19" s="4" t="s">
        <v>81</v>
      </c>
      <c r="B19">
        <v>25.91</v>
      </c>
      <c r="C19">
        <v>70.53</v>
      </c>
      <c r="D19">
        <v>23.02</v>
      </c>
      <c r="E19">
        <v>65.930000000000007</v>
      </c>
      <c r="F19">
        <v>-12.64</v>
      </c>
      <c r="G19">
        <v>65.040000000000006</v>
      </c>
      <c r="H19">
        <v>207.2</v>
      </c>
      <c r="I19">
        <v>8.5500000000000007</v>
      </c>
      <c r="J19">
        <v>90.79</v>
      </c>
      <c r="K19">
        <v>-48.95</v>
      </c>
    </row>
    <row r="20" spans="1:11" s="6" customFormat="1" x14ac:dyDescent="0.3">
      <c r="A20" s="4" t="s">
        <v>82</v>
      </c>
      <c r="B20">
        <v>90.35</v>
      </c>
      <c r="C20">
        <v>84</v>
      </c>
      <c r="D20">
        <v>87.48</v>
      </c>
      <c r="E20">
        <v>93.91</v>
      </c>
      <c r="F20">
        <v>105.26</v>
      </c>
      <c r="G20">
        <v>107.12</v>
      </c>
      <c r="H20">
        <v>104.01</v>
      </c>
      <c r="I20">
        <v>128.66</v>
      </c>
      <c r="J20">
        <v>150.59</v>
      </c>
      <c r="K20">
        <v>153.44</v>
      </c>
    </row>
    <row r="21" spans="1:11" s="6" customFormat="1" x14ac:dyDescent="0.3">
      <c r="A21" s="4" t="s">
        <v>83</v>
      </c>
      <c r="B21">
        <v>1208.32</v>
      </c>
      <c r="C21">
        <v>1180.31</v>
      </c>
      <c r="D21">
        <v>1247.42</v>
      </c>
      <c r="E21">
        <v>1219</v>
      </c>
      <c r="F21">
        <v>1327.63</v>
      </c>
      <c r="G21">
        <v>1387.98</v>
      </c>
      <c r="H21">
        <v>1347.34</v>
      </c>
      <c r="I21">
        <v>1656.53</v>
      </c>
      <c r="J21">
        <v>1779.91</v>
      </c>
      <c r="K21">
        <v>1856.5</v>
      </c>
    </row>
    <row r="22" spans="1:11" s="6" customFormat="1" x14ac:dyDescent="0.3">
      <c r="A22" s="4" t="s">
        <v>84</v>
      </c>
      <c r="B22">
        <v>690.17</v>
      </c>
      <c r="C22">
        <v>794.1</v>
      </c>
      <c r="D22">
        <v>790.3</v>
      </c>
      <c r="E22">
        <v>793.36</v>
      </c>
      <c r="F22">
        <v>938.55</v>
      </c>
      <c r="G22">
        <v>949.16</v>
      </c>
      <c r="H22">
        <v>1034.9000000000001</v>
      </c>
      <c r="I22">
        <v>1081.3900000000001</v>
      </c>
      <c r="J22">
        <v>1138.43</v>
      </c>
      <c r="K22">
        <v>1241.06</v>
      </c>
    </row>
    <row r="23" spans="1:11" s="6" customFormat="1" x14ac:dyDescent="0.3">
      <c r="A23" s="4" t="s">
        <v>85</v>
      </c>
      <c r="B23">
        <v>1640.96</v>
      </c>
      <c r="C23">
        <v>1217.44</v>
      </c>
      <c r="D23">
        <v>1161.4000000000001</v>
      </c>
      <c r="E23">
        <v>1135.3800000000001</v>
      </c>
      <c r="F23">
        <v>1183.56</v>
      </c>
      <c r="G23">
        <v>1224.5899999999999</v>
      </c>
      <c r="H23">
        <v>1388.27</v>
      </c>
      <c r="I23">
        <v>1480.71</v>
      </c>
      <c r="J23">
        <v>1426.95</v>
      </c>
      <c r="K23">
        <v>1779.99</v>
      </c>
    </row>
    <row r="24" spans="1:11" s="6" customFormat="1" x14ac:dyDescent="0.3">
      <c r="A24" s="4" t="s">
        <v>86</v>
      </c>
      <c r="B24">
        <v>237.41</v>
      </c>
      <c r="C24">
        <v>316.29000000000002</v>
      </c>
      <c r="D24">
        <v>178.85</v>
      </c>
      <c r="E24">
        <v>153.34</v>
      </c>
      <c r="F24">
        <v>139.84</v>
      </c>
      <c r="G24">
        <v>150</v>
      </c>
      <c r="H24">
        <v>128.36000000000001</v>
      </c>
      <c r="I24">
        <v>161.22999999999999</v>
      </c>
      <c r="J24">
        <v>200.28</v>
      </c>
      <c r="K24">
        <v>209.47</v>
      </c>
    </row>
    <row r="25" spans="1:11" s="6" customFormat="1" x14ac:dyDescent="0.3">
      <c r="A25" s="6" t="s">
        <v>9</v>
      </c>
      <c r="B25">
        <v>154.24</v>
      </c>
      <c r="C25">
        <v>217.19</v>
      </c>
      <c r="D25">
        <v>295.93</v>
      </c>
      <c r="E25">
        <v>290.88</v>
      </c>
      <c r="F25">
        <v>221.79</v>
      </c>
      <c r="G25">
        <v>205.29</v>
      </c>
      <c r="H25">
        <v>325.29000000000002</v>
      </c>
      <c r="I25">
        <v>308.16000000000003</v>
      </c>
      <c r="J25">
        <v>445.39</v>
      </c>
      <c r="K25">
        <v>482.41</v>
      </c>
    </row>
    <row r="26" spans="1:11" s="6" customFormat="1" x14ac:dyDescent="0.3">
      <c r="A26" s="6" t="s">
        <v>10</v>
      </c>
      <c r="B26">
        <v>114.98</v>
      </c>
      <c r="C26">
        <v>133.19</v>
      </c>
      <c r="D26">
        <v>142.86000000000001</v>
      </c>
      <c r="E26">
        <v>162.18</v>
      </c>
      <c r="F26">
        <v>176.9</v>
      </c>
      <c r="G26">
        <v>220.45</v>
      </c>
      <c r="H26">
        <v>240.13</v>
      </c>
      <c r="I26">
        <v>252.89</v>
      </c>
      <c r="J26">
        <v>310.95999999999998</v>
      </c>
      <c r="K26">
        <v>399.21</v>
      </c>
    </row>
    <row r="27" spans="1:11" s="6" customFormat="1" x14ac:dyDescent="0.3">
      <c r="A27" s="6" t="s">
        <v>11</v>
      </c>
      <c r="B27">
        <v>40.119999999999997</v>
      </c>
      <c r="C27">
        <v>48.48</v>
      </c>
      <c r="D27">
        <v>54.03</v>
      </c>
      <c r="E27">
        <v>53.05</v>
      </c>
      <c r="F27">
        <v>59.58</v>
      </c>
      <c r="G27">
        <v>49.54</v>
      </c>
      <c r="H27">
        <v>30.81</v>
      </c>
      <c r="I27">
        <v>38.6</v>
      </c>
      <c r="J27">
        <v>78.239999999999995</v>
      </c>
      <c r="K27">
        <v>124.18</v>
      </c>
    </row>
    <row r="28" spans="1:11" s="6" customFormat="1" x14ac:dyDescent="0.3">
      <c r="A28" s="6" t="s">
        <v>12</v>
      </c>
      <c r="B28">
        <v>1319.36</v>
      </c>
      <c r="C28">
        <v>1553.8</v>
      </c>
      <c r="D28">
        <v>1610.65</v>
      </c>
      <c r="E28">
        <v>1693.09</v>
      </c>
      <c r="F28">
        <v>1724.87</v>
      </c>
      <c r="G28">
        <v>1727.64</v>
      </c>
      <c r="H28">
        <v>2056.02</v>
      </c>
      <c r="I28">
        <v>2268.6799999999998</v>
      </c>
      <c r="J28">
        <v>2218.6799999999998</v>
      </c>
      <c r="K28">
        <v>2358.7399999999998</v>
      </c>
    </row>
    <row r="29" spans="1:11" s="6" customFormat="1" x14ac:dyDescent="0.3">
      <c r="A29" s="6" t="s">
        <v>13</v>
      </c>
      <c r="B29">
        <v>250.89</v>
      </c>
      <c r="C29">
        <v>299.89999999999998</v>
      </c>
      <c r="D29">
        <v>330.34</v>
      </c>
      <c r="E29">
        <v>335.35</v>
      </c>
      <c r="F29">
        <v>278.62</v>
      </c>
      <c r="G29">
        <v>279.72000000000003</v>
      </c>
      <c r="H29">
        <v>361.07</v>
      </c>
      <c r="I29">
        <v>526.38</v>
      </c>
      <c r="J29">
        <v>517.35</v>
      </c>
      <c r="K29">
        <v>547.42999999999995</v>
      </c>
    </row>
    <row r="30" spans="1:11" s="6" customFormat="1" x14ac:dyDescent="0.3">
      <c r="A30" s="6" t="s">
        <v>14</v>
      </c>
      <c r="B30">
        <v>1065.83</v>
      </c>
      <c r="C30">
        <v>1251.1500000000001</v>
      </c>
      <c r="D30">
        <v>1276.94</v>
      </c>
      <c r="E30">
        <v>1354.39</v>
      </c>
      <c r="F30">
        <v>1442.33</v>
      </c>
      <c r="G30">
        <v>1444.96</v>
      </c>
      <c r="H30">
        <v>1693.3</v>
      </c>
      <c r="I30">
        <v>1739.22</v>
      </c>
      <c r="J30">
        <v>1707.15</v>
      </c>
      <c r="K30">
        <v>1842.68</v>
      </c>
    </row>
    <row r="31" spans="1:11" s="6" customFormat="1" x14ac:dyDescent="0.3">
      <c r="A31" s="6" t="s">
        <v>70</v>
      </c>
      <c r="B31">
        <v>351.3</v>
      </c>
      <c r="C31">
        <v>395.8</v>
      </c>
      <c r="D31">
        <v>396.34</v>
      </c>
      <c r="E31">
        <v>1100.94</v>
      </c>
      <c r="F31">
        <v>485.73</v>
      </c>
      <c r="G31">
        <v>530.13</v>
      </c>
      <c r="H31">
        <v>839.52</v>
      </c>
      <c r="I31">
        <v>919.31</v>
      </c>
      <c r="J31">
        <v>921.34</v>
      </c>
      <c r="K31">
        <v>974.6</v>
      </c>
    </row>
    <row r="32" spans="1:11" s="6" customFormat="1" x14ac:dyDescent="0.3"/>
    <row r="33" spans="1:11" x14ac:dyDescent="0.3">
      <c r="A33" s="6"/>
    </row>
    <row r="34" spans="1:11" x14ac:dyDescent="0.3">
      <c r="A34" s="6"/>
    </row>
    <row r="35" spans="1:11" x14ac:dyDescent="0.3">
      <c r="A35" s="6"/>
    </row>
    <row r="36" spans="1:11" x14ac:dyDescent="0.3">
      <c r="A36" s="6"/>
    </row>
    <row r="37" spans="1:11" x14ac:dyDescent="0.3">
      <c r="A37" s="6"/>
    </row>
    <row r="38" spans="1:11" x14ac:dyDescent="0.3">
      <c r="A38" s="6"/>
    </row>
    <row r="39" spans="1:11" x14ac:dyDescent="0.3">
      <c r="A39" s="6"/>
    </row>
    <row r="40" spans="1:11" x14ac:dyDescent="0.3">
      <c r="A40" s="1" t="s">
        <v>39</v>
      </c>
    </row>
    <row r="41" spans="1:11" s="18" customFormat="1" x14ac:dyDescent="0.3">
      <c r="A41" s="17" t="s">
        <v>38</v>
      </c>
      <c r="B41" s="12">
        <v>44651</v>
      </c>
      <c r="C41" s="12">
        <v>44742</v>
      </c>
      <c r="D41" s="12">
        <v>44834</v>
      </c>
      <c r="E41" s="12">
        <v>44926</v>
      </c>
      <c r="F41" s="12">
        <v>45016</v>
      </c>
      <c r="G41" s="12">
        <v>45107</v>
      </c>
      <c r="H41" s="12">
        <v>45199</v>
      </c>
      <c r="I41" s="12">
        <v>45291</v>
      </c>
      <c r="J41" s="12">
        <v>45382</v>
      </c>
      <c r="K41" s="12">
        <v>45473</v>
      </c>
    </row>
    <row r="42" spans="1:11" s="6" customFormat="1" x14ac:dyDescent="0.3">
      <c r="A42" s="6" t="s">
        <v>6</v>
      </c>
      <c r="B42">
        <v>2517.81</v>
      </c>
      <c r="C42">
        <v>2822.43</v>
      </c>
      <c r="D42">
        <v>2986.49</v>
      </c>
      <c r="E42">
        <v>3043.17</v>
      </c>
      <c r="F42">
        <v>2677.8</v>
      </c>
      <c r="G42">
        <v>3130.47</v>
      </c>
      <c r="H42">
        <v>3203.84</v>
      </c>
      <c r="I42">
        <v>3255.06</v>
      </c>
      <c r="J42">
        <v>2814.64</v>
      </c>
      <c r="K42">
        <v>3349.11</v>
      </c>
    </row>
    <row r="43" spans="1:11" s="6" customFormat="1" x14ac:dyDescent="0.3">
      <c r="A43" s="6" t="s">
        <v>7</v>
      </c>
      <c r="B43">
        <v>2065.44</v>
      </c>
      <c r="C43">
        <v>2279.11</v>
      </c>
      <c r="D43">
        <v>2386.09</v>
      </c>
      <c r="E43">
        <v>2434.0500000000002</v>
      </c>
      <c r="F43">
        <v>2268.15</v>
      </c>
      <c r="G43">
        <v>2525.94</v>
      </c>
      <c r="H43">
        <v>2542.9699999999998</v>
      </c>
      <c r="I43">
        <v>2587.64</v>
      </c>
      <c r="J43">
        <v>2348.23</v>
      </c>
      <c r="K43">
        <v>2694.28</v>
      </c>
    </row>
    <row r="44" spans="1:11" s="6" customFormat="1" x14ac:dyDescent="0.3">
      <c r="A44" s="6" t="s">
        <v>9</v>
      </c>
      <c r="B44">
        <v>14.14</v>
      </c>
      <c r="C44">
        <v>100.55</v>
      </c>
      <c r="D44">
        <v>123.28</v>
      </c>
      <c r="E44">
        <v>100.84</v>
      </c>
      <c r="F44">
        <v>120.72</v>
      </c>
      <c r="G44">
        <v>109.78</v>
      </c>
      <c r="H44">
        <v>116.9</v>
      </c>
      <c r="I44">
        <v>127.37</v>
      </c>
      <c r="J44">
        <v>128.85</v>
      </c>
      <c r="K44">
        <v>129.4</v>
      </c>
    </row>
    <row r="45" spans="1:11" s="6" customFormat="1" x14ac:dyDescent="0.3">
      <c r="A45" s="6" t="s">
        <v>10</v>
      </c>
      <c r="B45">
        <v>65.05</v>
      </c>
      <c r="C45">
        <v>67.599999999999994</v>
      </c>
      <c r="D45">
        <v>70.47</v>
      </c>
      <c r="E45">
        <v>70.89</v>
      </c>
      <c r="F45">
        <v>102</v>
      </c>
      <c r="G45">
        <v>96.64</v>
      </c>
      <c r="H45">
        <v>98.32</v>
      </c>
      <c r="I45">
        <v>96.89</v>
      </c>
      <c r="J45">
        <v>107.36</v>
      </c>
      <c r="K45">
        <v>109.12</v>
      </c>
    </row>
    <row r="46" spans="1:11" s="6" customFormat="1" x14ac:dyDescent="0.3">
      <c r="A46" s="6" t="s">
        <v>11</v>
      </c>
      <c r="B46">
        <v>11.75</v>
      </c>
      <c r="C46">
        <v>12.15</v>
      </c>
      <c r="D46">
        <v>15.06</v>
      </c>
      <c r="E46">
        <v>18.91</v>
      </c>
      <c r="F46">
        <v>32.119999999999997</v>
      </c>
      <c r="G46">
        <v>24.31</v>
      </c>
      <c r="H46">
        <v>28.14</v>
      </c>
      <c r="I46">
        <v>36.49</v>
      </c>
      <c r="J46">
        <v>35.24</v>
      </c>
      <c r="K46">
        <v>32.659999999999997</v>
      </c>
    </row>
    <row r="47" spans="1:11" s="6" customFormat="1" x14ac:dyDescent="0.3">
      <c r="A47" s="6" t="s">
        <v>12</v>
      </c>
      <c r="B47">
        <v>389.71</v>
      </c>
      <c r="C47">
        <v>564.12</v>
      </c>
      <c r="D47">
        <v>638.15</v>
      </c>
      <c r="E47">
        <v>620.16</v>
      </c>
      <c r="F47">
        <v>396.25</v>
      </c>
      <c r="G47">
        <v>593.36</v>
      </c>
      <c r="H47">
        <v>651.30999999999995</v>
      </c>
      <c r="I47">
        <v>661.41</v>
      </c>
      <c r="J47">
        <v>452.66</v>
      </c>
      <c r="K47">
        <v>642.45000000000005</v>
      </c>
    </row>
    <row r="48" spans="1:11" s="6" customFormat="1" x14ac:dyDescent="0.3">
      <c r="A48" s="6" t="s">
        <v>13</v>
      </c>
      <c r="B48">
        <v>95.37</v>
      </c>
      <c r="C48">
        <v>123.06</v>
      </c>
      <c r="D48">
        <v>147.29</v>
      </c>
      <c r="E48">
        <v>143.51</v>
      </c>
      <c r="F48">
        <v>103.49</v>
      </c>
      <c r="G48">
        <v>136.75</v>
      </c>
      <c r="H48">
        <v>144.27000000000001</v>
      </c>
      <c r="I48">
        <v>154.97</v>
      </c>
      <c r="J48">
        <v>111.44</v>
      </c>
      <c r="K48">
        <v>148.1</v>
      </c>
    </row>
    <row r="49" spans="1:11" s="6" customFormat="1" x14ac:dyDescent="0.3">
      <c r="A49" s="6" t="s">
        <v>14</v>
      </c>
      <c r="B49">
        <v>294.22000000000003</v>
      </c>
      <c r="C49">
        <v>440.32</v>
      </c>
      <c r="D49">
        <v>490.06</v>
      </c>
      <c r="E49">
        <v>475.94</v>
      </c>
      <c r="F49">
        <v>300.83</v>
      </c>
      <c r="G49">
        <v>463.88</v>
      </c>
      <c r="H49">
        <v>515.04999999999995</v>
      </c>
      <c r="I49">
        <v>514.22</v>
      </c>
      <c r="J49">
        <v>349.53</v>
      </c>
      <c r="K49">
        <v>500.12</v>
      </c>
    </row>
    <row r="50" spans="1:11" x14ac:dyDescent="0.3">
      <c r="A50" s="6" t="s">
        <v>8</v>
      </c>
      <c r="B50">
        <v>452.37</v>
      </c>
      <c r="C50">
        <v>543.32000000000005</v>
      </c>
      <c r="D50">
        <v>600.4</v>
      </c>
      <c r="E50">
        <v>609.12</v>
      </c>
      <c r="F50">
        <v>409.65</v>
      </c>
      <c r="G50">
        <v>604.53</v>
      </c>
      <c r="H50">
        <v>660.87</v>
      </c>
      <c r="I50">
        <v>667.42</v>
      </c>
      <c r="J50">
        <v>466.41</v>
      </c>
      <c r="K50">
        <v>654.83000000000004</v>
      </c>
    </row>
    <row r="51" spans="1:11" x14ac:dyDescent="0.3">
      <c r="A51" s="6"/>
    </row>
    <row r="52" spans="1:11" x14ac:dyDescent="0.3">
      <c r="A52" s="6"/>
    </row>
    <row r="53" spans="1:11" x14ac:dyDescent="0.3">
      <c r="A53" s="6"/>
    </row>
    <row r="54" spans="1:11" x14ac:dyDescent="0.3">
      <c r="A54" s="6"/>
    </row>
    <row r="55" spans="1:11" x14ac:dyDescent="0.3">
      <c r="A55" s="1" t="s">
        <v>40</v>
      </c>
    </row>
    <row r="56" spans="1:11" s="18" customFormat="1" x14ac:dyDescent="0.3">
      <c r="A56" s="17" t="s">
        <v>38</v>
      </c>
      <c r="B56" s="12">
        <v>42094</v>
      </c>
      <c r="C56" s="12">
        <v>42460</v>
      </c>
      <c r="D56" s="12">
        <v>42825</v>
      </c>
      <c r="E56" s="12">
        <v>43190</v>
      </c>
      <c r="F56" s="12">
        <v>43555</v>
      </c>
      <c r="G56" s="12">
        <v>43921</v>
      </c>
      <c r="H56" s="12">
        <v>44286</v>
      </c>
      <c r="I56" s="12">
        <v>44651</v>
      </c>
      <c r="J56" s="12">
        <v>45016</v>
      </c>
      <c r="K56" s="12">
        <v>45382</v>
      </c>
    </row>
    <row r="57" spans="1:11" x14ac:dyDescent="0.3">
      <c r="A57" s="6" t="s">
        <v>24</v>
      </c>
      <c r="B57">
        <v>175.65</v>
      </c>
      <c r="C57">
        <v>175.91</v>
      </c>
      <c r="D57">
        <v>176.15</v>
      </c>
      <c r="E57">
        <v>176.15</v>
      </c>
      <c r="F57">
        <v>176.63</v>
      </c>
      <c r="G57">
        <v>176.71</v>
      </c>
      <c r="H57">
        <v>176.74</v>
      </c>
      <c r="I57">
        <v>176.79</v>
      </c>
      <c r="J57">
        <v>177.18</v>
      </c>
      <c r="K57">
        <v>177.2</v>
      </c>
    </row>
    <row r="58" spans="1:11" x14ac:dyDescent="0.3">
      <c r="A58" s="6" t="s">
        <v>25</v>
      </c>
      <c r="B58">
        <v>3178.49</v>
      </c>
      <c r="C58">
        <v>3994.7</v>
      </c>
      <c r="D58">
        <v>4671.24</v>
      </c>
      <c r="E58">
        <v>5530.37</v>
      </c>
      <c r="F58">
        <v>5455.05</v>
      </c>
      <c r="G58">
        <v>6429.04</v>
      </c>
      <c r="H58">
        <v>7486.79</v>
      </c>
      <c r="I58">
        <v>8204.51</v>
      </c>
      <c r="J58">
        <v>8796.08</v>
      </c>
      <c r="K58">
        <v>9689.1</v>
      </c>
    </row>
    <row r="59" spans="1:11" x14ac:dyDescent="0.3">
      <c r="A59" s="6" t="s">
        <v>71</v>
      </c>
      <c r="B59">
        <v>733.56</v>
      </c>
      <c r="C59">
        <v>805.22</v>
      </c>
      <c r="D59">
        <v>975</v>
      </c>
      <c r="E59">
        <v>937.59</v>
      </c>
      <c r="F59">
        <v>699.37</v>
      </c>
      <c r="G59">
        <v>521.99</v>
      </c>
      <c r="H59">
        <v>509.06</v>
      </c>
      <c r="I59">
        <v>1030.0999999999999</v>
      </c>
      <c r="J59">
        <v>1173.79</v>
      </c>
      <c r="K59">
        <v>1365.09</v>
      </c>
    </row>
    <row r="60" spans="1:11" x14ac:dyDescent="0.3">
      <c r="A60" s="6" t="s">
        <v>72</v>
      </c>
      <c r="B60">
        <v>2018.58</v>
      </c>
      <c r="C60">
        <v>1956.47</v>
      </c>
      <c r="D60">
        <v>1909.85</v>
      </c>
      <c r="E60">
        <v>2057.52</v>
      </c>
      <c r="F60">
        <v>2105.59</v>
      </c>
      <c r="G60">
        <v>2208.84</v>
      </c>
      <c r="H60">
        <v>2660.63</v>
      </c>
      <c r="I60">
        <v>2872.46</v>
      </c>
      <c r="J60">
        <v>3505.23</v>
      </c>
      <c r="K60">
        <v>3884.97</v>
      </c>
    </row>
    <row r="61" spans="1:11" s="1" customFormat="1" x14ac:dyDescent="0.3">
      <c r="A61" s="1" t="s">
        <v>26</v>
      </c>
      <c r="B61">
        <v>6106.28</v>
      </c>
      <c r="C61">
        <v>6932.3</v>
      </c>
      <c r="D61">
        <v>7732.24</v>
      </c>
      <c r="E61">
        <v>8701.6299999999992</v>
      </c>
      <c r="F61">
        <v>8436.64</v>
      </c>
      <c r="G61">
        <v>9336.58</v>
      </c>
      <c r="H61">
        <v>10833.22</v>
      </c>
      <c r="I61">
        <v>12283.86</v>
      </c>
      <c r="J61">
        <v>13652.28</v>
      </c>
      <c r="K61">
        <v>15116.36</v>
      </c>
    </row>
    <row r="62" spans="1:11" x14ac:dyDescent="0.3">
      <c r="A62" s="6" t="s">
        <v>27</v>
      </c>
      <c r="B62">
        <v>1877.13</v>
      </c>
      <c r="C62">
        <v>1667.4</v>
      </c>
      <c r="D62">
        <v>1958.4</v>
      </c>
      <c r="E62">
        <v>2028.11</v>
      </c>
      <c r="F62">
        <v>1969.06</v>
      </c>
      <c r="G62">
        <v>2252.6799999999998</v>
      </c>
      <c r="H62">
        <v>2242.92</v>
      </c>
      <c r="I62">
        <v>2307.9</v>
      </c>
      <c r="J62">
        <v>3578.65</v>
      </c>
      <c r="K62">
        <v>3815</v>
      </c>
    </row>
    <row r="63" spans="1:11" x14ac:dyDescent="0.3">
      <c r="A63" s="6" t="s">
        <v>28</v>
      </c>
      <c r="B63">
        <v>50.3</v>
      </c>
      <c r="C63">
        <v>44.8</v>
      </c>
      <c r="D63">
        <v>42.1</v>
      </c>
      <c r="E63">
        <v>41.51</v>
      </c>
      <c r="F63">
        <v>63.76</v>
      </c>
      <c r="G63">
        <v>146.57</v>
      </c>
      <c r="H63">
        <v>147.30000000000001</v>
      </c>
      <c r="I63">
        <v>167.5</v>
      </c>
      <c r="J63">
        <v>175.13</v>
      </c>
      <c r="K63">
        <v>232.23</v>
      </c>
    </row>
    <row r="64" spans="1:11" x14ac:dyDescent="0.3">
      <c r="A64" s="6" t="s">
        <v>29</v>
      </c>
      <c r="B64">
        <v>1813.37</v>
      </c>
      <c r="C64">
        <v>2690.74</v>
      </c>
      <c r="D64">
        <v>3240.16</v>
      </c>
      <c r="E64">
        <v>3805.17</v>
      </c>
      <c r="F64">
        <v>3358.76</v>
      </c>
      <c r="G64">
        <v>2800.26</v>
      </c>
      <c r="H64">
        <v>4159.63</v>
      </c>
      <c r="I64">
        <v>6219.62</v>
      </c>
      <c r="J64">
        <v>6265.26</v>
      </c>
      <c r="K64">
        <v>6932.69</v>
      </c>
    </row>
    <row r="65" spans="1:11" x14ac:dyDescent="0.3">
      <c r="A65" s="6" t="s">
        <v>73</v>
      </c>
      <c r="B65">
        <v>2365.48</v>
      </c>
      <c r="C65">
        <v>2529.36</v>
      </c>
      <c r="D65">
        <v>2491.58</v>
      </c>
      <c r="E65">
        <v>2826.84</v>
      </c>
      <c r="F65">
        <v>3045.06</v>
      </c>
      <c r="G65">
        <v>4137.07</v>
      </c>
      <c r="H65">
        <v>4283.37</v>
      </c>
      <c r="I65">
        <v>3588.84</v>
      </c>
      <c r="J65">
        <v>3633.24</v>
      </c>
      <c r="K65">
        <v>4136.4399999999996</v>
      </c>
    </row>
    <row r="66" spans="1:11" s="1" customFormat="1" x14ac:dyDescent="0.3">
      <c r="A66" s="1" t="s">
        <v>26</v>
      </c>
      <c r="B66">
        <v>6106.28</v>
      </c>
      <c r="C66">
        <v>6932.3</v>
      </c>
      <c r="D66">
        <v>7732.24</v>
      </c>
      <c r="E66">
        <v>8701.6299999999992</v>
      </c>
      <c r="F66">
        <v>8436.64</v>
      </c>
      <c r="G66">
        <v>9336.58</v>
      </c>
      <c r="H66">
        <v>10833.22</v>
      </c>
      <c r="I66">
        <v>12283.86</v>
      </c>
      <c r="J66">
        <v>13652.28</v>
      </c>
      <c r="K66">
        <v>15116.36</v>
      </c>
    </row>
    <row r="67" spans="1:11" s="6" customFormat="1" x14ac:dyDescent="0.3">
      <c r="A67" s="6" t="s">
        <v>78</v>
      </c>
      <c r="B67">
        <v>710.84</v>
      </c>
      <c r="C67">
        <v>809.2</v>
      </c>
      <c r="D67">
        <v>650.41999999999996</v>
      </c>
      <c r="E67">
        <v>706.08</v>
      </c>
      <c r="F67">
        <v>833.56</v>
      </c>
      <c r="G67">
        <v>813.89</v>
      </c>
      <c r="H67">
        <v>561.58000000000004</v>
      </c>
      <c r="I67">
        <v>646.15</v>
      </c>
      <c r="J67">
        <v>848.75</v>
      </c>
      <c r="K67">
        <v>898.72</v>
      </c>
    </row>
    <row r="68" spans="1:11" x14ac:dyDescent="0.3">
      <c r="A68" s="6" t="s">
        <v>45</v>
      </c>
      <c r="B68">
        <v>973.27</v>
      </c>
      <c r="C68">
        <v>1096.5</v>
      </c>
      <c r="D68">
        <v>1106.71</v>
      </c>
      <c r="E68">
        <v>1256.18</v>
      </c>
      <c r="F68">
        <v>1300.53</v>
      </c>
      <c r="G68">
        <v>1379.57</v>
      </c>
      <c r="H68">
        <v>1734.28</v>
      </c>
      <c r="I68">
        <v>1911.37</v>
      </c>
      <c r="J68">
        <v>2024.2</v>
      </c>
      <c r="K68">
        <v>1946.97</v>
      </c>
    </row>
    <row r="69" spans="1:11" x14ac:dyDescent="0.3">
      <c r="A69" s="4" t="s">
        <v>87</v>
      </c>
      <c r="B69">
        <v>276.04000000000002</v>
      </c>
      <c r="C69">
        <v>219.82</v>
      </c>
      <c r="D69">
        <v>304.81</v>
      </c>
      <c r="E69">
        <v>306.06</v>
      </c>
      <c r="F69">
        <v>328.16</v>
      </c>
      <c r="G69">
        <v>811.37</v>
      </c>
      <c r="H69">
        <v>1329.03</v>
      </c>
      <c r="I69">
        <v>570.14</v>
      </c>
      <c r="J69">
        <v>325.92</v>
      </c>
      <c r="K69">
        <v>666.36</v>
      </c>
    </row>
    <row r="70" spans="1:11" x14ac:dyDescent="0.3">
      <c r="A70" s="4" t="s">
        <v>74</v>
      </c>
      <c r="B70">
        <v>1756511990</v>
      </c>
      <c r="C70">
        <v>1759141170</v>
      </c>
      <c r="D70">
        <v>1761520510</v>
      </c>
      <c r="E70">
        <v>1761520510</v>
      </c>
      <c r="F70">
        <v>1766291141</v>
      </c>
      <c r="G70">
        <v>1767063892</v>
      </c>
      <c r="H70">
        <v>1767425349</v>
      </c>
      <c r="I70">
        <v>1767856483</v>
      </c>
      <c r="J70">
        <v>1767856483</v>
      </c>
      <c r="K70">
        <v>1772039162</v>
      </c>
    </row>
    <row r="71" spans="1:11" x14ac:dyDescent="0.3">
      <c r="A71" s="4" t="s">
        <v>75</v>
      </c>
    </row>
    <row r="72" spans="1:11" x14ac:dyDescent="0.3">
      <c r="A72" s="4" t="s">
        <v>88</v>
      </c>
      <c r="B72">
        <v>1</v>
      </c>
      <c r="C72">
        <v>1</v>
      </c>
      <c r="D72">
        <v>1</v>
      </c>
      <c r="E72">
        <v>1</v>
      </c>
      <c r="F72">
        <v>1</v>
      </c>
      <c r="G72">
        <v>1</v>
      </c>
      <c r="H72">
        <v>1</v>
      </c>
      <c r="I72">
        <v>1</v>
      </c>
      <c r="J72">
        <v>1</v>
      </c>
      <c r="K72">
        <v>1</v>
      </c>
    </row>
    <row r="74" spans="1:11" x14ac:dyDescent="0.3">
      <c r="A74" s="6"/>
    </row>
    <row r="75" spans="1:11" x14ac:dyDescent="0.3">
      <c r="A75" s="6" t="s">
        <v>73</v>
      </c>
      <c r="B75" s="4">
        <f>B65-SUM(B67:B69)</f>
        <v>405.32999999999993</v>
      </c>
      <c r="C75" s="4">
        <f t="shared" ref="C75:J75" si="0">C65-SUM(C67:C69)</f>
        <v>403.84000000000015</v>
      </c>
      <c r="D75" s="4">
        <f t="shared" si="0"/>
        <v>429.63999999999987</v>
      </c>
      <c r="E75" s="4">
        <f t="shared" si="0"/>
        <v>558.52</v>
      </c>
      <c r="F75" s="4">
        <f t="shared" si="0"/>
        <v>582.80999999999995</v>
      </c>
      <c r="G75" s="4">
        <f t="shared" si="0"/>
        <v>1132.2399999999998</v>
      </c>
      <c r="H75" s="4">
        <f t="shared" si="0"/>
        <v>658.47999999999956</v>
      </c>
      <c r="I75" s="4">
        <f t="shared" si="0"/>
        <v>461.18000000000029</v>
      </c>
      <c r="J75" s="4">
        <f t="shared" si="0"/>
        <v>434.36999999999989</v>
      </c>
      <c r="K75" s="4">
        <f>K65-SUM(K67:K69)</f>
        <v>624.38999999999942</v>
      </c>
    </row>
    <row r="76" spans="1:11" x14ac:dyDescent="0.3">
      <c r="A76" s="6"/>
    </row>
    <row r="77" spans="1:11" x14ac:dyDescent="0.3">
      <c r="A77" s="6" t="s">
        <v>1708</v>
      </c>
      <c r="B77" s="4">
        <f>B58+B57</f>
        <v>3354.14</v>
      </c>
      <c r="C77" s="4">
        <f t="shared" ref="C77:K77" si="1">C58+C57</f>
        <v>4170.6099999999997</v>
      </c>
      <c r="D77" s="4">
        <f t="shared" si="1"/>
        <v>4847.3899999999994</v>
      </c>
      <c r="E77" s="4">
        <f t="shared" si="1"/>
        <v>5706.5199999999995</v>
      </c>
      <c r="F77" s="4">
        <f t="shared" si="1"/>
        <v>5631.68</v>
      </c>
      <c r="G77" s="4">
        <f t="shared" si="1"/>
        <v>6605.75</v>
      </c>
      <c r="H77" s="4">
        <f t="shared" si="1"/>
        <v>7663.53</v>
      </c>
      <c r="I77" s="4">
        <f t="shared" si="1"/>
        <v>8381.3000000000011</v>
      </c>
      <c r="J77" s="4">
        <f t="shared" si="1"/>
        <v>8973.26</v>
      </c>
      <c r="K77" s="4">
        <f t="shared" si="1"/>
        <v>9866.3000000000011</v>
      </c>
    </row>
    <row r="78" spans="1:11" x14ac:dyDescent="0.3">
      <c r="A78" s="6"/>
    </row>
    <row r="79" spans="1:11" x14ac:dyDescent="0.3">
      <c r="A79" s="6"/>
    </row>
    <row r="80" spans="1:11" x14ac:dyDescent="0.3">
      <c r="A80" s="1" t="s">
        <v>41</v>
      </c>
    </row>
    <row r="81" spans="1:11" s="18" customFormat="1" x14ac:dyDescent="0.3">
      <c r="A81" s="17" t="s">
        <v>38</v>
      </c>
      <c r="B81" s="12">
        <v>42094</v>
      </c>
      <c r="C81" s="12">
        <v>42460</v>
      </c>
      <c r="D81" s="12">
        <v>42825</v>
      </c>
      <c r="E81" s="12">
        <v>43190</v>
      </c>
      <c r="F81" s="12">
        <v>43555</v>
      </c>
      <c r="G81" s="12">
        <v>43921</v>
      </c>
      <c r="H81" s="12">
        <v>44286</v>
      </c>
      <c r="I81" s="12">
        <v>44651</v>
      </c>
      <c r="J81" s="12">
        <v>45016</v>
      </c>
      <c r="K81" s="12">
        <v>45382</v>
      </c>
    </row>
    <row r="82" spans="1:11" s="1" customFormat="1" x14ac:dyDescent="0.3">
      <c r="A82" s="6" t="s">
        <v>32</v>
      </c>
      <c r="B82">
        <v>1047.21</v>
      </c>
      <c r="C82">
        <v>1186.99</v>
      </c>
      <c r="D82">
        <v>1226.94</v>
      </c>
      <c r="E82">
        <v>1091.5</v>
      </c>
      <c r="F82">
        <v>1499.13</v>
      </c>
      <c r="G82">
        <v>1613.62</v>
      </c>
      <c r="H82">
        <v>2114.67</v>
      </c>
      <c r="I82">
        <v>1802.33</v>
      </c>
      <c r="J82">
        <v>1488.43</v>
      </c>
      <c r="K82">
        <v>2013.47</v>
      </c>
    </row>
    <row r="83" spans="1:11" s="6" customFormat="1" x14ac:dyDescent="0.3">
      <c r="A83" s="6" t="s">
        <v>33</v>
      </c>
      <c r="B83">
        <v>-875.9</v>
      </c>
      <c r="C83">
        <v>-730.33</v>
      </c>
      <c r="D83">
        <v>-807.07</v>
      </c>
      <c r="E83">
        <v>-540.92999999999995</v>
      </c>
      <c r="F83">
        <v>337.58</v>
      </c>
      <c r="G83">
        <v>-516.63</v>
      </c>
      <c r="H83">
        <v>-1404.22</v>
      </c>
      <c r="I83">
        <v>-1273.45</v>
      </c>
      <c r="J83">
        <v>-582.79</v>
      </c>
      <c r="K83">
        <v>-971.04</v>
      </c>
    </row>
    <row r="84" spans="1:11" s="6" customFormat="1" x14ac:dyDescent="0.3">
      <c r="A84" s="6" t="s">
        <v>34</v>
      </c>
      <c r="B84">
        <v>-416.77</v>
      </c>
      <c r="C84">
        <v>-374.31</v>
      </c>
      <c r="D84">
        <v>-338.97</v>
      </c>
      <c r="E84">
        <v>-577.11</v>
      </c>
      <c r="F84">
        <v>-1888.2</v>
      </c>
      <c r="G84">
        <v>-1042.97</v>
      </c>
      <c r="H84">
        <v>-613.41</v>
      </c>
      <c r="I84">
        <v>-490.49</v>
      </c>
      <c r="J84">
        <v>-1035.24</v>
      </c>
      <c r="K84">
        <v>-1161.18</v>
      </c>
    </row>
    <row r="85" spans="1:11" s="1" customFormat="1" x14ac:dyDescent="0.3">
      <c r="A85" s="6" t="s">
        <v>35</v>
      </c>
      <c r="B85">
        <v>-245.46</v>
      </c>
      <c r="C85">
        <v>82.35</v>
      </c>
      <c r="D85">
        <v>80.900000000000006</v>
      </c>
      <c r="E85">
        <v>-26.54</v>
      </c>
      <c r="F85">
        <v>-51.49</v>
      </c>
      <c r="G85">
        <v>54.02</v>
      </c>
      <c r="H85">
        <v>97.04</v>
      </c>
      <c r="I85">
        <v>38.39</v>
      </c>
      <c r="J85">
        <v>-129.6</v>
      </c>
      <c r="K85">
        <v>-118.75</v>
      </c>
    </row>
    <row r="86" spans="1:11" x14ac:dyDescent="0.3">
      <c r="A86" s="6"/>
    </row>
    <row r="87" spans="1:11" x14ac:dyDescent="0.3">
      <c r="A87" s="6"/>
    </row>
    <row r="88" spans="1:11" x14ac:dyDescent="0.3">
      <c r="A88" s="6"/>
    </row>
    <row r="89" spans="1:11" x14ac:dyDescent="0.3">
      <c r="A89" s="6"/>
    </row>
    <row r="90" spans="1:11" s="1" customFormat="1" x14ac:dyDescent="0.3">
      <c r="A90" s="1" t="s">
        <v>77</v>
      </c>
      <c r="B90">
        <v>265.55</v>
      </c>
      <c r="C90">
        <v>249.9</v>
      </c>
      <c r="D90">
        <v>277.35000000000002</v>
      </c>
      <c r="E90">
        <v>328.4</v>
      </c>
      <c r="F90">
        <v>408.8</v>
      </c>
      <c r="G90">
        <v>450.05</v>
      </c>
      <c r="H90">
        <v>540.5</v>
      </c>
      <c r="I90">
        <v>536.20000000000005</v>
      </c>
      <c r="J90">
        <v>544.9</v>
      </c>
      <c r="K90">
        <v>523.15</v>
      </c>
    </row>
    <row r="92" spans="1:11" s="1" customFormat="1" x14ac:dyDescent="0.3">
      <c r="A92" s="1" t="s">
        <v>76</v>
      </c>
    </row>
    <row r="93" spans="1:11" x14ac:dyDescent="0.3">
      <c r="A93" s="4" t="s">
        <v>89</v>
      </c>
      <c r="B93" s="24">
        <v>175.65</v>
      </c>
      <c r="C93" s="24">
        <v>175.91</v>
      </c>
      <c r="D93" s="24">
        <v>176.15</v>
      </c>
      <c r="E93" s="24">
        <v>176.15</v>
      </c>
      <c r="F93" s="24">
        <v>176.63</v>
      </c>
      <c r="G93" s="24">
        <v>176.71</v>
      </c>
      <c r="H93" s="24">
        <v>176.74</v>
      </c>
      <c r="I93" s="24">
        <v>176.79</v>
      </c>
      <c r="J93" s="24">
        <v>177.18</v>
      </c>
      <c r="K93" s="24">
        <v>177.2</v>
      </c>
    </row>
    <row r="97" spans="1:11" x14ac:dyDescent="0.3">
      <c r="A97" s="4" t="s">
        <v>270</v>
      </c>
      <c r="B97" s="4">
        <f>B93*B90</f>
        <v>46643.857500000006</v>
      </c>
      <c r="C97" s="4">
        <f t="shared" ref="C97:J97" si="2">C93*C90</f>
        <v>43959.909</v>
      </c>
      <c r="D97" s="4">
        <f t="shared" si="2"/>
        <v>48855.202500000007</v>
      </c>
      <c r="E97" s="4">
        <f t="shared" si="2"/>
        <v>57847.659999999996</v>
      </c>
      <c r="F97" s="4">
        <f t="shared" si="2"/>
        <v>72206.343999999997</v>
      </c>
      <c r="G97" s="4">
        <f t="shared" si="2"/>
        <v>79528.335500000001</v>
      </c>
      <c r="H97" s="4">
        <f t="shared" si="2"/>
        <v>95527.97</v>
      </c>
      <c r="I97" s="4">
        <f t="shared" si="2"/>
        <v>94794.79800000001</v>
      </c>
      <c r="J97" s="4">
        <f t="shared" si="2"/>
        <v>96545.381999999998</v>
      </c>
      <c r="K97" s="4">
        <f>K93*K90</f>
        <v>92702.18</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26AD1-CE9A-4F44-9181-B96751EBC791}">
  <sheetPr>
    <tabColor rgb="FF002060"/>
  </sheetPr>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700DF-9E83-410D-9498-33DC5B4EFB8D}">
  <sheetPr>
    <pageSetUpPr fitToPage="1"/>
  </sheetPr>
  <dimension ref="A2:AJ107"/>
  <sheetViews>
    <sheetView showGridLines="0" topLeftCell="A53" zoomScale="90" zoomScaleNormal="120" workbookViewId="0">
      <selection activeCell="O68" sqref="O68"/>
    </sheetView>
  </sheetViews>
  <sheetFormatPr defaultRowHeight="14.4" x14ac:dyDescent="0.3"/>
  <cols>
    <col min="1" max="1" width="2.109375" bestFit="1" customWidth="1"/>
    <col min="2" max="2" width="33" bestFit="1" customWidth="1"/>
    <col min="3" max="5" width="12" bestFit="1" customWidth="1"/>
    <col min="6" max="12" width="13.109375" bestFit="1" customWidth="1"/>
    <col min="13" max="13" width="4.77734375" bestFit="1" customWidth="1"/>
    <col min="31" max="35" width="9" bestFit="1" customWidth="1"/>
    <col min="36" max="36" width="10.33203125" bestFit="1" customWidth="1"/>
  </cols>
  <sheetData>
    <row r="2" spans="1:36" ht="30.6" customHeight="1" x14ac:dyDescent="0.3">
      <c r="B2" s="229" t="s">
        <v>63</v>
      </c>
      <c r="C2" s="225"/>
      <c r="D2" s="225"/>
      <c r="E2" s="225"/>
      <c r="F2" s="225"/>
      <c r="G2" s="225"/>
      <c r="H2" s="225"/>
      <c r="I2" s="225"/>
      <c r="J2" s="225"/>
      <c r="K2" s="225"/>
      <c r="L2" s="225"/>
    </row>
    <row r="3" spans="1:36" ht="3" customHeight="1" x14ac:dyDescent="0.3">
      <c r="B3" s="225"/>
      <c r="C3" s="225"/>
      <c r="D3" s="225"/>
      <c r="E3" s="225"/>
      <c r="F3" s="225"/>
      <c r="G3" s="225"/>
      <c r="H3" s="225"/>
      <c r="I3" s="225"/>
      <c r="J3" s="225"/>
      <c r="K3" s="225"/>
      <c r="L3" s="225"/>
    </row>
    <row r="4" spans="1:36" ht="15.6" x14ac:dyDescent="0.3">
      <c r="B4" s="230" t="s">
        <v>1593</v>
      </c>
      <c r="C4" s="225"/>
      <c r="D4" s="225"/>
      <c r="E4" s="225"/>
      <c r="F4" s="225"/>
      <c r="G4" s="225"/>
      <c r="H4" s="225"/>
      <c r="I4" s="225"/>
      <c r="J4" s="225"/>
      <c r="K4" s="225"/>
      <c r="L4" s="225"/>
    </row>
    <row r="5" spans="1:36" ht="15.6" customHeight="1" x14ac:dyDescent="0.3"/>
    <row r="6" spans="1:36" x14ac:dyDescent="0.3">
      <c r="B6" s="236" t="str">
        <f>"Financial Statement Analysis - " &amp; 'Data Sheet'!B1</f>
        <v>Financial Statement Analysis - DABUR INDIA LTD</v>
      </c>
      <c r="C6" s="236"/>
      <c r="D6" s="236"/>
      <c r="E6" s="236"/>
      <c r="F6" s="236"/>
      <c r="G6" s="236"/>
      <c r="H6" s="236"/>
      <c r="I6" s="236"/>
      <c r="J6" s="236"/>
      <c r="K6" s="236"/>
      <c r="L6" s="236"/>
      <c r="M6" s="30"/>
    </row>
    <row r="7" spans="1:36" x14ac:dyDescent="0.3">
      <c r="B7" s="236" t="s">
        <v>93</v>
      </c>
      <c r="C7" s="240">
        <f>'Data Sheet'!B16</f>
        <v>42094</v>
      </c>
      <c r="D7" s="240">
        <f>'Data Sheet'!C16</f>
        <v>42460</v>
      </c>
      <c r="E7" s="240">
        <f>'Data Sheet'!D16</f>
        <v>42825</v>
      </c>
      <c r="F7" s="240">
        <f>'Data Sheet'!E16</f>
        <v>43190</v>
      </c>
      <c r="G7" s="240">
        <f>'Data Sheet'!F16</f>
        <v>43555</v>
      </c>
      <c r="H7" s="240">
        <f>'Data Sheet'!G16</f>
        <v>43921</v>
      </c>
      <c r="I7" s="240">
        <f>'Data Sheet'!H16</f>
        <v>44286</v>
      </c>
      <c r="J7" s="240">
        <f>'Data Sheet'!I16</f>
        <v>44651</v>
      </c>
      <c r="K7" s="240">
        <f>'Data Sheet'!J16</f>
        <v>45016</v>
      </c>
      <c r="L7" s="240">
        <f>'Data Sheet'!K16</f>
        <v>45382</v>
      </c>
      <c r="M7" s="31" t="s">
        <v>94</v>
      </c>
    </row>
    <row r="8" spans="1:36" x14ac:dyDescent="0.3">
      <c r="B8" s="30"/>
      <c r="C8" s="31"/>
      <c r="D8" s="31"/>
      <c r="E8" s="31"/>
      <c r="F8" s="31"/>
      <c r="G8" s="31"/>
      <c r="H8" s="31"/>
      <c r="I8" s="31"/>
      <c r="J8" s="31"/>
      <c r="K8" s="31"/>
      <c r="L8" s="31"/>
      <c r="M8" s="31"/>
    </row>
    <row r="9" spans="1:36" x14ac:dyDescent="0.3">
      <c r="A9" t="s">
        <v>95</v>
      </c>
      <c r="B9" s="284" t="s">
        <v>96</v>
      </c>
      <c r="C9" s="285"/>
      <c r="D9" s="285"/>
      <c r="E9" s="285"/>
      <c r="F9" s="285"/>
      <c r="G9" s="285"/>
      <c r="H9" s="285"/>
      <c r="I9" s="285"/>
      <c r="J9" s="285"/>
      <c r="K9" s="285"/>
      <c r="L9" s="285"/>
    </row>
    <row r="10" spans="1:36" x14ac:dyDescent="0.3">
      <c r="B10" t="s">
        <v>6</v>
      </c>
      <c r="C10" s="28">
        <f>IFERROR('Data Sheet'!B17,0)</f>
        <v>7795.49</v>
      </c>
      <c r="D10" s="28">
        <f>IFERROR('Data Sheet'!C17,0)</f>
        <v>7779.66</v>
      </c>
      <c r="E10" s="28">
        <f>IFERROR('Data Sheet'!D17,0)</f>
        <v>7613.59</v>
      </c>
      <c r="F10" s="28">
        <f>IFERROR('Data Sheet'!E17,0)</f>
        <v>7721.85</v>
      </c>
      <c r="G10" s="28">
        <f>IFERROR('Data Sheet'!F17,0)</f>
        <v>8514.99</v>
      </c>
      <c r="H10" s="28">
        <f>IFERROR('Data Sheet'!G17,0)</f>
        <v>8684.64</v>
      </c>
      <c r="I10" s="28">
        <f>IFERROR('Data Sheet'!H17,0)</f>
        <v>9561.65</v>
      </c>
      <c r="J10" s="28">
        <f>IFERROR('Data Sheet'!I17,0)</f>
        <v>10888.68</v>
      </c>
      <c r="K10" s="28">
        <f>IFERROR('Data Sheet'!J17,0)</f>
        <v>11529.89</v>
      </c>
      <c r="L10" s="28">
        <f>IFERROR('Data Sheet'!K17,0)</f>
        <v>12404.01</v>
      </c>
    </row>
    <row r="11" spans="1:36" x14ac:dyDescent="0.3">
      <c r="B11" s="25" t="s">
        <v>97</v>
      </c>
      <c r="C11" s="26" t="s">
        <v>98</v>
      </c>
      <c r="D11" s="27">
        <f>D10/C10-1</f>
        <v>-2.0306613182750066E-3</v>
      </c>
      <c r="E11" s="27">
        <f t="shared" ref="E11:L11" si="0">E10/D10-1</f>
        <v>-2.1346691243576132E-2</v>
      </c>
      <c r="F11" s="27">
        <f t="shared" si="0"/>
        <v>1.4219310469830937E-2</v>
      </c>
      <c r="G11" s="27">
        <f t="shared" si="0"/>
        <v>0.10271372792789291</v>
      </c>
      <c r="H11" s="27">
        <f t="shared" si="0"/>
        <v>1.9923687520478461E-2</v>
      </c>
      <c r="I11" s="27">
        <f t="shared" si="0"/>
        <v>0.10098403618342267</v>
      </c>
      <c r="J11" s="27">
        <f t="shared" si="0"/>
        <v>0.13878671568191692</v>
      </c>
      <c r="K11" s="27">
        <f t="shared" si="0"/>
        <v>5.8887762336665261E-2</v>
      </c>
      <c r="L11" s="27">
        <f t="shared" si="0"/>
        <v>7.5813385903941821E-2</v>
      </c>
    </row>
    <row r="13" spans="1:36" x14ac:dyDescent="0.3">
      <c r="B13" t="s">
        <v>99</v>
      </c>
      <c r="C13" s="28">
        <f>IFERROR(SUM('Data Sheet'!B18,'Data Sheet'!B20:B22)-1*'Data Sheet'!B19,0)</f>
        <v>4596.8999999999996</v>
      </c>
      <c r="D13" s="28">
        <f>IFERROR(SUM('Data Sheet'!C18,'Data Sheet'!C20:C22)-1*'Data Sheet'!C19,0)</f>
        <v>4727.6500000000005</v>
      </c>
      <c r="E13" s="28">
        <f>IFERROR(SUM('Data Sheet'!D18,'Data Sheet'!D20:D22)-1*'Data Sheet'!D19,0)</f>
        <v>4761.7299999999996</v>
      </c>
      <c r="F13" s="28">
        <f>IFERROR(SUM('Data Sheet'!E18,'Data Sheet'!E20:E22)-1*'Data Sheet'!E19,0)</f>
        <v>4815.6899999999996</v>
      </c>
      <c r="G13" s="28">
        <f>IFERROR(SUM('Data Sheet'!F18,'Data Sheet'!F20:F22)-1*'Data Sheet'!F19,0)</f>
        <v>5452.0300000000007</v>
      </c>
      <c r="H13" s="28">
        <f>IFERROR(SUM('Data Sheet'!G18,'Data Sheet'!G20:G22)-1*'Data Sheet'!G19,0)</f>
        <v>5517.71</v>
      </c>
      <c r="I13" s="28">
        <f>IFERROR(SUM('Data Sheet'!H18,'Data Sheet'!H20:H22)-1*'Data Sheet'!H19,0)</f>
        <v>6043.3500000000013</v>
      </c>
      <c r="J13" s="28">
        <f>IFERROR(SUM('Data Sheet'!I18,'Data Sheet'!I20:I22)-1*'Data Sheet'!I19,0)</f>
        <v>6994.73</v>
      </c>
      <c r="K13" s="28">
        <f>IFERROR(SUM('Data Sheet'!J18,'Data Sheet'!J20:J22)-1*'Data Sheet'!J19,0)</f>
        <v>7740.17</v>
      </c>
      <c r="L13" s="28">
        <f>IFERROR(SUM('Data Sheet'!K18,'Data Sheet'!K20:K22)-1*'Data Sheet'!K19,0)</f>
        <v>8014.829999999999</v>
      </c>
      <c r="M13" s="254"/>
    </row>
    <row r="14" spans="1:36" x14ac:dyDescent="0.3">
      <c r="B14" s="25" t="s">
        <v>100</v>
      </c>
      <c r="C14" s="27">
        <f>C13/C10</f>
        <v>0.5896871139594817</v>
      </c>
      <c r="D14" s="27">
        <f t="shared" ref="D14:L14" si="1">D13/D10</f>
        <v>0.60769365242182827</v>
      </c>
      <c r="E14" s="27">
        <f t="shared" si="1"/>
        <v>0.62542506228993144</v>
      </c>
      <c r="F14" s="27">
        <f t="shared" si="1"/>
        <v>0.62364459294081076</v>
      </c>
      <c r="G14" s="27">
        <f t="shared" si="1"/>
        <v>0.64028613069422291</v>
      </c>
      <c r="H14" s="27">
        <f t="shared" si="1"/>
        <v>0.63534124615412968</v>
      </c>
      <c r="I14" s="27">
        <f t="shared" si="1"/>
        <v>0.63204049510283278</v>
      </c>
      <c r="J14" s="27">
        <f t="shared" si="1"/>
        <v>0.64238548657872208</v>
      </c>
      <c r="K14" s="27">
        <f t="shared" si="1"/>
        <v>0.67131342970314556</v>
      </c>
      <c r="L14" s="27">
        <f t="shared" si="1"/>
        <v>0.64614830204103346</v>
      </c>
      <c r="AD14" s="113"/>
      <c r="AE14" s="114"/>
      <c r="AF14" s="114"/>
      <c r="AG14" s="114"/>
      <c r="AH14" s="114"/>
      <c r="AI14" s="114"/>
      <c r="AJ14" s="114"/>
    </row>
    <row r="15" spans="1:36" ht="15" thickBot="1" x14ac:dyDescent="0.35">
      <c r="AD15" s="115"/>
      <c r="AE15" s="116"/>
      <c r="AF15" s="116"/>
      <c r="AG15" s="116"/>
      <c r="AH15" s="116"/>
      <c r="AI15" s="116"/>
      <c r="AJ15" s="117"/>
    </row>
    <row r="16" spans="1:36" ht="15" thickBot="1" x14ac:dyDescent="0.35">
      <c r="B16" s="37" t="s">
        <v>101</v>
      </c>
      <c r="C16" s="38">
        <f t="shared" ref="C16:L16" si="2">C10-C13</f>
        <v>3198.59</v>
      </c>
      <c r="D16" s="38">
        <f t="shared" si="2"/>
        <v>3052.0099999999993</v>
      </c>
      <c r="E16" s="38">
        <f t="shared" si="2"/>
        <v>2851.8600000000006</v>
      </c>
      <c r="F16" s="38">
        <f t="shared" si="2"/>
        <v>2906.1600000000008</v>
      </c>
      <c r="G16" s="38">
        <f t="shared" si="2"/>
        <v>3062.9599999999991</v>
      </c>
      <c r="H16" s="38">
        <f t="shared" si="2"/>
        <v>3166.9299999999994</v>
      </c>
      <c r="I16" s="38">
        <f t="shared" si="2"/>
        <v>3518.2999999999984</v>
      </c>
      <c r="J16" s="38">
        <f t="shared" si="2"/>
        <v>3893.9500000000007</v>
      </c>
      <c r="K16" s="38">
        <f t="shared" si="2"/>
        <v>3789.7199999999993</v>
      </c>
      <c r="L16" s="38">
        <f t="shared" si="2"/>
        <v>4389.1800000000012</v>
      </c>
      <c r="AD16" s="115"/>
      <c r="AE16" s="116"/>
      <c r="AF16" s="116"/>
      <c r="AG16" s="116"/>
      <c r="AH16" s="116"/>
      <c r="AI16" s="116"/>
      <c r="AJ16" s="117"/>
    </row>
    <row r="17" spans="2:36" x14ac:dyDescent="0.3">
      <c r="B17" s="25" t="s">
        <v>106</v>
      </c>
      <c r="C17" s="27">
        <f>C16/C10</f>
        <v>0.41031288604051835</v>
      </c>
      <c r="D17" s="27">
        <f t="shared" ref="D17:L17" si="3">D16/D10</f>
        <v>0.39230634757817173</v>
      </c>
      <c r="E17" s="27">
        <f t="shared" si="3"/>
        <v>0.3745749377100685</v>
      </c>
      <c r="F17" s="27">
        <f t="shared" si="3"/>
        <v>0.37635540705918924</v>
      </c>
      <c r="G17" s="27">
        <f t="shared" si="3"/>
        <v>0.35971386930577715</v>
      </c>
      <c r="H17" s="27">
        <f t="shared" si="3"/>
        <v>0.36465875384587038</v>
      </c>
      <c r="I17" s="27">
        <f t="shared" si="3"/>
        <v>0.36795950489716717</v>
      </c>
      <c r="J17" s="27">
        <f t="shared" si="3"/>
        <v>0.35761451342127792</v>
      </c>
      <c r="K17" s="27">
        <f t="shared" si="3"/>
        <v>0.3286865702968545</v>
      </c>
      <c r="L17" s="27">
        <f t="shared" si="3"/>
        <v>0.35385169795896659</v>
      </c>
      <c r="AD17" s="115"/>
      <c r="AE17" s="116"/>
      <c r="AF17" s="116"/>
      <c r="AG17" s="116"/>
      <c r="AH17" s="116"/>
      <c r="AI17" s="116"/>
      <c r="AJ17" s="117"/>
    </row>
    <row r="18" spans="2:36" x14ac:dyDescent="0.3">
      <c r="AD18" s="115"/>
      <c r="AE18" s="116"/>
      <c r="AF18" s="116"/>
      <c r="AG18" s="116"/>
      <c r="AH18" s="116"/>
      <c r="AI18" s="116"/>
      <c r="AJ18" s="117"/>
    </row>
    <row r="19" spans="2:36" x14ac:dyDescent="0.3">
      <c r="B19" t="s">
        <v>102</v>
      </c>
      <c r="C19" s="28">
        <f>IFERROR(SUM('Data Sheet'!B23:B24),0)</f>
        <v>1878.3700000000001</v>
      </c>
      <c r="D19" s="28">
        <f>IFERROR(SUM('Data Sheet'!C23:C24),0)</f>
        <v>1533.73</v>
      </c>
      <c r="E19" s="28">
        <f>IFERROR(SUM('Data Sheet'!D23:D24),0)</f>
        <v>1340.25</v>
      </c>
      <c r="F19" s="28">
        <f>IFERROR(SUM('Data Sheet'!E23:E24),0)</f>
        <v>1288.72</v>
      </c>
      <c r="G19" s="28">
        <f>IFERROR(SUM('Data Sheet'!F23:F24),0)</f>
        <v>1323.3999999999999</v>
      </c>
      <c r="H19" s="28">
        <f>IFERROR(SUM('Data Sheet'!G23:G24),0)</f>
        <v>1374.59</v>
      </c>
      <c r="I19" s="28">
        <f>IFERROR(SUM('Data Sheet'!H23:H24),0)</f>
        <v>1516.63</v>
      </c>
      <c r="J19" s="28">
        <f>IFERROR(SUM('Data Sheet'!I23:I24),0)</f>
        <v>1641.94</v>
      </c>
      <c r="K19" s="28">
        <f>IFERROR(SUM('Data Sheet'!J23:J24),0)</f>
        <v>1627.23</v>
      </c>
      <c r="L19" s="28">
        <f>IFERROR(SUM('Data Sheet'!K23:K24),0)</f>
        <v>1989.46</v>
      </c>
      <c r="AD19" s="115"/>
      <c r="AE19" s="116"/>
      <c r="AF19" s="116"/>
      <c r="AG19" s="116"/>
      <c r="AH19" s="116"/>
      <c r="AI19" s="116"/>
      <c r="AJ19" s="117"/>
    </row>
    <row r="20" spans="2:36" x14ac:dyDescent="0.3">
      <c r="B20" s="25" t="s">
        <v>103</v>
      </c>
      <c r="C20" s="27">
        <f t="shared" ref="C20:L20" si="4">C19/C10</f>
        <v>0.24095598865497875</v>
      </c>
      <c r="D20" s="27">
        <f t="shared" si="4"/>
        <v>0.19714614777509556</v>
      </c>
      <c r="E20" s="27">
        <f t="shared" si="4"/>
        <v>0.17603390778857281</v>
      </c>
      <c r="F20" s="27">
        <f t="shared" si="4"/>
        <v>0.16689264878235138</v>
      </c>
      <c r="G20" s="27">
        <f t="shared" si="4"/>
        <v>0.15542002985323528</v>
      </c>
      <c r="H20" s="27">
        <f t="shared" si="4"/>
        <v>0.15827829363105436</v>
      </c>
      <c r="I20" s="27">
        <f t="shared" si="4"/>
        <v>0.15861592925907142</v>
      </c>
      <c r="J20" s="27">
        <f t="shared" si="4"/>
        <v>0.15079330093271176</v>
      </c>
      <c r="K20" s="27">
        <f t="shared" si="4"/>
        <v>0.14113144184376436</v>
      </c>
      <c r="L20" s="27">
        <f t="shared" si="4"/>
        <v>0.1603884550238189</v>
      </c>
      <c r="AD20" s="115"/>
      <c r="AE20" s="116"/>
      <c r="AF20" s="116"/>
      <c r="AG20" s="116"/>
      <c r="AH20" s="116"/>
      <c r="AI20" s="116"/>
      <c r="AJ20" s="117"/>
    </row>
    <row r="21" spans="2:36" ht="15" thickBot="1" x14ac:dyDescent="0.35">
      <c r="AD21" s="115"/>
      <c r="AE21" s="116"/>
      <c r="AF21" s="116"/>
      <c r="AG21" s="116"/>
      <c r="AH21" s="116"/>
      <c r="AI21" s="116"/>
      <c r="AJ21" s="117"/>
    </row>
    <row r="22" spans="2:36" ht="15" thickBot="1" x14ac:dyDescent="0.35">
      <c r="B22" s="37" t="s">
        <v>104</v>
      </c>
      <c r="C22" s="38">
        <f t="shared" ref="C22:L22" si="5">C16-C19</f>
        <v>1320.22</v>
      </c>
      <c r="D22" s="38">
        <f t="shared" si="5"/>
        <v>1518.2799999999993</v>
      </c>
      <c r="E22" s="38">
        <f t="shared" si="5"/>
        <v>1511.6100000000006</v>
      </c>
      <c r="F22" s="38">
        <f t="shared" si="5"/>
        <v>1617.4400000000007</v>
      </c>
      <c r="G22" s="38">
        <f t="shared" si="5"/>
        <v>1739.5599999999993</v>
      </c>
      <c r="H22" s="38">
        <f t="shared" si="5"/>
        <v>1792.3399999999995</v>
      </c>
      <c r="I22" s="38">
        <f t="shared" si="5"/>
        <v>2001.6699999999983</v>
      </c>
      <c r="J22" s="38">
        <f t="shared" si="5"/>
        <v>2252.0100000000007</v>
      </c>
      <c r="K22" s="38">
        <f t="shared" si="5"/>
        <v>2162.4899999999993</v>
      </c>
      <c r="L22" s="38">
        <f t="shared" si="5"/>
        <v>2399.7200000000012</v>
      </c>
      <c r="AD22" s="115"/>
      <c r="AE22" s="116"/>
      <c r="AF22" s="116"/>
      <c r="AG22" s="116"/>
      <c r="AH22" s="116"/>
      <c r="AI22" s="116"/>
      <c r="AJ22" s="117"/>
    </row>
    <row r="23" spans="2:36" x14ac:dyDescent="0.3">
      <c r="B23" s="25" t="s">
        <v>105</v>
      </c>
      <c r="C23" s="27">
        <f t="shared" ref="C23:L23" si="6">C22/C10</f>
        <v>0.16935689738553961</v>
      </c>
      <c r="D23" s="27">
        <f t="shared" si="6"/>
        <v>0.19516019980307614</v>
      </c>
      <c r="E23" s="27">
        <f t="shared" si="6"/>
        <v>0.19854102992149572</v>
      </c>
      <c r="F23" s="27">
        <f t="shared" si="6"/>
        <v>0.20946275827683788</v>
      </c>
      <c r="G23" s="27">
        <f t="shared" si="6"/>
        <v>0.20429383945254184</v>
      </c>
      <c r="H23" s="27">
        <f t="shared" si="6"/>
        <v>0.20638046021481599</v>
      </c>
      <c r="I23" s="27">
        <f t="shared" si="6"/>
        <v>0.20934357563809575</v>
      </c>
      <c r="J23" s="27">
        <f t="shared" si="6"/>
        <v>0.20682121248856616</v>
      </c>
      <c r="K23" s="27">
        <f t="shared" si="6"/>
        <v>0.18755512845309014</v>
      </c>
      <c r="L23" s="27">
        <f t="shared" si="6"/>
        <v>0.19346324293514769</v>
      </c>
      <c r="AD23" s="115"/>
      <c r="AE23" s="116"/>
      <c r="AF23" s="116"/>
      <c r="AG23" s="116"/>
      <c r="AH23" s="116"/>
      <c r="AI23" s="116"/>
      <c r="AJ23" s="117"/>
    </row>
    <row r="24" spans="2:36" x14ac:dyDescent="0.3">
      <c r="AD24" s="115"/>
      <c r="AE24" s="116"/>
      <c r="AF24" s="116"/>
      <c r="AG24" s="116"/>
      <c r="AH24" s="116"/>
      <c r="AI24" s="116"/>
      <c r="AJ24" s="117"/>
    </row>
    <row r="25" spans="2:36" x14ac:dyDescent="0.3">
      <c r="B25" t="s">
        <v>11</v>
      </c>
      <c r="C25" s="29">
        <f>IFERROR('Data Sheet'!B27,0)</f>
        <v>40.119999999999997</v>
      </c>
      <c r="D25" s="29">
        <f>IFERROR('Data Sheet'!C27,0)</f>
        <v>48.48</v>
      </c>
      <c r="E25" s="29">
        <f>IFERROR('Data Sheet'!D27,0)</f>
        <v>54.03</v>
      </c>
      <c r="F25" s="29">
        <f>IFERROR('Data Sheet'!E27,0)</f>
        <v>53.05</v>
      </c>
      <c r="G25" s="29">
        <f>IFERROR('Data Sheet'!F27,0)</f>
        <v>59.58</v>
      </c>
      <c r="H25" s="29">
        <f>IFERROR('Data Sheet'!G27,0)</f>
        <v>49.54</v>
      </c>
      <c r="I25" s="29">
        <f>IFERROR('Data Sheet'!H27,0)</f>
        <v>30.81</v>
      </c>
      <c r="J25" s="29">
        <f>IFERROR('Data Sheet'!I27,0)</f>
        <v>38.6</v>
      </c>
      <c r="K25" s="29">
        <f>IFERROR('Data Sheet'!J27,0)</f>
        <v>78.239999999999995</v>
      </c>
      <c r="L25" s="29">
        <f>IFERROR('Data Sheet'!K27,0)</f>
        <v>124.18</v>
      </c>
      <c r="AD25" s="115"/>
      <c r="AE25" s="116"/>
      <c r="AF25" s="116"/>
      <c r="AG25" s="116"/>
      <c r="AH25" s="116"/>
      <c r="AI25" s="116"/>
      <c r="AJ25" s="117"/>
    </row>
    <row r="26" spans="2:36" x14ac:dyDescent="0.3">
      <c r="B26" s="25" t="s">
        <v>107</v>
      </c>
      <c r="C26" s="27">
        <f>C25/C10</f>
        <v>5.1465655141626756E-3</v>
      </c>
      <c r="D26" s="27">
        <f t="shared" ref="D26:L26" si="7">D25/D10</f>
        <v>6.2316348015208885E-3</v>
      </c>
      <c r="E26" s="27">
        <f t="shared" si="7"/>
        <v>7.0965208265745859E-3</v>
      </c>
      <c r="F26" s="27">
        <f t="shared" si="7"/>
        <v>6.870115322105453E-3</v>
      </c>
      <c r="G26" s="27">
        <f t="shared" si="7"/>
        <v>6.9970722220460621E-3</v>
      </c>
      <c r="H26" s="27">
        <f t="shared" si="7"/>
        <v>5.7043239558576984E-3</v>
      </c>
      <c r="I26" s="27">
        <f t="shared" si="7"/>
        <v>3.2222472062876178E-3</v>
      </c>
      <c r="J26" s="27">
        <f t="shared" si="7"/>
        <v>3.5449659646531995E-3</v>
      </c>
      <c r="K26" s="27">
        <f t="shared" si="7"/>
        <v>6.7858409750656771E-3</v>
      </c>
      <c r="L26" s="27">
        <f t="shared" si="7"/>
        <v>1.0011278610707344E-2</v>
      </c>
      <c r="AD26" s="115"/>
      <c r="AE26" s="311"/>
      <c r="AF26" s="311"/>
      <c r="AG26" s="311"/>
      <c r="AH26" s="311"/>
      <c r="AI26" s="311"/>
      <c r="AJ26" s="311"/>
    </row>
    <row r="27" spans="2:36" x14ac:dyDescent="0.3">
      <c r="AD27" s="115"/>
      <c r="AE27" s="116"/>
      <c r="AF27" s="116"/>
      <c r="AG27" s="116"/>
      <c r="AH27" s="116"/>
      <c r="AI27" s="116"/>
      <c r="AJ27" s="117"/>
    </row>
    <row r="28" spans="2:36" x14ac:dyDescent="0.3">
      <c r="B28" t="s">
        <v>10</v>
      </c>
      <c r="C28" s="29">
        <f>IFERROR('Data Sheet'!B26,0)</f>
        <v>114.98</v>
      </c>
      <c r="D28" s="29">
        <f>IFERROR('Data Sheet'!C26,0)</f>
        <v>133.19</v>
      </c>
      <c r="E28" s="29">
        <f>IFERROR('Data Sheet'!D26,0)</f>
        <v>142.86000000000001</v>
      </c>
      <c r="F28" s="29">
        <f>IFERROR('Data Sheet'!E26,0)</f>
        <v>162.18</v>
      </c>
      <c r="G28" s="29">
        <f>IFERROR('Data Sheet'!F26,0)</f>
        <v>176.9</v>
      </c>
      <c r="H28" s="29">
        <f>IFERROR('Data Sheet'!G26,0)</f>
        <v>220.45</v>
      </c>
      <c r="I28" s="29">
        <f>IFERROR('Data Sheet'!H26,0)</f>
        <v>240.13</v>
      </c>
      <c r="J28" s="29">
        <f>IFERROR('Data Sheet'!I26,0)</f>
        <v>252.89</v>
      </c>
      <c r="K28" s="29">
        <f>IFERROR('Data Sheet'!J26,0)</f>
        <v>310.95999999999998</v>
      </c>
      <c r="L28" s="29">
        <f>IFERROR('Data Sheet'!K26,0)</f>
        <v>399.21</v>
      </c>
      <c r="AD28" s="115"/>
      <c r="AE28" s="116"/>
      <c r="AF28" s="116"/>
      <c r="AG28" s="116"/>
      <c r="AH28" s="116"/>
      <c r="AI28" s="116"/>
      <c r="AJ28" s="117"/>
    </row>
    <row r="29" spans="2:36" x14ac:dyDescent="0.3">
      <c r="B29" s="25" t="s">
        <v>108</v>
      </c>
      <c r="C29" s="27">
        <f>C28/C10</f>
        <v>1.4749553908734411E-2</v>
      </c>
      <c r="D29" s="27">
        <f t="shared" ref="D29:L29" si="8">D28/D10</f>
        <v>1.7120285462346684E-2</v>
      </c>
      <c r="E29" s="27">
        <f t="shared" si="8"/>
        <v>1.8763815755773558E-2</v>
      </c>
      <c r="F29" s="27">
        <f t="shared" si="8"/>
        <v>2.1002738980943687E-2</v>
      </c>
      <c r="G29" s="27">
        <f t="shared" si="8"/>
        <v>2.0775127158105883E-2</v>
      </c>
      <c r="H29" s="27">
        <f t="shared" si="8"/>
        <v>2.5383896166104754E-2</v>
      </c>
      <c r="I29" s="27">
        <f t="shared" si="8"/>
        <v>2.5113866330601937E-2</v>
      </c>
      <c r="J29" s="27">
        <f t="shared" si="8"/>
        <v>2.322503737826807E-2</v>
      </c>
      <c r="K29" s="27">
        <f t="shared" si="8"/>
        <v>2.6969901707648555E-2</v>
      </c>
      <c r="L29" s="27">
        <f t="shared" si="8"/>
        <v>3.2183946965537752E-2</v>
      </c>
      <c r="AD29" s="115"/>
      <c r="AE29" s="116"/>
      <c r="AF29" s="116"/>
      <c r="AG29" s="116"/>
      <c r="AH29" s="116"/>
      <c r="AI29" s="116"/>
      <c r="AJ29" s="117"/>
    </row>
    <row r="30" spans="2:36" ht="15" thickBot="1" x14ac:dyDescent="0.35">
      <c r="AD30" s="115"/>
      <c r="AE30" s="116"/>
      <c r="AF30" s="116"/>
      <c r="AG30" s="116"/>
      <c r="AH30" s="116"/>
      <c r="AI30" s="116"/>
      <c r="AJ30" s="117"/>
    </row>
    <row r="31" spans="2:36" ht="15" thickBot="1" x14ac:dyDescent="0.35">
      <c r="B31" s="37" t="s">
        <v>109</v>
      </c>
      <c r="C31" s="38">
        <f>IFERROR(C22-SUM(C28,C25),0)</f>
        <v>1165.1200000000001</v>
      </c>
      <c r="D31" s="38">
        <f t="shared" ref="D31:L31" si="9">IFERROR(D22-SUM(D28,D25),0)</f>
        <v>1336.6099999999992</v>
      </c>
      <c r="E31" s="38">
        <f t="shared" si="9"/>
        <v>1314.7200000000005</v>
      </c>
      <c r="F31" s="38">
        <f t="shared" si="9"/>
        <v>1402.2100000000007</v>
      </c>
      <c r="G31" s="38">
        <f t="shared" si="9"/>
        <v>1503.0799999999992</v>
      </c>
      <c r="H31" s="38">
        <f t="shared" si="9"/>
        <v>1522.3499999999995</v>
      </c>
      <c r="I31" s="38">
        <f t="shared" si="9"/>
        <v>1730.7299999999982</v>
      </c>
      <c r="J31" s="38">
        <f t="shared" si="9"/>
        <v>1960.5200000000007</v>
      </c>
      <c r="K31" s="38">
        <f t="shared" si="9"/>
        <v>1773.2899999999993</v>
      </c>
      <c r="L31" s="38">
        <f t="shared" si="9"/>
        <v>1876.3300000000013</v>
      </c>
      <c r="AD31" s="115"/>
      <c r="AE31" s="116"/>
      <c r="AF31" s="116"/>
      <c r="AG31" s="116"/>
      <c r="AH31" s="116"/>
      <c r="AI31" s="116"/>
      <c r="AJ31" s="117"/>
    </row>
    <row r="32" spans="2:36" x14ac:dyDescent="0.3">
      <c r="B32" s="25" t="s">
        <v>110</v>
      </c>
      <c r="C32" s="27">
        <f>C31/C10</f>
        <v>0.14946077796264251</v>
      </c>
      <c r="D32" s="27">
        <f t="shared" ref="D32:L32" si="10">D31/D10</f>
        <v>0.17180827953920855</v>
      </c>
      <c r="E32" s="27">
        <f t="shared" si="10"/>
        <v>0.17268069333914757</v>
      </c>
      <c r="F32" s="27">
        <f t="shared" si="10"/>
        <v>0.18158990397378874</v>
      </c>
      <c r="G32" s="27">
        <f t="shared" si="10"/>
        <v>0.17652164007238991</v>
      </c>
      <c r="H32" s="27">
        <f t="shared" si="10"/>
        <v>0.17529224009285355</v>
      </c>
      <c r="I32" s="27">
        <f t="shared" si="10"/>
        <v>0.18100746210120619</v>
      </c>
      <c r="J32" s="27">
        <f t="shared" si="10"/>
        <v>0.1800512091456449</v>
      </c>
      <c r="K32" s="27">
        <f t="shared" si="10"/>
        <v>0.15379938577037588</v>
      </c>
      <c r="L32" s="27">
        <f t="shared" si="10"/>
        <v>0.15126801735890258</v>
      </c>
      <c r="AD32" s="115"/>
      <c r="AE32" s="116"/>
      <c r="AF32" s="116"/>
      <c r="AG32" s="116"/>
      <c r="AH32" s="116"/>
      <c r="AI32" s="116"/>
      <c r="AJ32" s="117"/>
    </row>
    <row r="33" spans="2:36" x14ac:dyDescent="0.3">
      <c r="AD33" s="115"/>
      <c r="AE33" s="116"/>
      <c r="AF33" s="116"/>
      <c r="AG33" s="116"/>
      <c r="AH33" s="116"/>
      <c r="AI33" s="116"/>
      <c r="AJ33" s="117"/>
    </row>
    <row r="34" spans="2:36" x14ac:dyDescent="0.3">
      <c r="B34" t="s">
        <v>13</v>
      </c>
      <c r="C34" s="28">
        <f>IFERROR('Data Sheet'!B29,0)</f>
        <v>250.89</v>
      </c>
      <c r="D34" s="28">
        <f>IFERROR('Data Sheet'!C29,0)</f>
        <v>299.89999999999998</v>
      </c>
      <c r="E34" s="28">
        <f>IFERROR('Data Sheet'!D29,0)</f>
        <v>330.34</v>
      </c>
      <c r="F34" s="28">
        <f>IFERROR('Data Sheet'!E29,0)</f>
        <v>335.35</v>
      </c>
      <c r="G34" s="28">
        <f>IFERROR('Data Sheet'!F29,0)</f>
        <v>278.62</v>
      </c>
      <c r="H34" s="28">
        <f>IFERROR('Data Sheet'!G29,0)</f>
        <v>279.72000000000003</v>
      </c>
      <c r="I34" s="28">
        <f>IFERROR('Data Sheet'!H29,0)</f>
        <v>361.07</v>
      </c>
      <c r="J34" s="28">
        <f>IFERROR('Data Sheet'!I29,0)</f>
        <v>526.38</v>
      </c>
      <c r="K34" s="28">
        <f>IFERROR('Data Sheet'!J29,0)</f>
        <v>517.35</v>
      </c>
      <c r="L34" s="28">
        <f>IFERROR('Data Sheet'!K29,0)</f>
        <v>547.42999999999995</v>
      </c>
      <c r="AD34" s="115"/>
      <c r="AE34" s="116"/>
      <c r="AF34" s="116"/>
      <c r="AG34" s="116"/>
      <c r="AH34" s="116"/>
      <c r="AI34" s="116"/>
      <c r="AJ34" s="117"/>
    </row>
    <row r="35" spans="2:36" x14ac:dyDescent="0.3">
      <c r="B35" s="25" t="s">
        <v>111</v>
      </c>
      <c r="C35" s="27">
        <f>C34/C31</f>
        <v>0.21533404284537211</v>
      </c>
      <c r="D35" s="27">
        <f t="shared" ref="D35:L35" si="11">D34/D31</f>
        <v>0.22437360187339625</v>
      </c>
      <c r="E35" s="27">
        <f t="shared" si="11"/>
        <v>0.25126262626262613</v>
      </c>
      <c r="F35" s="27">
        <f t="shared" si="11"/>
        <v>0.23915818600637553</v>
      </c>
      <c r="G35" s="27">
        <f t="shared" si="11"/>
        <v>0.18536604838065848</v>
      </c>
      <c r="H35" s="27">
        <f t="shared" si="11"/>
        <v>0.18374224061483899</v>
      </c>
      <c r="I35" s="27">
        <f t="shared" si="11"/>
        <v>0.20862295100911196</v>
      </c>
      <c r="J35" s="27">
        <f t="shared" si="11"/>
        <v>0.26848999245098232</v>
      </c>
      <c r="K35" s="27">
        <f t="shared" si="11"/>
        <v>0.2917458509324477</v>
      </c>
      <c r="L35" s="27">
        <f t="shared" si="11"/>
        <v>0.2917557146131009</v>
      </c>
      <c r="AD35" s="115"/>
      <c r="AE35" s="116"/>
      <c r="AF35" s="116"/>
      <c r="AG35" s="116"/>
      <c r="AH35" s="116"/>
      <c r="AI35" s="116"/>
      <c r="AJ35" s="117"/>
    </row>
    <row r="36" spans="2:36" ht="15" thickBot="1" x14ac:dyDescent="0.35">
      <c r="AD36" s="115"/>
      <c r="AE36" s="116"/>
      <c r="AF36" s="116"/>
      <c r="AG36" s="116"/>
      <c r="AH36" s="116"/>
      <c r="AI36" s="116"/>
      <c r="AJ36" s="117"/>
    </row>
    <row r="37" spans="2:36" ht="15" thickBot="1" x14ac:dyDescent="0.35">
      <c r="B37" s="37" t="s">
        <v>112</v>
      </c>
      <c r="C37" s="38">
        <f>IFERROR(C31-C34,0)</f>
        <v>914.23000000000013</v>
      </c>
      <c r="D37" s="38">
        <f t="shared" ref="D37:L37" si="12">IFERROR(D31-D34,0)</f>
        <v>1036.7099999999991</v>
      </c>
      <c r="E37" s="38">
        <f t="shared" si="12"/>
        <v>984.38000000000056</v>
      </c>
      <c r="F37" s="38">
        <f t="shared" si="12"/>
        <v>1066.8600000000006</v>
      </c>
      <c r="G37" s="38">
        <f t="shared" si="12"/>
        <v>1224.4599999999991</v>
      </c>
      <c r="H37" s="38">
        <f t="shared" si="12"/>
        <v>1242.6299999999994</v>
      </c>
      <c r="I37" s="38">
        <f t="shared" si="12"/>
        <v>1369.6599999999983</v>
      </c>
      <c r="J37" s="38">
        <f t="shared" si="12"/>
        <v>1434.1400000000008</v>
      </c>
      <c r="K37" s="38">
        <f t="shared" si="12"/>
        <v>1255.9399999999991</v>
      </c>
      <c r="L37" s="38">
        <f t="shared" si="12"/>
        <v>1328.9000000000015</v>
      </c>
      <c r="AD37" s="115"/>
      <c r="AE37" s="116"/>
      <c r="AF37" s="116"/>
      <c r="AG37" s="116"/>
      <c r="AH37" s="116"/>
      <c r="AI37" s="116"/>
      <c r="AJ37" s="117"/>
    </row>
    <row r="38" spans="2:36" x14ac:dyDescent="0.3">
      <c r="B38" s="25" t="s">
        <v>113</v>
      </c>
      <c r="C38" s="27">
        <f>C37/C10</f>
        <v>0.11727678439713221</v>
      </c>
      <c r="D38" s="27">
        <f t="shared" ref="D38:L38" si="13">D37/D10</f>
        <v>0.133259037027325</v>
      </c>
      <c r="E38" s="27">
        <f t="shared" si="13"/>
        <v>0.12929248882590216</v>
      </c>
      <c r="F38" s="27">
        <f t="shared" si="13"/>
        <v>0.1381611919423455</v>
      </c>
      <c r="G38" s="27">
        <f t="shared" si="13"/>
        <v>0.14380052119849807</v>
      </c>
      <c r="H38" s="27">
        <f t="shared" si="13"/>
        <v>0.14308365113579832</v>
      </c>
      <c r="I38" s="27">
        <f t="shared" si="13"/>
        <v>0.14324515120298256</v>
      </c>
      <c r="J38" s="27">
        <f t="shared" si="13"/>
        <v>0.13170926136134048</v>
      </c>
      <c r="K38" s="27">
        <f t="shared" si="13"/>
        <v>0.10892905309590978</v>
      </c>
      <c r="L38" s="27">
        <f t="shared" si="13"/>
        <v>0.10713470885624903</v>
      </c>
      <c r="AD38" s="115"/>
      <c r="AE38" s="116"/>
      <c r="AF38" s="116"/>
      <c r="AG38" s="116"/>
      <c r="AH38" s="116"/>
      <c r="AI38" s="116"/>
      <c r="AJ38" s="117"/>
    </row>
    <row r="39" spans="2:36" x14ac:dyDescent="0.3">
      <c r="AD39" s="115"/>
      <c r="AE39" s="116"/>
      <c r="AF39" s="116"/>
      <c r="AG39" s="116"/>
      <c r="AH39" s="116"/>
      <c r="AI39" s="116"/>
      <c r="AJ39" s="117"/>
    </row>
    <row r="40" spans="2:36" x14ac:dyDescent="0.3">
      <c r="B40" t="s">
        <v>74</v>
      </c>
      <c r="C40">
        <f>IFERROR('Data Sheet'!B93,0)</f>
        <v>175.65</v>
      </c>
      <c r="D40">
        <f>IFERROR('Data Sheet'!C93,0)</f>
        <v>175.91</v>
      </c>
      <c r="E40">
        <f>IFERROR('Data Sheet'!D93,0)</f>
        <v>176.15</v>
      </c>
      <c r="F40">
        <f>IFERROR('Data Sheet'!E93,0)</f>
        <v>176.15</v>
      </c>
      <c r="G40">
        <f>IFERROR('Data Sheet'!F93,0)</f>
        <v>176.63</v>
      </c>
      <c r="H40">
        <f>IFERROR('Data Sheet'!G93,0)</f>
        <v>176.71</v>
      </c>
      <c r="I40">
        <f>IFERROR('Data Sheet'!H93,0)</f>
        <v>176.74</v>
      </c>
      <c r="J40">
        <f>IFERROR('Data Sheet'!I93,0)</f>
        <v>176.79</v>
      </c>
      <c r="K40">
        <f>IFERROR('Data Sheet'!J93,0)</f>
        <v>177.18</v>
      </c>
      <c r="L40">
        <f>IFERROR('Data Sheet'!K93,0)</f>
        <v>177.2</v>
      </c>
      <c r="AD40" s="115"/>
      <c r="AE40" s="116"/>
      <c r="AF40" s="116"/>
      <c r="AG40" s="116"/>
      <c r="AH40" s="116"/>
      <c r="AI40" s="116"/>
      <c r="AJ40" s="117"/>
    </row>
    <row r="41" spans="2:36" x14ac:dyDescent="0.3">
      <c r="AD41" s="115"/>
      <c r="AE41" s="116"/>
      <c r="AF41" s="116"/>
      <c r="AG41" s="116"/>
      <c r="AH41" s="116"/>
      <c r="AI41" s="116"/>
      <c r="AJ41" s="117"/>
    </row>
    <row r="42" spans="2:36" x14ac:dyDescent="0.3">
      <c r="B42" t="s">
        <v>114</v>
      </c>
      <c r="C42" s="32">
        <f>IFERROR(C37/C40,0)</f>
        <v>5.2048391688015947</v>
      </c>
      <c r="D42" s="32">
        <f t="shared" ref="D42:L42" si="14">IFERROR(D37/D40,0)</f>
        <v>5.8934114035586331</v>
      </c>
      <c r="E42" s="32">
        <f t="shared" si="14"/>
        <v>5.5883054215157566</v>
      </c>
      <c r="F42" s="32">
        <f t="shared" si="14"/>
        <v>6.0565427192733496</v>
      </c>
      <c r="G42" s="32">
        <f t="shared" si="14"/>
        <v>6.9323444488478696</v>
      </c>
      <c r="H42" s="32">
        <f t="shared" si="14"/>
        <v>7.0320298794635239</v>
      </c>
      <c r="I42" s="32">
        <f t="shared" si="14"/>
        <v>7.7495756478442805</v>
      </c>
      <c r="J42" s="32">
        <f t="shared" si="14"/>
        <v>8.1121104134849311</v>
      </c>
      <c r="K42" s="32">
        <f t="shared" si="14"/>
        <v>7.0884975730895086</v>
      </c>
      <c r="L42" s="32">
        <f t="shared" si="14"/>
        <v>7.4994356659142296</v>
      </c>
      <c r="AD42" s="115"/>
      <c r="AE42" s="116"/>
      <c r="AF42" s="116"/>
      <c r="AG42" s="116"/>
      <c r="AH42" s="116"/>
      <c r="AI42" s="116"/>
      <c r="AJ42" s="117"/>
    </row>
    <row r="43" spans="2:36" x14ac:dyDescent="0.3">
      <c r="B43" s="25" t="s">
        <v>116</v>
      </c>
      <c r="C43" s="27" t="s">
        <v>98</v>
      </c>
      <c r="D43" s="27">
        <f>IFERROR(D42/C42-1,0)</f>
        <v>0.13229462283569093</v>
      </c>
      <c r="E43" s="27">
        <f t="shared" ref="E43:L43" si="15">IFERROR(E42/D42-1,0)</f>
        <v>-5.177069122624689E-2</v>
      </c>
      <c r="F43" s="27">
        <f t="shared" si="15"/>
        <v>8.3788780755399417E-2</v>
      </c>
      <c r="G43" s="27">
        <f t="shared" si="15"/>
        <v>0.1446042354803363</v>
      </c>
      <c r="H43" s="27">
        <f t="shared" si="15"/>
        <v>1.4379757288635719E-2</v>
      </c>
      <c r="I43" s="27">
        <f t="shared" si="15"/>
        <v>0.10203963587758502</v>
      </c>
      <c r="J43" s="27">
        <f t="shared" si="15"/>
        <v>4.6781240949818725E-2</v>
      </c>
      <c r="K43" s="27">
        <f t="shared" si="15"/>
        <v>-0.12618329734440614</v>
      </c>
      <c r="L43" s="27">
        <f t="shared" si="15"/>
        <v>5.7972523597213277E-2</v>
      </c>
      <c r="AD43" s="115"/>
      <c r="AE43" s="116"/>
      <c r="AF43" s="116"/>
      <c r="AG43" s="116"/>
      <c r="AH43" s="116"/>
      <c r="AI43" s="116"/>
      <c r="AJ43" s="117"/>
    </row>
    <row r="44" spans="2:36" x14ac:dyDescent="0.3">
      <c r="AD44" s="115"/>
      <c r="AE44" s="116"/>
      <c r="AF44" s="116"/>
      <c r="AG44" s="116"/>
      <c r="AH44" s="116"/>
      <c r="AI44" s="116"/>
      <c r="AJ44" s="117"/>
    </row>
    <row r="45" spans="2:36" x14ac:dyDescent="0.3">
      <c r="B45" t="s">
        <v>115</v>
      </c>
      <c r="C45" s="32">
        <f>IFERROR('Data Sheet'!B31/'Data Sheet'!B93,0)</f>
        <v>2</v>
      </c>
      <c r="D45" s="32">
        <f>IFERROR('Data Sheet'!C31/'Data Sheet'!C93,0)</f>
        <v>2.250014211812859</v>
      </c>
      <c r="E45" s="32">
        <f>IFERROR('Data Sheet'!D31/'Data Sheet'!D93,0)</f>
        <v>2.2500141924496164</v>
      </c>
      <c r="F45" s="32">
        <f>IFERROR('Data Sheet'!E31/'Data Sheet'!E93,0)</f>
        <v>6.2500141924496173</v>
      </c>
      <c r="G45" s="32">
        <f>IFERROR('Data Sheet'!F31/'Data Sheet'!F93,0)</f>
        <v>2.7499858461190061</v>
      </c>
      <c r="H45" s="32">
        <f>IFERROR('Data Sheet'!G31/'Data Sheet'!G93,0)</f>
        <v>3</v>
      </c>
      <c r="I45" s="32">
        <f>IFERROR('Data Sheet'!H31/'Data Sheet'!H93,0)</f>
        <v>4.7500282901437139</v>
      </c>
      <c r="J45" s="32">
        <f>IFERROR('Data Sheet'!I31/'Data Sheet'!I93,0)</f>
        <v>5.200011312857062</v>
      </c>
      <c r="K45" s="32">
        <f>IFERROR('Data Sheet'!J31/'Data Sheet'!J93,0)</f>
        <v>5.2000225759115022</v>
      </c>
      <c r="L45" s="32">
        <f>IFERROR('Data Sheet'!K31/'Data Sheet'!K93,0)</f>
        <v>5.5000000000000009</v>
      </c>
      <c r="AD45" s="115"/>
      <c r="AE45" s="116"/>
      <c r="AF45" s="116"/>
      <c r="AG45" s="116"/>
      <c r="AH45" s="116"/>
      <c r="AI45" s="116"/>
      <c r="AJ45" s="117"/>
    </row>
    <row r="46" spans="2:36" x14ac:dyDescent="0.3">
      <c r="B46" s="25" t="s">
        <v>117</v>
      </c>
      <c r="C46" s="27">
        <f t="shared" ref="C46:L46" si="16">C45/C42</f>
        <v>0.38425779070912131</v>
      </c>
      <c r="D46" s="27">
        <f t="shared" si="16"/>
        <v>0.38178468424149509</v>
      </c>
      <c r="E46" s="27">
        <f t="shared" si="16"/>
        <v>0.402629066011093</v>
      </c>
      <c r="F46" s="27">
        <f t="shared" si="16"/>
        <v>1.0319442101119167</v>
      </c>
      <c r="G46" s="27">
        <f t="shared" si="16"/>
        <v>0.39668915276938432</v>
      </c>
      <c r="H46" s="27">
        <f t="shared" si="16"/>
        <v>0.42661934767388549</v>
      </c>
      <c r="I46" s="27">
        <f t="shared" si="16"/>
        <v>0.61294043777287877</v>
      </c>
      <c r="J46" s="27">
        <f t="shared" si="16"/>
        <v>0.64101831062518255</v>
      </c>
      <c r="K46" s="27">
        <f t="shared" si="16"/>
        <v>0.73358599933117874</v>
      </c>
      <c r="L46" s="27">
        <f t="shared" si="16"/>
        <v>0.73338851681842054</v>
      </c>
      <c r="AD46" s="115"/>
      <c r="AE46" s="116"/>
      <c r="AF46" s="116"/>
      <c r="AG46" s="116"/>
      <c r="AH46" s="116"/>
      <c r="AI46" s="116"/>
      <c r="AJ46" s="117"/>
    </row>
    <row r="47" spans="2:36" x14ac:dyDescent="0.3">
      <c r="AD47" s="115"/>
      <c r="AE47" s="116"/>
      <c r="AF47" s="116"/>
      <c r="AG47" s="116"/>
      <c r="AH47" s="116"/>
      <c r="AI47" s="116"/>
      <c r="AJ47" s="117"/>
    </row>
    <row r="48" spans="2:36" x14ac:dyDescent="0.3">
      <c r="B48" t="s">
        <v>118</v>
      </c>
      <c r="C48" s="33">
        <f>IFERROR(IF(C42&gt;C45,1-C46,0),0)</f>
        <v>0.61574220929087864</v>
      </c>
      <c r="D48" s="33">
        <f t="shared" ref="D48:K48" si="17">IFERROR(IF(D42&gt;D45,1-D46,0),0)</f>
        <v>0.61821531575850486</v>
      </c>
      <c r="E48" s="33">
        <f t="shared" si="17"/>
        <v>0.59737093398890706</v>
      </c>
      <c r="F48" s="33">
        <f t="shared" si="17"/>
        <v>0</v>
      </c>
      <c r="G48" s="33">
        <f t="shared" si="17"/>
        <v>0.60331084723061568</v>
      </c>
      <c r="H48" s="33">
        <f t="shared" si="17"/>
        <v>0.57338065232611446</v>
      </c>
      <c r="I48" s="33">
        <f t="shared" si="17"/>
        <v>0.38705956222712123</v>
      </c>
      <c r="J48" s="33">
        <f t="shared" si="17"/>
        <v>0.35898168937481745</v>
      </c>
      <c r="K48" s="33">
        <f t="shared" si="17"/>
        <v>0.26641400066882126</v>
      </c>
      <c r="L48" s="33">
        <f>IFERROR(IF(L42&gt;L45,1-L46,0),0)</f>
        <v>0.26661148318157946</v>
      </c>
      <c r="AD48" s="115"/>
      <c r="AE48" s="116"/>
      <c r="AF48" s="116"/>
      <c r="AG48" s="116"/>
      <c r="AH48" s="116"/>
      <c r="AI48" s="116"/>
      <c r="AJ48" s="117"/>
    </row>
    <row r="49" spans="1:36" x14ac:dyDescent="0.3">
      <c r="AD49" s="115"/>
      <c r="AE49" s="116"/>
      <c r="AF49" s="116"/>
      <c r="AG49" s="116"/>
      <c r="AH49" s="116"/>
      <c r="AI49" s="116"/>
      <c r="AJ49" s="117"/>
    </row>
    <row r="50" spans="1:36" x14ac:dyDescent="0.3">
      <c r="A50" t="s">
        <v>95</v>
      </c>
      <c r="B50" s="284" t="s">
        <v>119</v>
      </c>
      <c r="C50" s="285"/>
      <c r="D50" s="285"/>
      <c r="E50" s="285"/>
      <c r="F50" s="285"/>
      <c r="G50" s="285"/>
      <c r="H50" s="285"/>
      <c r="I50" s="285"/>
      <c r="J50" s="285"/>
      <c r="K50" s="285"/>
      <c r="L50" s="285"/>
      <c r="AD50" s="115"/>
      <c r="AE50" s="116"/>
      <c r="AF50" s="116"/>
      <c r="AG50" s="116"/>
      <c r="AH50" s="116"/>
      <c r="AI50" s="116"/>
      <c r="AJ50" s="117"/>
    </row>
    <row r="51" spans="1:36" x14ac:dyDescent="0.3">
      <c r="B51" t="s">
        <v>24</v>
      </c>
      <c r="C51" s="28">
        <f>IFERROR('Data Sheet'!B57,0)</f>
        <v>175.65</v>
      </c>
      <c r="D51" s="28">
        <f>IFERROR('Data Sheet'!C57,0)</f>
        <v>175.91</v>
      </c>
      <c r="E51" s="28">
        <f>IFERROR('Data Sheet'!D57,0)</f>
        <v>176.15</v>
      </c>
      <c r="F51" s="28">
        <f>IFERROR('Data Sheet'!E57,0)</f>
        <v>176.15</v>
      </c>
      <c r="G51" s="28">
        <f>IFERROR('Data Sheet'!F57,0)</f>
        <v>176.63</v>
      </c>
      <c r="H51" s="28">
        <f>IFERROR('Data Sheet'!G57,0)</f>
        <v>176.71</v>
      </c>
      <c r="I51" s="28">
        <f>IFERROR('Data Sheet'!H57,0)</f>
        <v>176.74</v>
      </c>
      <c r="J51" s="28">
        <f>IFERROR('Data Sheet'!I57,0)</f>
        <v>176.79</v>
      </c>
      <c r="K51" s="28">
        <f>IFERROR('Data Sheet'!J57,0)</f>
        <v>177.18</v>
      </c>
      <c r="L51" s="28">
        <f>IFERROR('Data Sheet'!K57,0)</f>
        <v>177.2</v>
      </c>
      <c r="AD51" s="115"/>
      <c r="AE51" s="116"/>
      <c r="AF51" s="116"/>
      <c r="AG51" s="116"/>
      <c r="AH51" s="116"/>
      <c r="AI51" s="116"/>
      <c r="AJ51" s="117"/>
    </row>
    <row r="52" spans="1:36" x14ac:dyDescent="0.3">
      <c r="B52" t="s">
        <v>25</v>
      </c>
      <c r="C52" s="28">
        <f>IFERROR('Data Sheet'!B58,0)</f>
        <v>3178.49</v>
      </c>
      <c r="D52" s="28">
        <f>IFERROR('Data Sheet'!C58,0)</f>
        <v>3994.7</v>
      </c>
      <c r="E52" s="28">
        <f>IFERROR('Data Sheet'!D58,0)</f>
        <v>4671.24</v>
      </c>
      <c r="F52" s="28">
        <f>IFERROR('Data Sheet'!E58,0)</f>
        <v>5530.37</v>
      </c>
      <c r="G52" s="28">
        <f>IFERROR('Data Sheet'!F58,0)</f>
        <v>5455.05</v>
      </c>
      <c r="H52" s="28">
        <f>IFERROR('Data Sheet'!G58,0)</f>
        <v>6429.04</v>
      </c>
      <c r="I52" s="28">
        <f>IFERROR('Data Sheet'!H58,0)</f>
        <v>7486.79</v>
      </c>
      <c r="J52" s="28">
        <f>IFERROR('Data Sheet'!I58,0)</f>
        <v>8204.51</v>
      </c>
      <c r="K52" s="28">
        <f>IFERROR('Data Sheet'!J58,0)</f>
        <v>8796.08</v>
      </c>
      <c r="L52" s="28">
        <f>IFERROR('Data Sheet'!K58,0)</f>
        <v>9689.1</v>
      </c>
      <c r="AD52" s="115"/>
      <c r="AE52" s="116"/>
      <c r="AF52" s="116"/>
      <c r="AG52" s="116"/>
      <c r="AH52" s="116"/>
      <c r="AI52" s="116"/>
      <c r="AJ52" s="117"/>
    </row>
    <row r="53" spans="1:36" x14ac:dyDescent="0.3">
      <c r="B53" t="s">
        <v>71</v>
      </c>
      <c r="C53" s="28">
        <f>IFERROR('Data Sheet'!B59,0)</f>
        <v>733.56</v>
      </c>
      <c r="D53" s="28">
        <f>IFERROR('Data Sheet'!C59,0)</f>
        <v>805.22</v>
      </c>
      <c r="E53" s="28">
        <f>IFERROR('Data Sheet'!D59,0)</f>
        <v>975</v>
      </c>
      <c r="F53" s="28">
        <f>IFERROR('Data Sheet'!E59,0)</f>
        <v>937.59</v>
      </c>
      <c r="G53" s="28">
        <f>IFERROR('Data Sheet'!F59,0)</f>
        <v>699.37</v>
      </c>
      <c r="H53" s="28">
        <f>IFERROR('Data Sheet'!G59,0)</f>
        <v>521.99</v>
      </c>
      <c r="I53" s="28">
        <f>IFERROR('Data Sheet'!H59,0)</f>
        <v>509.06</v>
      </c>
      <c r="J53" s="28">
        <f>IFERROR('Data Sheet'!I59,0)</f>
        <v>1030.0999999999999</v>
      </c>
      <c r="K53" s="28">
        <f>IFERROR('Data Sheet'!J59,0)</f>
        <v>1173.79</v>
      </c>
      <c r="L53" s="28">
        <f>IFERROR('Data Sheet'!K59,0)</f>
        <v>1365.09</v>
      </c>
      <c r="AD53" s="115"/>
      <c r="AE53" s="116"/>
      <c r="AF53" s="116"/>
      <c r="AG53" s="116"/>
      <c r="AH53" s="116"/>
      <c r="AI53" s="116"/>
      <c r="AJ53" s="117"/>
    </row>
    <row r="54" spans="1:36" ht="15" thickBot="1" x14ac:dyDescent="0.35">
      <c r="B54" t="s">
        <v>72</v>
      </c>
      <c r="C54" s="28">
        <f>IFERROR('Data Sheet'!B60,0)</f>
        <v>2018.58</v>
      </c>
      <c r="D54" s="28">
        <f>IFERROR('Data Sheet'!C60,0)</f>
        <v>1956.47</v>
      </c>
      <c r="E54" s="28">
        <f>IFERROR('Data Sheet'!D60,0)</f>
        <v>1909.85</v>
      </c>
      <c r="F54" s="28">
        <f>IFERROR('Data Sheet'!E60,0)</f>
        <v>2057.52</v>
      </c>
      <c r="G54" s="28">
        <f>IFERROR('Data Sheet'!F60,0)</f>
        <v>2105.59</v>
      </c>
      <c r="H54" s="28">
        <f>IFERROR('Data Sheet'!G60,0)</f>
        <v>2208.84</v>
      </c>
      <c r="I54" s="28">
        <f>IFERROR('Data Sheet'!H60,0)</f>
        <v>2660.63</v>
      </c>
      <c r="J54" s="28">
        <f>IFERROR('Data Sheet'!I60,0)</f>
        <v>2872.46</v>
      </c>
      <c r="K54" s="28">
        <f>IFERROR('Data Sheet'!J60,0)</f>
        <v>3505.23</v>
      </c>
      <c r="L54" s="28">
        <f>IFERROR('Data Sheet'!K60,0)</f>
        <v>3884.97</v>
      </c>
      <c r="AD54" s="115"/>
      <c r="AE54" s="116"/>
      <c r="AF54" s="116"/>
      <c r="AG54" s="116"/>
      <c r="AH54" s="116"/>
      <c r="AI54" s="116"/>
      <c r="AJ54" s="117"/>
    </row>
    <row r="55" spans="1:36" ht="15" thickBot="1" x14ac:dyDescent="0.35">
      <c r="B55" s="37" t="s">
        <v>120</v>
      </c>
      <c r="C55" s="38">
        <f>IFERROR('Data Sheet'!B61,0)</f>
        <v>6106.28</v>
      </c>
      <c r="D55" s="38">
        <f>IFERROR('Data Sheet'!C61,0)</f>
        <v>6932.3</v>
      </c>
      <c r="E55" s="38">
        <f>IFERROR('Data Sheet'!D61,0)</f>
        <v>7732.24</v>
      </c>
      <c r="F55" s="38">
        <f>IFERROR('Data Sheet'!E61,0)</f>
        <v>8701.6299999999992</v>
      </c>
      <c r="G55" s="38">
        <f>IFERROR('Data Sheet'!F61,0)</f>
        <v>8436.64</v>
      </c>
      <c r="H55" s="38">
        <f>IFERROR('Data Sheet'!G61,0)</f>
        <v>9336.58</v>
      </c>
      <c r="I55" s="38">
        <f>IFERROR('Data Sheet'!H61,0)</f>
        <v>10833.22</v>
      </c>
      <c r="J55" s="38">
        <f>IFERROR('Data Sheet'!I61,0)</f>
        <v>12283.86</v>
      </c>
      <c r="K55" s="38">
        <f>IFERROR('Data Sheet'!J61,0)</f>
        <v>13652.28</v>
      </c>
      <c r="L55" s="38">
        <f>IFERROR('Data Sheet'!K61,0)</f>
        <v>15116.36</v>
      </c>
      <c r="AD55" s="115"/>
      <c r="AE55" s="116"/>
      <c r="AF55" s="116"/>
      <c r="AG55" s="116"/>
      <c r="AH55" s="116"/>
      <c r="AI55" s="116"/>
      <c r="AJ55" s="117"/>
    </row>
    <row r="56" spans="1:36" x14ac:dyDescent="0.3">
      <c r="B56" s="2"/>
      <c r="C56" s="28"/>
      <c r="D56" s="28"/>
      <c r="E56" s="28"/>
      <c r="F56" s="28"/>
      <c r="G56" s="28"/>
      <c r="H56" s="28"/>
      <c r="I56" s="28"/>
      <c r="J56" s="28"/>
      <c r="K56" s="28"/>
      <c r="L56" s="28"/>
      <c r="AD56" s="115"/>
      <c r="AE56" s="116"/>
      <c r="AF56" s="116"/>
      <c r="AG56" s="116"/>
      <c r="AH56" s="116"/>
      <c r="AI56" s="116"/>
      <c r="AJ56" s="117"/>
    </row>
    <row r="57" spans="1:36" x14ac:dyDescent="0.3">
      <c r="B57" t="s">
        <v>27</v>
      </c>
      <c r="C57" s="28">
        <f>IFERROR('Data Sheet'!B62,0)</f>
        <v>1877.13</v>
      </c>
      <c r="D57" s="28">
        <f>IFERROR('Data Sheet'!C62,0)</f>
        <v>1667.4</v>
      </c>
      <c r="E57" s="28">
        <f>IFERROR('Data Sheet'!D62,0)</f>
        <v>1958.4</v>
      </c>
      <c r="F57" s="28">
        <f>IFERROR('Data Sheet'!E62,0)</f>
        <v>2028.11</v>
      </c>
      <c r="G57" s="28">
        <f>IFERROR('Data Sheet'!F62,0)</f>
        <v>1969.06</v>
      </c>
      <c r="H57" s="28">
        <f>IFERROR('Data Sheet'!G62,0)</f>
        <v>2252.6799999999998</v>
      </c>
      <c r="I57" s="28">
        <f>IFERROR('Data Sheet'!H62,0)</f>
        <v>2242.92</v>
      </c>
      <c r="J57" s="28">
        <f>IFERROR('Data Sheet'!I62,0)</f>
        <v>2307.9</v>
      </c>
      <c r="K57" s="28">
        <f>IFERROR('Data Sheet'!J62,0)</f>
        <v>3578.65</v>
      </c>
      <c r="L57" s="28">
        <f>IFERROR('Data Sheet'!K62,0)</f>
        <v>3815</v>
      </c>
      <c r="AD57" s="115"/>
      <c r="AE57" s="116"/>
      <c r="AF57" s="116"/>
      <c r="AG57" s="116"/>
      <c r="AH57" s="116"/>
      <c r="AI57" s="116"/>
      <c r="AJ57" s="117"/>
    </row>
    <row r="58" spans="1:36" x14ac:dyDescent="0.3">
      <c r="B58" t="s">
        <v>28</v>
      </c>
      <c r="C58" s="28">
        <f>IFERROR('Data Sheet'!B63,0)</f>
        <v>50.3</v>
      </c>
      <c r="D58" s="28">
        <f>IFERROR('Data Sheet'!C63,0)</f>
        <v>44.8</v>
      </c>
      <c r="E58" s="28">
        <f>IFERROR('Data Sheet'!D63,0)</f>
        <v>42.1</v>
      </c>
      <c r="F58" s="28">
        <f>IFERROR('Data Sheet'!E63,0)</f>
        <v>41.51</v>
      </c>
      <c r="G58" s="28">
        <f>IFERROR('Data Sheet'!F63,0)</f>
        <v>63.76</v>
      </c>
      <c r="H58" s="28">
        <f>IFERROR('Data Sheet'!G63,0)</f>
        <v>146.57</v>
      </c>
      <c r="I58" s="28">
        <f>IFERROR('Data Sheet'!H63,0)</f>
        <v>147.30000000000001</v>
      </c>
      <c r="J58" s="28">
        <f>IFERROR('Data Sheet'!I63,0)</f>
        <v>167.5</v>
      </c>
      <c r="K58" s="28">
        <f>IFERROR('Data Sheet'!J63,0)</f>
        <v>175.13</v>
      </c>
      <c r="L58" s="28">
        <f>IFERROR('Data Sheet'!K63,0)</f>
        <v>232.23</v>
      </c>
      <c r="AD58" s="115"/>
      <c r="AE58" s="116"/>
      <c r="AF58" s="116"/>
      <c r="AG58" s="116"/>
      <c r="AH58" s="116"/>
      <c r="AI58" s="116"/>
      <c r="AJ58" s="117"/>
    </row>
    <row r="59" spans="1:36" x14ac:dyDescent="0.3">
      <c r="B59" t="s">
        <v>29</v>
      </c>
      <c r="C59" s="28">
        <f>IFERROR('Data Sheet'!B64,0)</f>
        <v>1813.37</v>
      </c>
      <c r="D59" s="28">
        <f>IFERROR('Data Sheet'!C64,0)</f>
        <v>2690.74</v>
      </c>
      <c r="E59" s="28">
        <f>IFERROR('Data Sheet'!D64,0)</f>
        <v>3240.16</v>
      </c>
      <c r="F59" s="28">
        <f>IFERROR('Data Sheet'!E64,0)</f>
        <v>3805.17</v>
      </c>
      <c r="G59" s="28">
        <f>IFERROR('Data Sheet'!F64,0)</f>
        <v>3358.76</v>
      </c>
      <c r="H59" s="28">
        <f>IFERROR('Data Sheet'!G64,0)</f>
        <v>2800.26</v>
      </c>
      <c r="I59" s="28">
        <f>IFERROR('Data Sheet'!H64,0)</f>
        <v>4159.63</v>
      </c>
      <c r="J59" s="28">
        <f>IFERROR('Data Sheet'!I64,0)</f>
        <v>6219.62</v>
      </c>
      <c r="K59" s="28">
        <f>IFERROR('Data Sheet'!J64,0)</f>
        <v>6265.26</v>
      </c>
      <c r="L59" s="28">
        <f>IFERROR('Data Sheet'!K64,0)</f>
        <v>6932.69</v>
      </c>
      <c r="AD59" s="115"/>
      <c r="AE59" s="116"/>
      <c r="AF59" s="116"/>
      <c r="AG59" s="116"/>
      <c r="AH59" s="116"/>
      <c r="AI59" s="116"/>
      <c r="AJ59" s="117"/>
    </row>
    <row r="60" spans="1:36" ht="15" thickBot="1" x14ac:dyDescent="0.35">
      <c r="B60" t="s">
        <v>73</v>
      </c>
      <c r="C60" s="28">
        <f>IFERROR('Data Sheet'!B65-SUM('Data Sheet'!B67:B69),0)</f>
        <v>405.32999999999993</v>
      </c>
      <c r="D60" s="28">
        <f>IFERROR('Data Sheet'!C65-SUM('Data Sheet'!C67:C69),0)</f>
        <v>403.84000000000015</v>
      </c>
      <c r="E60" s="28">
        <f>IFERROR('Data Sheet'!D65-SUM('Data Sheet'!D67:D69),0)</f>
        <v>429.63999999999987</v>
      </c>
      <c r="F60" s="28">
        <f>IFERROR('Data Sheet'!E65-SUM('Data Sheet'!E67:E69),0)</f>
        <v>558.52</v>
      </c>
      <c r="G60" s="28">
        <f>IFERROR('Data Sheet'!F65-SUM('Data Sheet'!F67:F69),0)</f>
        <v>582.80999999999995</v>
      </c>
      <c r="H60" s="28">
        <f>IFERROR('Data Sheet'!G65-SUM('Data Sheet'!G67:G69),0)</f>
        <v>1132.2399999999998</v>
      </c>
      <c r="I60" s="28">
        <f>IFERROR('Data Sheet'!H65-SUM('Data Sheet'!H67:H69),0)</f>
        <v>658.47999999999956</v>
      </c>
      <c r="J60" s="28">
        <f>IFERROR('Data Sheet'!I65-SUM('Data Sheet'!I67:I69),0)</f>
        <v>461.18000000000029</v>
      </c>
      <c r="K60" s="28">
        <f>IFERROR('Data Sheet'!J65-SUM('Data Sheet'!J67:J69),0)</f>
        <v>434.36999999999989</v>
      </c>
      <c r="L60" s="28">
        <f>IFERROR('Data Sheet'!K65-SUM('Data Sheet'!K67:K69),0)</f>
        <v>624.38999999999942</v>
      </c>
      <c r="AD60" s="115"/>
      <c r="AE60" s="116"/>
      <c r="AF60" s="116"/>
      <c r="AG60" s="116"/>
      <c r="AH60" s="116"/>
      <c r="AI60" s="116"/>
      <c r="AJ60" s="117"/>
    </row>
    <row r="61" spans="1:36" ht="15" thickBot="1" x14ac:dyDescent="0.35">
      <c r="B61" s="37" t="s">
        <v>121</v>
      </c>
      <c r="C61" s="38">
        <f>SUM(C57:C60)</f>
        <v>4146.13</v>
      </c>
      <c r="D61" s="38">
        <f t="shared" ref="D61:L61" si="18">SUM(D57:D60)</f>
        <v>4806.78</v>
      </c>
      <c r="E61" s="38">
        <f t="shared" si="18"/>
        <v>5670.2999999999993</v>
      </c>
      <c r="F61" s="38">
        <f t="shared" si="18"/>
        <v>6433.3099999999995</v>
      </c>
      <c r="G61" s="38">
        <f t="shared" si="18"/>
        <v>5974.3899999999994</v>
      </c>
      <c r="H61" s="38">
        <f t="shared" si="18"/>
        <v>6331.75</v>
      </c>
      <c r="I61" s="38">
        <f t="shared" si="18"/>
        <v>7208.33</v>
      </c>
      <c r="J61" s="38">
        <f t="shared" si="18"/>
        <v>9156.2000000000007</v>
      </c>
      <c r="K61" s="38">
        <f t="shared" si="18"/>
        <v>10453.41</v>
      </c>
      <c r="L61" s="38">
        <f t="shared" si="18"/>
        <v>11604.31</v>
      </c>
      <c r="AD61" s="115"/>
      <c r="AE61" s="116"/>
      <c r="AF61" s="116"/>
      <c r="AG61" s="116"/>
      <c r="AH61" s="116"/>
      <c r="AI61" s="116"/>
      <c r="AJ61" s="117"/>
    </row>
    <row r="62" spans="1:36" x14ac:dyDescent="0.3">
      <c r="C62" s="28"/>
      <c r="D62" s="28"/>
      <c r="E62" s="28"/>
      <c r="F62" s="28"/>
      <c r="G62" s="28"/>
      <c r="H62" s="28"/>
      <c r="I62" s="28"/>
      <c r="J62" s="28"/>
      <c r="K62" s="28"/>
      <c r="L62" s="28"/>
      <c r="AD62" s="115"/>
      <c r="AE62" s="116"/>
      <c r="AF62" s="116"/>
      <c r="AG62" s="116"/>
      <c r="AH62" s="116"/>
      <c r="AI62" s="116"/>
      <c r="AJ62" s="117"/>
    </row>
    <row r="63" spans="1:36" x14ac:dyDescent="0.3">
      <c r="B63" s="6" t="s">
        <v>78</v>
      </c>
      <c r="C63" s="28">
        <f>IFERROR('Data Sheet'!B67,0)</f>
        <v>710.84</v>
      </c>
      <c r="D63" s="28">
        <f>IFERROR('Data Sheet'!C67,0)</f>
        <v>809.2</v>
      </c>
      <c r="E63" s="28">
        <f>IFERROR('Data Sheet'!D67,0)</f>
        <v>650.41999999999996</v>
      </c>
      <c r="F63" s="28">
        <f>IFERROR('Data Sheet'!E67,0)</f>
        <v>706.08</v>
      </c>
      <c r="G63" s="28">
        <f>IFERROR('Data Sheet'!F67,0)</f>
        <v>833.56</v>
      </c>
      <c r="H63" s="28">
        <f>IFERROR('Data Sheet'!G67,0)</f>
        <v>813.89</v>
      </c>
      <c r="I63" s="28">
        <f>IFERROR('Data Sheet'!H67,0)</f>
        <v>561.58000000000004</v>
      </c>
      <c r="J63" s="28">
        <f>IFERROR('Data Sheet'!I67,0)</f>
        <v>646.15</v>
      </c>
      <c r="K63" s="28">
        <f>IFERROR('Data Sheet'!J67,0)</f>
        <v>848.75</v>
      </c>
      <c r="L63" s="28">
        <f>IFERROR('Data Sheet'!K67,0)</f>
        <v>898.72</v>
      </c>
      <c r="AD63" s="115"/>
      <c r="AE63" s="311"/>
      <c r="AF63" s="311"/>
      <c r="AG63" s="311"/>
      <c r="AH63" s="311"/>
      <c r="AI63" s="311"/>
      <c r="AJ63" s="311"/>
    </row>
    <row r="64" spans="1:36" x14ac:dyDescent="0.3">
      <c r="B64" s="6" t="s">
        <v>45</v>
      </c>
      <c r="C64" s="28">
        <f>IFERROR('Data Sheet'!B68,0)</f>
        <v>973.27</v>
      </c>
      <c r="D64" s="28">
        <f>IFERROR('Data Sheet'!C68,0)</f>
        <v>1096.5</v>
      </c>
      <c r="E64" s="28">
        <f>IFERROR('Data Sheet'!D68,0)</f>
        <v>1106.71</v>
      </c>
      <c r="F64" s="28">
        <f>IFERROR('Data Sheet'!E68,0)</f>
        <v>1256.18</v>
      </c>
      <c r="G64" s="28">
        <f>IFERROR('Data Sheet'!F68,0)</f>
        <v>1300.53</v>
      </c>
      <c r="H64" s="28">
        <f>IFERROR('Data Sheet'!G68,0)</f>
        <v>1379.57</v>
      </c>
      <c r="I64" s="28">
        <f>IFERROR('Data Sheet'!H68,0)</f>
        <v>1734.28</v>
      </c>
      <c r="J64" s="28">
        <f>IFERROR('Data Sheet'!I68,0)</f>
        <v>1911.37</v>
      </c>
      <c r="K64" s="28">
        <f>IFERROR('Data Sheet'!J68,0)</f>
        <v>2024.2</v>
      </c>
      <c r="L64" s="28">
        <f>IFERROR('Data Sheet'!K68,0)</f>
        <v>1946.97</v>
      </c>
      <c r="AD64" s="115"/>
      <c r="AE64" s="116"/>
      <c r="AF64" s="116"/>
      <c r="AG64" s="116"/>
      <c r="AH64" s="116"/>
      <c r="AI64" s="116"/>
      <c r="AJ64" s="117"/>
    </row>
    <row r="65" spans="1:36" ht="15" thickBot="1" x14ac:dyDescent="0.35">
      <c r="B65" s="4" t="s">
        <v>87</v>
      </c>
      <c r="C65" s="28">
        <f>IFERROR('Data Sheet'!B69,0)</f>
        <v>276.04000000000002</v>
      </c>
      <c r="D65" s="28">
        <f>IFERROR('Data Sheet'!C69,0)</f>
        <v>219.82</v>
      </c>
      <c r="E65" s="28">
        <f>IFERROR('Data Sheet'!D69,0)</f>
        <v>304.81</v>
      </c>
      <c r="F65" s="28">
        <f>IFERROR('Data Sheet'!E69,0)</f>
        <v>306.06</v>
      </c>
      <c r="G65" s="28">
        <f>IFERROR('Data Sheet'!F69,0)</f>
        <v>328.16</v>
      </c>
      <c r="H65" s="28">
        <f>IFERROR('Data Sheet'!G69,0)</f>
        <v>811.37</v>
      </c>
      <c r="I65" s="28">
        <f>IFERROR('Data Sheet'!H69,0)</f>
        <v>1329.03</v>
      </c>
      <c r="J65" s="28">
        <f>IFERROR('Data Sheet'!I69,0)</f>
        <v>570.14</v>
      </c>
      <c r="K65" s="28">
        <f>IFERROR('Data Sheet'!J69,0)</f>
        <v>325.92</v>
      </c>
      <c r="L65" s="28">
        <f>IFERROR('Data Sheet'!K69,0)</f>
        <v>666.36</v>
      </c>
      <c r="AD65" s="115"/>
      <c r="AE65" s="116"/>
      <c r="AF65" s="116"/>
      <c r="AG65" s="116"/>
      <c r="AH65" s="116"/>
      <c r="AI65" s="116"/>
      <c r="AJ65" s="117"/>
    </row>
    <row r="66" spans="1:36" ht="15" thickBot="1" x14ac:dyDescent="0.35">
      <c r="B66" s="37" t="s">
        <v>122</v>
      </c>
      <c r="C66" s="38">
        <f>SUM(C63:C65)</f>
        <v>1960.15</v>
      </c>
      <c r="D66" s="38">
        <f t="shared" ref="D66:L66" si="19">SUM(D63:D65)</f>
        <v>2125.52</v>
      </c>
      <c r="E66" s="38">
        <f t="shared" si="19"/>
        <v>2061.94</v>
      </c>
      <c r="F66" s="38">
        <f t="shared" si="19"/>
        <v>2268.3200000000002</v>
      </c>
      <c r="G66" s="38">
        <f t="shared" si="19"/>
        <v>2462.25</v>
      </c>
      <c r="H66" s="38">
        <f t="shared" si="19"/>
        <v>3004.83</v>
      </c>
      <c r="I66" s="38">
        <f t="shared" si="19"/>
        <v>3624.8900000000003</v>
      </c>
      <c r="J66" s="38">
        <f t="shared" si="19"/>
        <v>3127.66</v>
      </c>
      <c r="K66" s="38">
        <f t="shared" si="19"/>
        <v>3198.87</v>
      </c>
      <c r="L66" s="38">
        <f t="shared" si="19"/>
        <v>3512.05</v>
      </c>
      <c r="AD66" s="115"/>
      <c r="AE66" s="116"/>
      <c r="AF66" s="116"/>
      <c r="AG66" s="116"/>
      <c r="AH66" s="116"/>
      <c r="AI66" s="116"/>
      <c r="AJ66" s="117"/>
    </row>
    <row r="67" spans="1:36" ht="15" thickBot="1" x14ac:dyDescent="0.35">
      <c r="AD67" s="115"/>
      <c r="AE67" s="116"/>
      <c r="AF67" s="116"/>
      <c r="AG67" s="116"/>
      <c r="AH67" s="116"/>
      <c r="AI67" s="116"/>
      <c r="AJ67" s="117"/>
    </row>
    <row r="68" spans="1:36" ht="15" thickBot="1" x14ac:dyDescent="0.35">
      <c r="B68" s="37" t="s">
        <v>124</v>
      </c>
      <c r="C68" s="38">
        <f>SUM(C61,C66)</f>
        <v>6106.2800000000007</v>
      </c>
      <c r="D68" s="38">
        <f t="shared" ref="D68:L68" si="20">SUM(D61,D66)</f>
        <v>6932.2999999999993</v>
      </c>
      <c r="E68" s="38">
        <f t="shared" si="20"/>
        <v>7732.24</v>
      </c>
      <c r="F68" s="38">
        <f t="shared" si="20"/>
        <v>8701.6299999999992</v>
      </c>
      <c r="G68" s="38">
        <f t="shared" si="20"/>
        <v>8436.64</v>
      </c>
      <c r="H68" s="38">
        <f t="shared" si="20"/>
        <v>9336.58</v>
      </c>
      <c r="I68" s="38">
        <f t="shared" si="20"/>
        <v>10833.220000000001</v>
      </c>
      <c r="J68" s="38">
        <f t="shared" si="20"/>
        <v>12283.86</v>
      </c>
      <c r="K68" s="38">
        <f t="shared" si="20"/>
        <v>13652.279999999999</v>
      </c>
      <c r="L68" s="38">
        <f t="shared" si="20"/>
        <v>15116.36</v>
      </c>
      <c r="AD68" s="115"/>
      <c r="AE68" s="116"/>
      <c r="AF68" s="116"/>
      <c r="AG68" s="116"/>
      <c r="AH68" s="116"/>
      <c r="AI68" s="116"/>
      <c r="AJ68" s="117"/>
    </row>
    <row r="69" spans="1:36" x14ac:dyDescent="0.3">
      <c r="AD69" s="115"/>
      <c r="AE69" s="116"/>
      <c r="AF69" s="116"/>
      <c r="AG69" s="116"/>
      <c r="AH69" s="116"/>
      <c r="AI69" s="116"/>
      <c r="AJ69" s="117"/>
    </row>
    <row r="70" spans="1:36" x14ac:dyDescent="0.3">
      <c r="B70" s="35" t="s">
        <v>123</v>
      </c>
      <c r="C70" s="36" t="b">
        <f>C55=C68</f>
        <v>1</v>
      </c>
      <c r="D70" s="36" t="b">
        <f t="shared" ref="D70:L70" si="21">D55=D68</f>
        <v>1</v>
      </c>
      <c r="E70" s="36" t="b">
        <f t="shared" si="21"/>
        <v>1</v>
      </c>
      <c r="F70" s="36" t="b">
        <f t="shared" si="21"/>
        <v>1</v>
      </c>
      <c r="G70" s="36" t="b">
        <f t="shared" si="21"/>
        <v>1</v>
      </c>
      <c r="H70" s="36" t="b">
        <f t="shared" si="21"/>
        <v>1</v>
      </c>
      <c r="I70" s="36" t="b">
        <f t="shared" si="21"/>
        <v>1</v>
      </c>
      <c r="J70" s="36" t="b">
        <f t="shared" si="21"/>
        <v>1</v>
      </c>
      <c r="K70" s="36" t="b">
        <f t="shared" si="21"/>
        <v>1</v>
      </c>
      <c r="L70" s="36" t="b">
        <f t="shared" si="21"/>
        <v>1</v>
      </c>
      <c r="AD70" s="115"/>
      <c r="AE70" s="116"/>
      <c r="AF70" s="116"/>
      <c r="AG70" s="116"/>
      <c r="AH70" s="116"/>
      <c r="AI70" s="116"/>
      <c r="AJ70" s="117"/>
    </row>
    <row r="72" spans="1:36" x14ac:dyDescent="0.3">
      <c r="A72" t="s">
        <v>95</v>
      </c>
      <c r="B72" s="284" t="s">
        <v>125</v>
      </c>
      <c r="C72" s="285"/>
      <c r="D72" s="285"/>
      <c r="E72" s="285"/>
      <c r="F72" s="285"/>
      <c r="G72" s="285"/>
      <c r="H72" s="285"/>
      <c r="I72" s="285"/>
      <c r="J72" s="285"/>
      <c r="K72" s="285"/>
      <c r="L72" s="285"/>
    </row>
    <row r="73" spans="1:36" x14ac:dyDescent="0.3">
      <c r="B73" s="2"/>
    </row>
    <row r="74" spans="1:36" x14ac:dyDescent="0.3">
      <c r="B74" s="2" t="s">
        <v>126</v>
      </c>
      <c r="C74" s="28">
        <f>IFERROR('Data Sheet'!B82,0)</f>
        <v>1047.21</v>
      </c>
      <c r="D74" s="28">
        <f>IFERROR('Data Sheet'!C82,0)</f>
        <v>1186.99</v>
      </c>
      <c r="E74" s="28">
        <f>IFERROR('Data Sheet'!D82,0)</f>
        <v>1226.94</v>
      </c>
      <c r="F74" s="28">
        <f>IFERROR('Data Sheet'!E82,0)</f>
        <v>1091.5</v>
      </c>
      <c r="G74" s="28">
        <f>IFERROR('Data Sheet'!F82,0)</f>
        <v>1499.13</v>
      </c>
      <c r="H74" s="28">
        <f>IFERROR('Data Sheet'!G82,0)</f>
        <v>1613.62</v>
      </c>
      <c r="I74" s="28">
        <f>IFERROR('Data Sheet'!H82,0)</f>
        <v>2114.67</v>
      </c>
      <c r="J74" s="28">
        <f>IFERROR('Data Sheet'!I82,0)</f>
        <v>1802.33</v>
      </c>
      <c r="K74" s="28">
        <f>IFERROR('Data Sheet'!J82,0)</f>
        <v>1488.43</v>
      </c>
      <c r="L74" s="28">
        <f>IFERROR('Data Sheet'!K82,0)</f>
        <v>2013.47</v>
      </c>
    </row>
    <row r="75" spans="1:36" x14ac:dyDescent="0.3">
      <c r="B75" s="2" t="s">
        <v>127</v>
      </c>
      <c r="C75" s="28">
        <f>IFERROR('Data Sheet'!B83,0)</f>
        <v>-875.9</v>
      </c>
      <c r="D75" s="28">
        <f>IFERROR('Data Sheet'!C83,0)</f>
        <v>-730.33</v>
      </c>
      <c r="E75" s="28">
        <f>IFERROR('Data Sheet'!D83,0)</f>
        <v>-807.07</v>
      </c>
      <c r="F75" s="28">
        <f>IFERROR('Data Sheet'!E83,0)</f>
        <v>-540.92999999999995</v>
      </c>
      <c r="G75" s="28">
        <f>IFERROR('Data Sheet'!F83,0)</f>
        <v>337.58</v>
      </c>
      <c r="H75" s="28">
        <f>IFERROR('Data Sheet'!G83,0)</f>
        <v>-516.63</v>
      </c>
      <c r="I75" s="28">
        <f>IFERROR('Data Sheet'!H83,0)</f>
        <v>-1404.22</v>
      </c>
      <c r="J75" s="28">
        <f>IFERROR('Data Sheet'!I83,0)</f>
        <v>-1273.45</v>
      </c>
      <c r="K75" s="28">
        <f>IFERROR('Data Sheet'!J83,0)</f>
        <v>-582.79</v>
      </c>
      <c r="L75" s="28">
        <f>IFERROR('Data Sheet'!K83,0)</f>
        <v>-971.04</v>
      </c>
    </row>
    <row r="76" spans="1:36" x14ac:dyDescent="0.3">
      <c r="B76" s="2" t="s">
        <v>128</v>
      </c>
      <c r="C76" s="28">
        <f>IFERROR('Data Sheet'!B84,0)</f>
        <v>-416.77</v>
      </c>
      <c r="D76" s="28">
        <f>IFERROR('Data Sheet'!C84,0)</f>
        <v>-374.31</v>
      </c>
      <c r="E76" s="28">
        <f>IFERROR('Data Sheet'!D84,0)</f>
        <v>-338.97</v>
      </c>
      <c r="F76" s="28">
        <f>IFERROR('Data Sheet'!E84,0)</f>
        <v>-577.11</v>
      </c>
      <c r="G76" s="28">
        <f>IFERROR('Data Sheet'!F84,0)</f>
        <v>-1888.2</v>
      </c>
      <c r="H76" s="28">
        <f>IFERROR('Data Sheet'!G84,0)</f>
        <v>-1042.97</v>
      </c>
      <c r="I76" s="28">
        <f>IFERROR('Data Sheet'!H84,0)</f>
        <v>-613.41</v>
      </c>
      <c r="J76" s="28">
        <f>IFERROR('Data Sheet'!I84,0)</f>
        <v>-490.49</v>
      </c>
      <c r="K76" s="28">
        <f>IFERROR('Data Sheet'!J84,0)</f>
        <v>-1035.24</v>
      </c>
      <c r="L76" s="28">
        <f>IFERROR('Data Sheet'!K84,0)</f>
        <v>-1161.18</v>
      </c>
    </row>
    <row r="77" spans="1:36" ht="15" thickBot="1" x14ac:dyDescent="0.35">
      <c r="C77" s="28"/>
      <c r="D77" s="28"/>
      <c r="E77" s="28"/>
      <c r="F77" s="28"/>
      <c r="G77" s="28"/>
      <c r="H77" s="28"/>
      <c r="I77" s="28"/>
      <c r="J77" s="28"/>
      <c r="K77" s="28"/>
      <c r="L77" s="28"/>
    </row>
    <row r="78" spans="1:36" ht="15" thickBot="1" x14ac:dyDescent="0.35">
      <c r="B78" s="37" t="s">
        <v>35</v>
      </c>
      <c r="C78" s="38">
        <f t="shared" ref="C78:L78" si="22">SUM(C76,C75,C74)</f>
        <v>-245.46000000000004</v>
      </c>
      <c r="D78" s="38">
        <f t="shared" si="22"/>
        <v>82.349999999999909</v>
      </c>
      <c r="E78" s="38">
        <f t="shared" si="22"/>
        <v>80.900000000000091</v>
      </c>
      <c r="F78" s="38">
        <f t="shared" si="22"/>
        <v>-26.539999999999964</v>
      </c>
      <c r="G78" s="38">
        <f t="shared" si="22"/>
        <v>-51.490000000000009</v>
      </c>
      <c r="H78" s="38">
        <f t="shared" si="22"/>
        <v>54.019999999999982</v>
      </c>
      <c r="I78" s="38">
        <f t="shared" si="22"/>
        <v>97.039999999999964</v>
      </c>
      <c r="J78" s="38">
        <f t="shared" si="22"/>
        <v>38.389999999999873</v>
      </c>
      <c r="K78" s="38">
        <f t="shared" si="22"/>
        <v>-129.59999999999991</v>
      </c>
      <c r="L78" s="38">
        <f t="shared" si="22"/>
        <v>-118.75000000000023</v>
      </c>
    </row>
    <row r="79" spans="1:36" x14ac:dyDescent="0.3">
      <c r="C79" s="28"/>
      <c r="D79" s="28"/>
      <c r="E79" s="28"/>
      <c r="F79" s="28"/>
      <c r="G79" s="28"/>
      <c r="H79" s="28"/>
      <c r="I79" s="28"/>
      <c r="J79" s="28"/>
      <c r="K79" s="28"/>
      <c r="L79" s="28"/>
    </row>
    <row r="80" spans="1:36" x14ac:dyDescent="0.3">
      <c r="B80" s="2"/>
      <c r="C80" s="34"/>
      <c r="D80" s="34"/>
      <c r="E80" s="34"/>
      <c r="F80" s="34"/>
      <c r="G80" s="34"/>
      <c r="H80" s="34"/>
      <c r="I80" s="34"/>
      <c r="J80" s="34"/>
      <c r="K80" s="34"/>
      <c r="L80" s="34"/>
    </row>
    <row r="82" spans="2:12" x14ac:dyDescent="0.3">
      <c r="B82" s="2"/>
    </row>
    <row r="83" spans="2:12" x14ac:dyDescent="0.3">
      <c r="C83" s="28"/>
      <c r="D83" s="28"/>
      <c r="E83" s="28"/>
      <c r="F83" s="28"/>
      <c r="G83" s="28"/>
      <c r="H83" s="28"/>
      <c r="I83" s="28"/>
      <c r="J83" s="28"/>
      <c r="K83" s="28"/>
      <c r="L83" s="28"/>
    </row>
    <row r="84" spans="2:12" x14ac:dyDescent="0.3">
      <c r="C84" s="28"/>
      <c r="D84" s="28"/>
      <c r="E84" s="28"/>
      <c r="F84" s="28"/>
      <c r="G84" s="28"/>
      <c r="H84" s="28"/>
      <c r="I84" s="28"/>
      <c r="J84" s="28"/>
      <c r="K84" s="28"/>
      <c r="L84" s="28"/>
    </row>
    <row r="85" spans="2:12" x14ac:dyDescent="0.3">
      <c r="C85" s="28"/>
      <c r="D85" s="28"/>
      <c r="E85" s="28"/>
      <c r="F85" s="28"/>
      <c r="G85" s="28"/>
      <c r="H85" s="28"/>
      <c r="I85" s="28"/>
      <c r="J85" s="28"/>
      <c r="K85" s="28"/>
      <c r="L85" s="28"/>
    </row>
    <row r="86" spans="2:12" x14ac:dyDescent="0.3">
      <c r="C86" s="28"/>
      <c r="D86" s="28"/>
      <c r="E86" s="28"/>
      <c r="F86" s="28"/>
      <c r="G86" s="28"/>
      <c r="H86" s="28"/>
      <c r="I86" s="28"/>
      <c r="J86" s="28"/>
      <c r="K86" s="28"/>
      <c r="L86" s="28"/>
    </row>
    <row r="87" spans="2:12" x14ac:dyDescent="0.3">
      <c r="C87" s="28"/>
      <c r="D87" s="28"/>
      <c r="E87" s="28"/>
      <c r="F87" s="28"/>
      <c r="G87" s="28"/>
      <c r="H87" s="28"/>
      <c r="I87" s="28"/>
      <c r="J87" s="28"/>
      <c r="K87" s="28"/>
      <c r="L87" s="28"/>
    </row>
    <row r="88" spans="2:12" x14ac:dyDescent="0.3">
      <c r="C88" s="28"/>
      <c r="D88" s="28"/>
      <c r="E88" s="28"/>
      <c r="F88" s="28"/>
      <c r="G88" s="28"/>
      <c r="H88" s="28"/>
      <c r="I88" s="28"/>
      <c r="J88" s="28"/>
      <c r="K88" s="28"/>
      <c r="L88" s="28"/>
    </row>
    <row r="89" spans="2:12" x14ac:dyDescent="0.3">
      <c r="C89" s="28"/>
      <c r="D89" s="28"/>
      <c r="E89" s="28"/>
      <c r="F89" s="28"/>
      <c r="G89" s="28"/>
      <c r="H89" s="28"/>
      <c r="I89" s="28"/>
      <c r="J89" s="28"/>
      <c r="K89" s="28"/>
      <c r="L89" s="28"/>
    </row>
    <row r="90" spans="2:12" x14ac:dyDescent="0.3">
      <c r="C90" s="28"/>
      <c r="D90" s="28"/>
      <c r="E90" s="28"/>
      <c r="F90" s="28"/>
      <c r="G90" s="28"/>
      <c r="H90" s="28"/>
      <c r="I90" s="28"/>
      <c r="J90" s="28"/>
      <c r="K90" s="28"/>
      <c r="L90" s="28"/>
    </row>
    <row r="91" spans="2:12" x14ac:dyDescent="0.3">
      <c r="C91" s="28"/>
      <c r="D91" s="28"/>
      <c r="E91" s="28"/>
      <c r="F91" s="28"/>
      <c r="G91" s="28"/>
      <c r="H91" s="28"/>
      <c r="I91" s="28"/>
      <c r="J91" s="28"/>
      <c r="K91" s="28"/>
      <c r="L91" s="28"/>
    </row>
    <row r="92" spans="2:12" x14ac:dyDescent="0.3">
      <c r="C92" s="28"/>
      <c r="D92" s="28"/>
      <c r="E92" s="28"/>
      <c r="F92" s="28"/>
      <c r="G92" s="28"/>
      <c r="H92" s="28"/>
      <c r="I92" s="28"/>
      <c r="J92" s="28"/>
      <c r="K92" s="28"/>
      <c r="L92" s="28"/>
    </row>
    <row r="93" spans="2:12" x14ac:dyDescent="0.3">
      <c r="C93" s="28"/>
      <c r="D93" s="28"/>
      <c r="E93" s="28"/>
      <c r="F93" s="28"/>
      <c r="G93" s="28"/>
      <c r="H93" s="28"/>
      <c r="I93" s="28"/>
      <c r="J93" s="28"/>
      <c r="K93" s="28"/>
      <c r="L93" s="28"/>
    </row>
    <row r="94" spans="2:12" x14ac:dyDescent="0.3">
      <c r="B94" s="2"/>
      <c r="C94" s="34"/>
      <c r="D94" s="34"/>
      <c r="E94" s="34"/>
      <c r="F94" s="34"/>
      <c r="G94" s="34"/>
      <c r="H94" s="34"/>
      <c r="I94" s="34"/>
      <c r="J94" s="34"/>
      <c r="K94" s="34"/>
      <c r="L94" s="34"/>
    </row>
    <row r="96" spans="2:12" x14ac:dyDescent="0.3">
      <c r="B96" s="2"/>
    </row>
    <row r="97" spans="2:12" x14ac:dyDescent="0.3">
      <c r="C97" s="28"/>
      <c r="D97" s="28"/>
      <c r="E97" s="28"/>
      <c r="F97" s="28"/>
      <c r="G97" s="28"/>
      <c r="H97" s="28"/>
      <c r="I97" s="28"/>
      <c r="J97" s="28"/>
      <c r="K97" s="28"/>
      <c r="L97" s="28"/>
    </row>
    <row r="98" spans="2:12" x14ac:dyDescent="0.3">
      <c r="C98" s="28"/>
      <c r="D98" s="28"/>
      <c r="E98" s="28"/>
      <c r="F98" s="28"/>
      <c r="G98" s="28"/>
      <c r="H98" s="28"/>
      <c r="I98" s="28"/>
      <c r="J98" s="28"/>
      <c r="K98" s="28"/>
      <c r="L98" s="28"/>
    </row>
    <row r="99" spans="2:12" x14ac:dyDescent="0.3">
      <c r="C99" s="28"/>
      <c r="D99" s="28"/>
      <c r="E99" s="28"/>
      <c r="F99" s="28"/>
      <c r="G99" s="28"/>
      <c r="H99" s="28"/>
      <c r="I99" s="28"/>
      <c r="J99" s="28"/>
      <c r="K99" s="28"/>
      <c r="L99" s="28"/>
    </row>
    <row r="100" spans="2:12" x14ac:dyDescent="0.3">
      <c r="C100" s="28"/>
      <c r="D100" s="28"/>
      <c r="E100" s="28"/>
      <c r="F100" s="28"/>
      <c r="G100" s="28"/>
      <c r="H100" s="28"/>
      <c r="I100" s="28"/>
      <c r="J100" s="28"/>
      <c r="K100" s="28"/>
      <c r="L100" s="28"/>
    </row>
    <row r="101" spans="2:12" x14ac:dyDescent="0.3">
      <c r="C101" s="28"/>
      <c r="D101" s="28"/>
      <c r="E101" s="28"/>
      <c r="F101" s="28"/>
      <c r="G101" s="28"/>
      <c r="H101" s="28"/>
      <c r="I101" s="28"/>
      <c r="J101" s="28"/>
      <c r="K101" s="28"/>
      <c r="L101" s="28"/>
    </row>
    <row r="102" spans="2:12" x14ac:dyDescent="0.3">
      <c r="C102" s="28"/>
      <c r="D102" s="28"/>
      <c r="E102" s="28"/>
      <c r="F102" s="28"/>
      <c r="G102" s="28"/>
      <c r="H102" s="28"/>
      <c r="I102" s="28"/>
      <c r="J102" s="28"/>
      <c r="K102" s="28"/>
      <c r="L102" s="28"/>
    </row>
    <row r="103" spans="2:12" x14ac:dyDescent="0.3">
      <c r="C103" s="28"/>
      <c r="D103" s="28"/>
      <c r="E103" s="28"/>
      <c r="F103" s="28"/>
      <c r="G103" s="28"/>
      <c r="H103" s="28"/>
      <c r="I103" s="28"/>
      <c r="J103" s="28"/>
      <c r="K103" s="28"/>
      <c r="L103" s="28"/>
    </row>
    <row r="104" spans="2:12" x14ac:dyDescent="0.3">
      <c r="C104" s="28"/>
      <c r="D104" s="28"/>
      <c r="E104" s="28"/>
      <c r="F104" s="28"/>
      <c r="G104" s="28"/>
      <c r="H104" s="28"/>
      <c r="I104" s="28"/>
      <c r="J104" s="28"/>
      <c r="K104" s="28"/>
      <c r="L104" s="28"/>
    </row>
    <row r="105" spans="2:12" x14ac:dyDescent="0.3">
      <c r="B105" s="2"/>
      <c r="C105" s="34"/>
      <c r="D105" s="34"/>
      <c r="E105" s="34"/>
      <c r="F105" s="34"/>
      <c r="G105" s="34"/>
      <c r="H105" s="34"/>
      <c r="I105" s="34"/>
      <c r="J105" s="34"/>
      <c r="K105" s="34"/>
      <c r="L105" s="34"/>
    </row>
    <row r="107" spans="2:12" x14ac:dyDescent="0.3">
      <c r="B107" s="2"/>
      <c r="C107" s="34"/>
      <c r="D107" s="34"/>
      <c r="E107" s="34"/>
      <c r="F107" s="34"/>
      <c r="G107" s="34"/>
      <c r="H107" s="34"/>
      <c r="I107" s="34"/>
      <c r="J107" s="34"/>
      <c r="K107" s="34"/>
      <c r="L107" s="34"/>
    </row>
  </sheetData>
  <mergeCells count="2">
    <mergeCell ref="AE26:AJ26"/>
    <mergeCell ref="AE63:AJ63"/>
  </mergeCells>
  <pageMargins left="0.31496062992125984" right="0.31496062992125984" top="0.35433070866141736" bottom="0.35433070866141736" header="0.31496062992125984" footer="0.31496062992125984"/>
  <pageSetup scale="26" fitToHeight="0" orientation="portrait" r:id="rId1"/>
  <ignoredErrors>
    <ignoredError sqref="C19:L19" formulaRange="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E374-6481-4E94-9253-B7BFD0243C97}">
  <sheetPr>
    <pageSetUpPr fitToPage="1"/>
  </sheetPr>
  <dimension ref="A2:O44"/>
  <sheetViews>
    <sheetView showGridLines="0" topLeftCell="A12" zoomScale="76" workbookViewId="0">
      <selection activeCell="U25" sqref="U25"/>
    </sheetView>
  </sheetViews>
  <sheetFormatPr defaultRowHeight="14.4" x14ac:dyDescent="0.3"/>
  <cols>
    <col min="1" max="1" width="1.88671875" customWidth="1"/>
    <col min="2" max="2" width="28.44140625" customWidth="1"/>
    <col min="3" max="12" width="11.44140625" customWidth="1"/>
    <col min="16" max="16" width="8.88671875" customWidth="1"/>
  </cols>
  <sheetData>
    <row r="2" spans="1:15" ht="31.2" x14ac:dyDescent="0.3">
      <c r="B2" s="229" t="s">
        <v>63</v>
      </c>
      <c r="C2" s="225"/>
      <c r="D2" s="225"/>
      <c r="E2" s="225"/>
      <c r="F2" s="225"/>
      <c r="G2" s="225"/>
      <c r="H2" s="225"/>
      <c r="I2" s="225"/>
      <c r="J2" s="225"/>
      <c r="K2" s="225"/>
      <c r="L2" s="225"/>
      <c r="M2" s="225"/>
      <c r="N2" s="225"/>
      <c r="O2" s="225"/>
    </row>
    <row r="3" spans="1:15" ht="4.2" customHeight="1" x14ac:dyDescent="0.3">
      <c r="B3" s="225"/>
      <c r="C3" s="225"/>
      <c r="D3" s="225"/>
      <c r="E3" s="225"/>
      <c r="F3" s="225"/>
      <c r="G3" s="225"/>
      <c r="H3" s="225"/>
      <c r="I3" s="225"/>
      <c r="J3" s="225"/>
      <c r="K3" s="225"/>
      <c r="L3" s="225"/>
      <c r="M3" s="225"/>
      <c r="N3" s="225"/>
      <c r="O3" s="225"/>
    </row>
    <row r="4" spans="1:15" ht="15.6" x14ac:dyDescent="0.3">
      <c r="B4" s="230" t="s">
        <v>1602</v>
      </c>
      <c r="C4" s="225"/>
      <c r="D4" s="225"/>
      <c r="E4" s="225"/>
      <c r="F4" s="225"/>
      <c r="G4" s="225"/>
      <c r="H4" s="225"/>
      <c r="I4" s="225"/>
      <c r="J4" s="225"/>
      <c r="K4" s="225"/>
      <c r="L4" s="225"/>
      <c r="M4" s="225"/>
      <c r="N4" s="225"/>
      <c r="O4" s="225"/>
    </row>
    <row r="5" spans="1:15" x14ac:dyDescent="0.3">
      <c r="A5" s="39"/>
    </row>
    <row r="6" spans="1:15" x14ac:dyDescent="0.3">
      <c r="B6" s="312" t="str">
        <f>"Financial Statement Analysis - " &amp; 'Data Sheet'!B1</f>
        <v>Financial Statement Analysis - DABUR INDIA LTD</v>
      </c>
      <c r="C6" s="312"/>
      <c r="D6" s="312"/>
      <c r="E6" s="312"/>
      <c r="F6" s="312"/>
      <c r="G6" s="312"/>
      <c r="H6" s="312"/>
      <c r="I6" s="312"/>
      <c r="J6" s="312"/>
      <c r="K6" s="312"/>
      <c r="L6" s="312"/>
      <c r="M6" s="312"/>
      <c r="N6" s="312"/>
      <c r="O6" s="312"/>
    </row>
    <row r="7" spans="1:15" x14ac:dyDescent="0.3">
      <c r="B7" s="236" t="s">
        <v>93</v>
      </c>
      <c r="C7" s="240">
        <f>'Data Sheet'!B16</f>
        <v>42094</v>
      </c>
      <c r="D7" s="240">
        <f>'Data Sheet'!C16</f>
        <v>42460</v>
      </c>
      <c r="E7" s="240">
        <f>'Data Sheet'!D16</f>
        <v>42825</v>
      </c>
      <c r="F7" s="240">
        <f>'Data Sheet'!E16</f>
        <v>43190</v>
      </c>
      <c r="G7" s="240">
        <f>'Data Sheet'!F16</f>
        <v>43555</v>
      </c>
      <c r="H7" s="240">
        <f>'Data Sheet'!G16</f>
        <v>43921</v>
      </c>
      <c r="I7" s="240">
        <f>'Data Sheet'!H16</f>
        <v>44286</v>
      </c>
      <c r="J7" s="240">
        <f>'Data Sheet'!I16</f>
        <v>44651</v>
      </c>
      <c r="K7" s="240">
        <f>'Data Sheet'!J16</f>
        <v>45016</v>
      </c>
      <c r="L7" s="240">
        <f>'Data Sheet'!K16</f>
        <v>45382</v>
      </c>
      <c r="M7" s="246" t="s">
        <v>159</v>
      </c>
      <c r="N7" s="240" t="s">
        <v>157</v>
      </c>
      <c r="O7" s="240" t="s">
        <v>158</v>
      </c>
    </row>
    <row r="9" spans="1:15" x14ac:dyDescent="0.3">
      <c r="B9" s="44" t="s">
        <v>97</v>
      </c>
      <c r="C9" s="45" t="s">
        <v>98</v>
      </c>
      <c r="D9" s="46">
        <f>IFERROR('Historical FS'!D11,0)</f>
        <v>-2.0306613182750066E-3</v>
      </c>
      <c r="E9" s="46">
        <f>IFERROR('Historical FS'!E11,0)</f>
        <v>-2.1346691243576132E-2</v>
      </c>
      <c r="F9" s="46">
        <f>IFERROR('Historical FS'!F11,0)</f>
        <v>1.4219310469830937E-2</v>
      </c>
      <c r="G9" s="46">
        <f>IFERROR('Historical FS'!G11,0)</f>
        <v>0.10271372792789291</v>
      </c>
      <c r="H9" s="46">
        <f>IFERROR('Historical FS'!H11,0)</f>
        <v>1.9923687520478461E-2</v>
      </c>
      <c r="I9" s="46">
        <f>IFERROR('Historical FS'!I11,0)</f>
        <v>0.10098403618342267</v>
      </c>
      <c r="J9" s="46">
        <f>IFERROR('Historical FS'!J11,0)</f>
        <v>0.13878671568191692</v>
      </c>
      <c r="K9" s="46">
        <f>IFERROR('Historical FS'!K11,0)</f>
        <v>5.8887762336665261E-2</v>
      </c>
      <c r="L9" s="46">
        <f>IFERROR('Historical FS'!L11,0)</f>
        <v>7.5813385903941821E-2</v>
      </c>
      <c r="M9" s="44"/>
      <c r="N9" s="46">
        <f>IFERROR(AVERAGE(D9:L9),0)</f>
        <v>5.4216808162477537E-2</v>
      </c>
      <c r="O9" s="46">
        <f>IFERROR(MEDIAN(D9:L9),0)</f>
        <v>5.8887762336665261E-2</v>
      </c>
    </row>
    <row r="10" spans="1:15" x14ac:dyDescent="0.3">
      <c r="B10" t="s">
        <v>129</v>
      </c>
      <c r="C10" s="40" t="s">
        <v>98</v>
      </c>
      <c r="D10" s="41">
        <f>IFERROR('Historical FS'!D22/'Historical FS'!C22-1,0)</f>
        <v>0.15002045113693119</v>
      </c>
      <c r="E10" s="41">
        <f>IFERROR('Historical FS'!E22/'Historical FS'!D22-1,0)</f>
        <v>-4.3931290671014311E-3</v>
      </c>
      <c r="F10" s="41">
        <f>IFERROR('Historical FS'!F22/'Historical FS'!E22-1,0)</f>
        <v>7.0011444750960994E-2</v>
      </c>
      <c r="G10" s="41">
        <f>IFERROR('Historical FS'!G22/'Historical FS'!F22-1,0)</f>
        <v>7.5502027895933299E-2</v>
      </c>
      <c r="H10" s="41">
        <f>IFERROR('Historical FS'!H22/'Historical FS'!G22-1,0)</f>
        <v>3.0341005771574503E-2</v>
      </c>
      <c r="I10" s="41">
        <f>IFERROR('Historical FS'!I22/'Historical FS'!H22-1,0)</f>
        <v>0.11679145697802817</v>
      </c>
      <c r="J10" s="41">
        <f>IFERROR('Historical FS'!J22/'Historical FS'!I22-1,0)</f>
        <v>0.12506557024884346</v>
      </c>
      <c r="K10" s="41">
        <f>IFERROR('Historical FS'!K22/'Historical FS'!J22-1,0)</f>
        <v>-3.975115563430065E-2</v>
      </c>
      <c r="L10" s="41">
        <f>IFERROR('Historical FS'!L22/'Historical FS'!K22-1,0)</f>
        <v>0.10970224139764895</v>
      </c>
      <c r="N10" s="41">
        <f t="shared" ref="N10:N13" si="0">IFERROR(AVERAGE(D10:L10),0)</f>
        <v>7.0365545942057614E-2</v>
      </c>
      <c r="O10" s="41">
        <f t="shared" ref="O10:O13" si="1">IFERROR(MEDIAN(D10:L10),0)</f>
        <v>7.5502027895933299E-2</v>
      </c>
    </row>
    <row r="11" spans="1:15" x14ac:dyDescent="0.3">
      <c r="B11" t="s">
        <v>130</v>
      </c>
      <c r="C11" s="40" t="s">
        <v>98</v>
      </c>
      <c r="D11" s="41">
        <f>IFERROR('Historical FS'!D31/'Historical FS'!C31-1,0)</f>
        <v>0.14718655589123797</v>
      </c>
      <c r="E11" s="41">
        <f>IFERROR('Historical FS'!E31/'Historical FS'!D31-1,0)</f>
        <v>-1.6377252900994899E-2</v>
      </c>
      <c r="F11" s="41">
        <f>IFERROR('Historical FS'!F31/'Historical FS'!E31-1,0)</f>
        <v>6.6546488986248153E-2</v>
      </c>
      <c r="G11" s="41">
        <f>IFERROR('Historical FS'!G31/'Historical FS'!F31-1,0)</f>
        <v>7.1936443186112253E-2</v>
      </c>
      <c r="H11" s="41">
        <f>IFERROR('Historical FS'!H31/'Historical FS'!G31-1,0)</f>
        <v>1.2820342230619897E-2</v>
      </c>
      <c r="I11" s="41">
        <f>IFERROR('Historical FS'!I31/'Historical FS'!H31-1,0)</f>
        <v>0.13688048083554949</v>
      </c>
      <c r="J11" s="41">
        <f>IFERROR('Historical FS'!J31/'Historical FS'!I31-1,0)</f>
        <v>0.13277056502169771</v>
      </c>
      <c r="K11" s="41">
        <f>IFERROR('Historical FS'!K31/'Historical FS'!J31-1,0)</f>
        <v>-9.5500173423378132E-2</v>
      </c>
      <c r="L11" s="41">
        <f>IFERROR('Historical FS'!L31/'Historical FS'!K31-1,0)</f>
        <v>5.8106683058045894E-2</v>
      </c>
      <c r="N11" s="41">
        <f t="shared" si="0"/>
        <v>5.7152236987237592E-2</v>
      </c>
      <c r="O11" s="41">
        <f t="shared" si="1"/>
        <v>6.6546488986248153E-2</v>
      </c>
    </row>
    <row r="12" spans="1:15" x14ac:dyDescent="0.3">
      <c r="B12" t="s">
        <v>131</v>
      </c>
      <c r="C12" s="40" t="s">
        <v>98</v>
      </c>
      <c r="D12" s="41">
        <f>IFERROR('Historical FS'!D37/'Historical FS'!C37-1,0)</f>
        <v>0.13397066383732636</v>
      </c>
      <c r="E12" s="41">
        <f>IFERROR('Historical FS'!E37/'Historical FS'!D37-1,0)</f>
        <v>-5.0476989707824327E-2</v>
      </c>
      <c r="F12" s="41">
        <f>IFERROR('Historical FS'!F37/'Historical FS'!E37-1,0)</f>
        <v>8.3788780755399417E-2</v>
      </c>
      <c r="G12" s="41">
        <f>IFERROR('Historical FS'!G37/'Historical FS'!F37-1,0)</f>
        <v>0.14772322516543723</v>
      </c>
      <c r="H12" s="41">
        <f>IFERROR('Historical FS'!H37/'Historical FS'!G37-1,0)</f>
        <v>1.4839194420397828E-2</v>
      </c>
      <c r="I12" s="41">
        <f>IFERROR('Historical FS'!I37/'Historical FS'!H37-1,0)</f>
        <v>0.10222672879296235</v>
      </c>
      <c r="J12" s="41">
        <f>IFERROR('Historical FS'!J37/'Historical FS'!I37-1,0)</f>
        <v>4.7077376867253662E-2</v>
      </c>
      <c r="K12" s="41">
        <f>IFERROR('Historical FS'!K37/'Historical FS'!J37-1,0)</f>
        <v>-0.12425565147056883</v>
      </c>
      <c r="L12" s="41">
        <f>IFERROR('Historical FS'!L37/'Historical FS'!K37-1,0)</f>
        <v>5.8091947067536953E-2</v>
      </c>
      <c r="N12" s="41">
        <f t="shared" si="0"/>
        <v>4.588725285865785E-2</v>
      </c>
      <c r="O12" s="41">
        <f t="shared" si="1"/>
        <v>5.8091947067536953E-2</v>
      </c>
    </row>
    <row r="13" spans="1:15" x14ac:dyDescent="0.3">
      <c r="B13" s="47" t="s">
        <v>132</v>
      </c>
      <c r="C13" s="48" t="s">
        <v>98</v>
      </c>
      <c r="D13" s="49">
        <f>IFERROR('Historical FS'!D45/'Historical FS'!C45-1,0)</f>
        <v>0.12500710590642949</v>
      </c>
      <c r="E13" s="49">
        <f>IFERROR('Historical FS'!E45/'Historical FS'!D45-1,0)</f>
        <v>-8.6058312698256145E-9</v>
      </c>
      <c r="F13" s="49">
        <f>IFERROR('Historical FS'!F45/'Historical FS'!E45-1,0)</f>
        <v>1.7777665640611602</v>
      </c>
      <c r="G13" s="49">
        <f>IFERROR('Historical FS'!G45/'Historical FS'!F45-1,0)</f>
        <v>-0.56000326376200071</v>
      </c>
      <c r="H13" s="49">
        <f>IFERROR('Historical FS'!H45/'Historical FS'!G45-1,0)</f>
        <v>9.0914705700697818E-2</v>
      </c>
      <c r="I13" s="49">
        <f>IFERROR('Historical FS'!I45/'Historical FS'!H45-1,0)</f>
        <v>0.58334276338123803</v>
      </c>
      <c r="J13" s="49">
        <f>IFERROR('Historical FS'!J45/'Historical FS'!I45-1,0)</f>
        <v>9.4732703728746426E-2</v>
      </c>
      <c r="K13" s="49">
        <f>IFERROR('Historical FS'!K45/'Historical FS'!J45-1,0)</f>
        <v>2.1659672955198772E-6</v>
      </c>
      <c r="L13" s="49">
        <f>IFERROR('Historical FS'!L45/'Historical FS'!K45-1,0)</f>
        <v>5.768771571841036E-2</v>
      </c>
      <c r="M13" s="47"/>
      <c r="N13" s="49">
        <f t="shared" si="0"/>
        <v>0.24105005023290507</v>
      </c>
      <c r="O13" s="49">
        <f t="shared" si="1"/>
        <v>9.0914705700697818E-2</v>
      </c>
    </row>
    <row r="14" spans="1:15" x14ac:dyDescent="0.3">
      <c r="O14" s="41"/>
    </row>
    <row r="15" spans="1:15" x14ac:dyDescent="0.3">
      <c r="B15" s="44" t="s">
        <v>133</v>
      </c>
      <c r="C15" s="46">
        <f>IFERROR('Historical FS'!C17,0)</f>
        <v>0.41031288604051835</v>
      </c>
      <c r="D15" s="46">
        <f>IFERROR('Historical FS'!D17,0)</f>
        <v>0.39230634757817173</v>
      </c>
      <c r="E15" s="46">
        <f>IFERROR('Historical FS'!E17,0)</f>
        <v>0.3745749377100685</v>
      </c>
      <c r="F15" s="46">
        <f>IFERROR('Historical FS'!F17,0)</f>
        <v>0.37635540705918924</v>
      </c>
      <c r="G15" s="46">
        <f>IFERROR('Historical FS'!G17,0)</f>
        <v>0.35971386930577715</v>
      </c>
      <c r="H15" s="46">
        <f>IFERROR('Historical FS'!H17,0)</f>
        <v>0.36465875384587038</v>
      </c>
      <c r="I15" s="46">
        <f>IFERROR('Historical FS'!I17,0)</f>
        <v>0.36795950489716717</v>
      </c>
      <c r="J15" s="46">
        <f>IFERROR('Historical FS'!J17,0)</f>
        <v>0.35761451342127792</v>
      </c>
      <c r="K15" s="46">
        <f>IFERROR('Historical FS'!K17,0)</f>
        <v>0.3286865702968545</v>
      </c>
      <c r="L15" s="46">
        <f>IFERROR('Historical FS'!L17,0)</f>
        <v>0.35385169795896659</v>
      </c>
      <c r="M15" s="44"/>
      <c r="N15" s="46">
        <f>IFERROR(AVERAGE(C15:L15),0)</f>
        <v>0.36860344881138618</v>
      </c>
      <c r="O15" s="46">
        <f>IFERROR(MEDIAN(C15:L15),0)</f>
        <v>0.36630912937151877</v>
      </c>
    </row>
    <row r="16" spans="1:15" x14ac:dyDescent="0.3">
      <c r="B16" t="s">
        <v>134</v>
      </c>
      <c r="C16" s="41">
        <f>IFERROR('Historical FS'!C23,0)</f>
        <v>0.16935689738553961</v>
      </c>
      <c r="D16" s="41">
        <f>IFERROR('Historical FS'!D23,0)</f>
        <v>0.19516019980307614</v>
      </c>
      <c r="E16" s="41">
        <f>IFERROR('Historical FS'!E23,0)</f>
        <v>0.19854102992149572</v>
      </c>
      <c r="F16" s="41">
        <f>IFERROR('Historical FS'!F23,0)</f>
        <v>0.20946275827683788</v>
      </c>
      <c r="G16" s="41">
        <f>IFERROR('Historical FS'!G23,0)</f>
        <v>0.20429383945254184</v>
      </c>
      <c r="H16" s="41">
        <f>IFERROR('Historical FS'!H23,0)</f>
        <v>0.20638046021481599</v>
      </c>
      <c r="I16" s="41">
        <f>IFERROR('Historical FS'!I23,0)</f>
        <v>0.20934357563809575</v>
      </c>
      <c r="J16" s="41">
        <f>IFERROR('Historical FS'!J23,0)</f>
        <v>0.20682121248856616</v>
      </c>
      <c r="K16" s="41">
        <f>IFERROR('Historical FS'!K23,0)</f>
        <v>0.18755512845309014</v>
      </c>
      <c r="L16" s="41">
        <f>IFERROR('Historical FS'!L23,0)</f>
        <v>0.19346324293514769</v>
      </c>
      <c r="N16" s="41">
        <f t="shared" ref="N16:N44" si="2">IFERROR(AVERAGE(C16:L16),0)</f>
        <v>0.19803783445692069</v>
      </c>
      <c r="O16" s="41">
        <f t="shared" ref="O16:O19" si="3">IFERROR(MEDIAN(C16:L16),0)</f>
        <v>0.20141743468701878</v>
      </c>
    </row>
    <row r="17" spans="2:15" x14ac:dyDescent="0.3">
      <c r="B17" t="s">
        <v>135</v>
      </c>
      <c r="C17" s="41">
        <f>IFERROR(('Historical FS'!C22-'Historical FS'!C28)/'Historical FS'!C10,0)</f>
        <v>0.15460734347680519</v>
      </c>
      <c r="D17" s="41">
        <f>IFERROR(('Historical FS'!D22-'Historical FS'!D28)/'Historical FS'!D10,0)</f>
        <v>0.17803991434072944</v>
      </c>
      <c r="E17" s="41">
        <f>IFERROR(('Historical FS'!E22-'Historical FS'!E28)/'Historical FS'!E10,0)</f>
        <v>0.17977721416572215</v>
      </c>
      <c r="F17" s="41">
        <f>IFERROR(('Historical FS'!F22-'Historical FS'!F28)/'Historical FS'!F10,0)</f>
        <v>0.1884600192958942</v>
      </c>
      <c r="G17" s="41">
        <f>IFERROR(('Historical FS'!G22-'Historical FS'!G28)/'Historical FS'!G10,0)</f>
        <v>0.18351871229443595</v>
      </c>
      <c r="H17" s="41">
        <f>IFERROR(('Historical FS'!H22-'Historical FS'!H28)/'Historical FS'!H10,0)</f>
        <v>0.18099656404871123</v>
      </c>
      <c r="I17" s="41">
        <f>IFERROR(('Historical FS'!I22-'Historical FS'!I28)/'Historical FS'!I10,0)</f>
        <v>0.1842297093074938</v>
      </c>
      <c r="J17" s="41">
        <f>IFERROR(('Historical FS'!J22-'Historical FS'!J28)/'Historical FS'!J10,0)</f>
        <v>0.1835961751102981</v>
      </c>
      <c r="K17" s="41">
        <f>IFERROR(('Historical FS'!K22-'Historical FS'!K28)/'Historical FS'!K10,0)</f>
        <v>0.16058522674544157</v>
      </c>
      <c r="L17" s="41">
        <f>IFERROR(('Historical FS'!L22-'Historical FS'!L28)/'Historical FS'!L10,0)</f>
        <v>0.16127929596960991</v>
      </c>
      <c r="N17" s="41">
        <f t="shared" si="2"/>
        <v>0.17550901747551415</v>
      </c>
      <c r="O17" s="41">
        <f t="shared" si="3"/>
        <v>0.18038688910721667</v>
      </c>
    </row>
    <row r="18" spans="2:15" x14ac:dyDescent="0.3">
      <c r="B18" t="s">
        <v>136</v>
      </c>
      <c r="C18" s="41">
        <f>IFERROR('Historical FS'!C32,0)</f>
        <v>0.14946077796264251</v>
      </c>
      <c r="D18" s="41">
        <f>IFERROR('Historical FS'!D32,0)</f>
        <v>0.17180827953920855</v>
      </c>
      <c r="E18" s="41">
        <f>IFERROR('Historical FS'!E32,0)</f>
        <v>0.17268069333914757</v>
      </c>
      <c r="F18" s="41">
        <f>IFERROR('Historical FS'!F32,0)</f>
        <v>0.18158990397378874</v>
      </c>
      <c r="G18" s="41">
        <f>IFERROR('Historical FS'!G32,0)</f>
        <v>0.17652164007238991</v>
      </c>
      <c r="H18" s="41">
        <f>IFERROR('Historical FS'!H32,0)</f>
        <v>0.17529224009285355</v>
      </c>
      <c r="I18" s="41">
        <f>IFERROR('Historical FS'!I32,0)</f>
        <v>0.18100746210120619</v>
      </c>
      <c r="J18" s="41">
        <f>IFERROR('Historical FS'!J32,0)</f>
        <v>0.1800512091456449</v>
      </c>
      <c r="K18" s="41">
        <f>IFERROR('Historical FS'!K32,0)</f>
        <v>0.15379938577037588</v>
      </c>
      <c r="L18" s="41">
        <f>IFERROR('Historical FS'!L32,0)</f>
        <v>0.15126801735890258</v>
      </c>
      <c r="N18" s="41">
        <f t="shared" si="2"/>
        <v>0.16934796093561605</v>
      </c>
      <c r="O18" s="41">
        <f t="shared" si="3"/>
        <v>0.17398646671600054</v>
      </c>
    </row>
    <row r="19" spans="2:15" x14ac:dyDescent="0.3">
      <c r="B19" s="47" t="s">
        <v>137</v>
      </c>
      <c r="C19" s="49">
        <f>IFERROR('Historical FS'!C38,0)</f>
        <v>0.11727678439713221</v>
      </c>
      <c r="D19" s="49">
        <f>IFERROR('Historical FS'!D38,0)</f>
        <v>0.133259037027325</v>
      </c>
      <c r="E19" s="49">
        <f>IFERROR('Historical FS'!E38,0)</f>
        <v>0.12929248882590216</v>
      </c>
      <c r="F19" s="49">
        <f>IFERROR('Historical FS'!F38,0)</f>
        <v>0.1381611919423455</v>
      </c>
      <c r="G19" s="49">
        <f>IFERROR('Historical FS'!G38,0)</f>
        <v>0.14380052119849807</v>
      </c>
      <c r="H19" s="49">
        <f>IFERROR('Historical FS'!H38,0)</f>
        <v>0.14308365113579832</v>
      </c>
      <c r="I19" s="49">
        <f>IFERROR('Historical FS'!I38,0)</f>
        <v>0.14324515120298256</v>
      </c>
      <c r="J19" s="49">
        <f>IFERROR('Historical FS'!J38,0)</f>
        <v>0.13170926136134048</v>
      </c>
      <c r="K19" s="49">
        <f>IFERROR('Historical FS'!K38,0)</f>
        <v>0.10892905309590978</v>
      </c>
      <c r="L19" s="49">
        <f>IFERROR('Historical FS'!L38,0)</f>
        <v>0.10713470885624903</v>
      </c>
      <c r="M19" s="47"/>
      <c r="N19" s="49">
        <f t="shared" si="2"/>
        <v>0.12958918490434829</v>
      </c>
      <c r="O19" s="49">
        <f t="shared" si="3"/>
        <v>0.13248414919433274</v>
      </c>
    </row>
    <row r="20" spans="2:15" x14ac:dyDescent="0.3">
      <c r="O20" s="41"/>
    </row>
    <row r="21" spans="2:15" x14ac:dyDescent="0.3">
      <c r="B21" s="44" t="s">
        <v>138</v>
      </c>
      <c r="C21" s="50">
        <f>IFERROR('Historical FS'!C20,0)</f>
        <v>0.24095598865497875</v>
      </c>
      <c r="D21" s="50">
        <f>IFERROR('Historical FS'!D20,0)</f>
        <v>0.19714614777509556</v>
      </c>
      <c r="E21" s="50">
        <f>IFERROR('Historical FS'!E20,0)</f>
        <v>0.17603390778857281</v>
      </c>
      <c r="F21" s="50">
        <f>IFERROR('Historical FS'!F20,0)</f>
        <v>0.16689264878235138</v>
      </c>
      <c r="G21" s="50">
        <f>IFERROR('Historical FS'!G20,0)</f>
        <v>0.15542002985323528</v>
      </c>
      <c r="H21" s="50">
        <f>IFERROR('Historical FS'!H20,0)</f>
        <v>0.15827829363105436</v>
      </c>
      <c r="I21" s="50">
        <f>IFERROR('Historical FS'!I20,0)</f>
        <v>0.15861592925907142</v>
      </c>
      <c r="J21" s="50">
        <f>IFERROR('Historical FS'!J20,0)</f>
        <v>0.15079330093271176</v>
      </c>
      <c r="K21" s="50">
        <f>IFERROR('Historical FS'!K20,0)</f>
        <v>0.14113144184376436</v>
      </c>
      <c r="L21" s="50">
        <f>IFERROR('Historical FS'!L20,0)</f>
        <v>0.1603884550238189</v>
      </c>
      <c r="M21" s="44"/>
      <c r="N21" s="46">
        <f t="shared" si="2"/>
        <v>0.17056561435446546</v>
      </c>
      <c r="O21" s="46">
        <f t="shared" ref="O21:O23" si="4">IFERROR(MEDIAN(C21:L21),0)</f>
        <v>0.15950219214144518</v>
      </c>
    </row>
    <row r="22" spans="2:15" x14ac:dyDescent="0.3">
      <c r="B22" t="s">
        <v>139</v>
      </c>
      <c r="C22" s="5">
        <f>IFERROR('Historical FS'!C29,0)</f>
        <v>1.4749553908734411E-2</v>
      </c>
      <c r="D22" s="5">
        <f>IFERROR('Historical FS'!D29,0)</f>
        <v>1.7120285462346684E-2</v>
      </c>
      <c r="E22" s="5">
        <f>IFERROR('Historical FS'!E29,0)</f>
        <v>1.8763815755773558E-2</v>
      </c>
      <c r="F22" s="5">
        <f>IFERROR('Historical FS'!F29,0)</f>
        <v>2.1002738980943687E-2</v>
      </c>
      <c r="G22" s="5">
        <f>IFERROR('Historical FS'!G29,0)</f>
        <v>2.0775127158105883E-2</v>
      </c>
      <c r="H22" s="5">
        <f>IFERROR('Historical FS'!H29,0)</f>
        <v>2.5383896166104754E-2</v>
      </c>
      <c r="I22" s="5">
        <f>IFERROR('Historical FS'!I29,0)</f>
        <v>2.5113866330601937E-2</v>
      </c>
      <c r="J22" s="5">
        <f>IFERROR('Historical FS'!J29,0)</f>
        <v>2.322503737826807E-2</v>
      </c>
      <c r="K22" s="5">
        <f>IFERROR('Historical FS'!K29,0)</f>
        <v>2.6969901707648555E-2</v>
      </c>
      <c r="L22" s="5">
        <f>IFERROR('Historical FS'!L29,0)</f>
        <v>3.2183946965537752E-2</v>
      </c>
      <c r="N22" s="41">
        <f t="shared" si="2"/>
        <v>2.2528816981406526E-2</v>
      </c>
      <c r="O22" s="41">
        <f t="shared" si="4"/>
        <v>2.2113888179605877E-2</v>
      </c>
    </row>
    <row r="23" spans="2:15" x14ac:dyDescent="0.3">
      <c r="B23" s="47" t="s">
        <v>140</v>
      </c>
      <c r="C23" s="51">
        <f>C17</f>
        <v>0.15460734347680519</v>
      </c>
      <c r="D23" s="51">
        <f t="shared" ref="D23:L23" si="5">D17</f>
        <v>0.17803991434072944</v>
      </c>
      <c r="E23" s="51">
        <f t="shared" si="5"/>
        <v>0.17977721416572215</v>
      </c>
      <c r="F23" s="51">
        <f t="shared" si="5"/>
        <v>0.1884600192958942</v>
      </c>
      <c r="G23" s="51">
        <f t="shared" si="5"/>
        <v>0.18351871229443595</v>
      </c>
      <c r="H23" s="51">
        <f t="shared" si="5"/>
        <v>0.18099656404871123</v>
      </c>
      <c r="I23" s="51">
        <f t="shared" si="5"/>
        <v>0.1842297093074938</v>
      </c>
      <c r="J23" s="51">
        <f t="shared" si="5"/>
        <v>0.1835961751102981</v>
      </c>
      <c r="K23" s="51">
        <f t="shared" si="5"/>
        <v>0.16058522674544157</v>
      </c>
      <c r="L23" s="51">
        <f t="shared" si="5"/>
        <v>0.16127929596960991</v>
      </c>
      <c r="M23" s="47"/>
      <c r="N23" s="49">
        <f t="shared" si="2"/>
        <v>0.17550901747551415</v>
      </c>
      <c r="O23" s="49">
        <f t="shared" si="4"/>
        <v>0.18038688910721667</v>
      </c>
    </row>
    <row r="24" spans="2:15" x14ac:dyDescent="0.3">
      <c r="O24" s="41"/>
    </row>
    <row r="25" spans="2:15" x14ac:dyDescent="0.3">
      <c r="B25" s="44" t="s">
        <v>141</v>
      </c>
      <c r="C25" s="46">
        <f>IFERROR(('Historical FS'!C22-'Historical FS'!C28)/SUM('Historical FS'!C51:C53),0)</f>
        <v>0.2948455121461947</v>
      </c>
      <c r="D25" s="46">
        <f>IFERROR(('Historical FS'!D22-'Historical FS'!D28)/SUM('Historical FS'!D51:D53),0)</f>
        <v>0.27836360968923762</v>
      </c>
      <c r="E25" s="46">
        <f>IFERROR(('Historical FS'!E22-'Historical FS'!E28)/SUM('Historical FS'!E51:E53),0)</f>
        <v>0.23508387449140311</v>
      </c>
      <c r="F25" s="46">
        <f>IFERROR(('Historical FS'!F22-'Historical FS'!F28)/SUM('Historical FS'!F51:F53),0)</f>
        <v>0.21903008830377593</v>
      </c>
      <c r="G25" s="46">
        <f>IFERROR(('Historical FS'!G22-'Historical FS'!G28)/SUM('Historical FS'!G51:G53),0)</f>
        <v>0.24682477630092942</v>
      </c>
      <c r="H25" s="46">
        <f>IFERROR(('Historical FS'!H22-'Historical FS'!H28)/SUM('Historical FS'!H51:H53),0)</f>
        <v>0.22053133251212859</v>
      </c>
      <c r="I25" s="46">
        <f>IFERROR(('Historical FS'!I22-'Historical FS'!I28)/SUM('Historical FS'!I51:I53),0)</f>
        <v>0.21554244125791189</v>
      </c>
      <c r="J25" s="46">
        <f>IFERROR(('Historical FS'!J22-'Historical FS'!J28)/SUM('Historical FS'!J51:J53),0)</f>
        <v>0.21241473107082906</v>
      </c>
      <c r="K25" s="46">
        <f>IFERROR(('Historical FS'!K22-'Historical FS'!K28)/SUM('Historical FS'!K51:K53),0)</f>
        <v>0.18246978185778126</v>
      </c>
      <c r="L25" s="46">
        <f>IFERROR(('Historical FS'!L22-'Historical FS'!L28)/SUM('Historical FS'!L51:L53),0)</f>
        <v>0.17811775746368</v>
      </c>
      <c r="M25" s="44"/>
      <c r="N25" s="46">
        <f t="shared" si="2"/>
        <v>0.22832239050938719</v>
      </c>
      <c r="O25" s="46">
        <f t="shared" ref="O25:O29" si="6">IFERROR(MEDIAN(C25:L25),0)</f>
        <v>0.21978071040795227</v>
      </c>
    </row>
    <row r="26" spans="2:15" x14ac:dyDescent="0.3">
      <c r="B26" t="s">
        <v>142</v>
      </c>
      <c r="C26" s="41">
        <f>IFERROR('Historical FS'!C48,0)</f>
        <v>0.61574220929087864</v>
      </c>
      <c r="D26" s="41">
        <f>IFERROR('Historical FS'!D48,0)</f>
        <v>0.61821531575850486</v>
      </c>
      <c r="E26" s="41">
        <f>IFERROR('Historical FS'!E48,0)</f>
        <v>0.59737093398890706</v>
      </c>
      <c r="F26" s="41">
        <f>IFERROR('Historical FS'!F48,0)</f>
        <v>0</v>
      </c>
      <c r="G26" s="41">
        <f>IFERROR('Historical FS'!G48,0)</f>
        <v>0.60331084723061568</v>
      </c>
      <c r="H26" s="41">
        <f>IFERROR('Historical FS'!H48,0)</f>
        <v>0.57338065232611446</v>
      </c>
      <c r="I26" s="41">
        <f>IFERROR('Historical FS'!I48,0)</f>
        <v>0.38705956222712123</v>
      </c>
      <c r="J26" s="41">
        <f>IFERROR('Historical FS'!J48,0)</f>
        <v>0.35898168937481745</v>
      </c>
      <c r="K26" s="41">
        <f>IFERROR('Historical FS'!K48,0)</f>
        <v>0.26641400066882126</v>
      </c>
      <c r="L26" s="41">
        <f>IFERROR('Historical FS'!L48,0)</f>
        <v>0.26661148318157946</v>
      </c>
      <c r="N26" s="41">
        <f t="shared" si="2"/>
        <v>0.42870866940473595</v>
      </c>
      <c r="O26" s="41">
        <f t="shared" si="6"/>
        <v>0.48022010727661785</v>
      </c>
    </row>
    <row r="27" spans="2:15" x14ac:dyDescent="0.3">
      <c r="B27" t="s">
        <v>59</v>
      </c>
      <c r="C27" s="41">
        <f>IFERROR('Historical FS'!C37/SUM('Historical FS'!C51:C52),0)</f>
        <v>0.27256763283583874</v>
      </c>
      <c r="D27" s="41">
        <f>IFERROR('Historical FS'!D37/SUM('Historical FS'!D51:D52),0)</f>
        <v>0.24857514847947884</v>
      </c>
      <c r="E27" s="41">
        <f>IFERROR('Historical FS'!E37/SUM('Historical FS'!E51:E52),0)</f>
        <v>0.20307423169994587</v>
      </c>
      <c r="F27" s="41">
        <f>IFERROR('Historical FS'!F37/SUM('Historical FS'!F51:F52),0)</f>
        <v>0.18695457126234563</v>
      </c>
      <c r="G27" s="41">
        <f>IFERROR('Historical FS'!G37/SUM('Historical FS'!G51:G52),0)</f>
        <v>0.21742357520313638</v>
      </c>
      <c r="H27" s="41">
        <f>IFERROR('Historical FS'!H37/SUM('Historical FS'!H51:H52),0)</f>
        <v>0.18811338606517042</v>
      </c>
      <c r="I27" s="41">
        <f>IFERROR('Historical FS'!I37/SUM('Historical FS'!I51:I52),0)</f>
        <v>0.17872442594992102</v>
      </c>
      <c r="J27" s="41">
        <f>IFERROR('Historical FS'!J37/SUM('Historical FS'!J51:J52),0)</f>
        <v>0.17111188001861294</v>
      </c>
      <c r="K27" s="41">
        <f>IFERROR('Historical FS'!K37/SUM('Historical FS'!K51:K52),0)</f>
        <v>0.13996473968212211</v>
      </c>
      <c r="L27" s="41">
        <f>IFERROR('Historical FS'!L37/SUM('Historical FS'!L51:L52),0)</f>
        <v>0.1346908162127648</v>
      </c>
      <c r="N27" s="41">
        <f t="shared" si="2"/>
        <v>0.19412004074093367</v>
      </c>
      <c r="O27" s="41">
        <f t="shared" si="6"/>
        <v>0.18753397866375804</v>
      </c>
    </row>
    <row r="28" spans="2:15" x14ac:dyDescent="0.3">
      <c r="B28" t="s">
        <v>144</v>
      </c>
      <c r="C28" s="41">
        <f>IFERROR(C26*C27,0)</f>
        <v>0.16783139642352438</v>
      </c>
      <c r="D28" s="41">
        <f t="shared" ref="D28:L28" si="7">IFERROR(D26*D27,0)</f>
        <v>0.15367296390695825</v>
      </c>
      <c r="E28" s="41">
        <f t="shared" si="7"/>
        <v>0.12131064345967639</v>
      </c>
      <c r="F28" s="41">
        <f t="shared" si="7"/>
        <v>0</v>
      </c>
      <c r="G28" s="41">
        <f t="shared" si="7"/>
        <v>0.13117400136371368</v>
      </c>
      <c r="H28" s="41">
        <f t="shared" si="7"/>
        <v>0.10786057601332162</v>
      </c>
      <c r="I28" s="41">
        <f t="shared" si="7"/>
        <v>6.9176998067469977E-2</v>
      </c>
      <c r="J28" s="41">
        <f t="shared" si="7"/>
        <v>6.1426031761182741E-2</v>
      </c>
      <c r="K28" s="41">
        <f t="shared" si="7"/>
        <v>3.7288566251284273E-2</v>
      </c>
      <c r="L28" s="41">
        <f t="shared" si="7"/>
        <v>3.5910118281422751E-2</v>
      </c>
      <c r="N28" s="41">
        <f t="shared" si="2"/>
        <v>8.8565129552855421E-2</v>
      </c>
      <c r="O28" s="41">
        <f t="shared" si="6"/>
        <v>8.8518787040395799E-2</v>
      </c>
    </row>
    <row r="29" spans="2:15" x14ac:dyDescent="0.3">
      <c r="B29" s="47" t="s">
        <v>143</v>
      </c>
      <c r="C29" s="52">
        <f>IFERROR(('Historical FS'!C22-'Historical FS'!C28)/'Historical FS'!C25,0)</f>
        <v>30.040877367896314</v>
      </c>
      <c r="D29" s="52">
        <f>IFERROR(('Historical FS'!D22-'Historical FS'!D28)/'Historical FS'!D25,0)</f>
        <v>28.57033828382837</v>
      </c>
      <c r="E29" s="52">
        <f>IFERROR(('Historical FS'!E22-'Historical FS'!E28)/'Historical FS'!E25,0)</f>
        <v>25.333148250971689</v>
      </c>
      <c r="F29" s="52">
        <f>IFERROR(('Historical FS'!F22-'Historical FS'!F28)/'Historical FS'!F25,0)</f>
        <v>27.431856738925557</v>
      </c>
      <c r="G29" s="52">
        <f>IFERROR(('Historical FS'!G22-'Historical FS'!G28)/'Historical FS'!G25,0)</f>
        <v>26.227928835179576</v>
      </c>
      <c r="H29" s="52">
        <f>IFERROR(('Historical FS'!H22-'Historical FS'!H28)/'Historical FS'!H25,0)</f>
        <v>31.729713362939027</v>
      </c>
      <c r="I29" s="52">
        <f>IFERROR(('Historical FS'!I22-'Historical FS'!I28)/'Historical FS'!I25,0)</f>
        <v>57.174294060369952</v>
      </c>
      <c r="J29" s="52">
        <f>IFERROR(('Historical FS'!J22-'Historical FS'!J28)/'Historical FS'!J25,0)</f>
        <v>51.790673575129553</v>
      </c>
      <c r="K29" s="52">
        <f>IFERROR(('Historical FS'!K22-'Historical FS'!K28)/'Historical FS'!K25,0)</f>
        <v>23.664749488752548</v>
      </c>
      <c r="L29" s="52">
        <f>IFERROR(('Historical FS'!L22-'Historical FS'!L28)/'Historical FS'!L25,0)</f>
        <v>16.109760025769052</v>
      </c>
      <c r="M29" s="47"/>
      <c r="N29" s="52">
        <f t="shared" si="2"/>
        <v>31.807333998976169</v>
      </c>
      <c r="O29" s="52">
        <f t="shared" si="6"/>
        <v>28.001097511376962</v>
      </c>
    </row>
    <row r="30" spans="2:15" x14ac:dyDescent="0.3">
      <c r="N30" s="42"/>
      <c r="O30" s="42"/>
    </row>
    <row r="31" spans="2:15" x14ac:dyDescent="0.3">
      <c r="B31" s="44" t="s">
        <v>145</v>
      </c>
      <c r="C31" s="53">
        <f>IFERROR('Historical FS'!C10/'Historical FS'!C63,0)</f>
        <v>10.966588824489335</v>
      </c>
      <c r="D31" s="53">
        <f>IFERROR('Historical FS'!D10/'Historical FS'!D63,0)</f>
        <v>9.6140138408304487</v>
      </c>
      <c r="E31" s="53">
        <f>IFERROR('Historical FS'!E10/'Historical FS'!E63,0)</f>
        <v>11.705651732726547</v>
      </c>
      <c r="F31" s="53">
        <f>IFERROR('Historical FS'!F10/'Historical FS'!F63,0)</f>
        <v>10.936225356900067</v>
      </c>
      <c r="G31" s="53">
        <f>IFERROR('Historical FS'!G10/'Historical FS'!G63,0)</f>
        <v>10.215209463026058</v>
      </c>
      <c r="H31" s="53">
        <f>IFERROR('Historical FS'!H10/'Historical FS'!H63,0)</f>
        <v>10.670532872992665</v>
      </c>
      <c r="I31" s="53">
        <f>IFERROR('Historical FS'!I10/'Historical FS'!I63,0)</f>
        <v>17.026336407991735</v>
      </c>
      <c r="J31" s="53">
        <f>IFERROR('Historical FS'!J10/'Historical FS'!J63,0)</f>
        <v>16.851628878743327</v>
      </c>
      <c r="K31" s="53">
        <f>IFERROR('Historical FS'!K10/'Historical FS'!K63,0)</f>
        <v>13.584553755522826</v>
      </c>
      <c r="L31" s="53">
        <f>IFERROR('Historical FS'!L10/'Historical FS'!L63,0)</f>
        <v>13.801862649100944</v>
      </c>
      <c r="M31" s="44"/>
      <c r="N31" s="53">
        <f t="shared" si="2"/>
        <v>12.537260378232395</v>
      </c>
      <c r="O31" s="53">
        <f t="shared" ref="O31:O35" si="8">IFERROR(MEDIAN(C31:L31),0)</f>
        <v>11.336120278607941</v>
      </c>
    </row>
    <row r="32" spans="2:15" x14ac:dyDescent="0.3">
      <c r="B32" t="s">
        <v>146</v>
      </c>
      <c r="C32" s="42">
        <f>IFERROR('Historical FS'!C10/'Historical FS'!C54,0)</f>
        <v>3.861868244013118</v>
      </c>
      <c r="D32" s="42">
        <f>IFERROR('Historical FS'!D10/'Historical FS'!D54,0)</f>
        <v>3.9763758197161212</v>
      </c>
      <c r="E32" s="42">
        <f>IFERROR('Historical FS'!E10/'Historical FS'!E54,0)</f>
        <v>3.9864858496740583</v>
      </c>
      <c r="F32" s="42">
        <f>IFERROR('Historical FS'!F10/'Historical FS'!F54,0)</f>
        <v>3.7529890353435205</v>
      </c>
      <c r="G32" s="42">
        <f>IFERROR('Historical FS'!G10/'Historical FS'!G54,0)</f>
        <v>4.0439924201767674</v>
      </c>
      <c r="H32" s="42">
        <f>IFERROR('Historical FS'!H10/'Historical FS'!H54,0)</f>
        <v>3.9317650893681746</v>
      </c>
      <c r="I32" s="42">
        <f>IFERROR('Historical FS'!I10/'Historical FS'!I54,0)</f>
        <v>3.5937541108684781</v>
      </c>
      <c r="J32" s="42">
        <f>IFERROR('Historical FS'!J10/'Historical FS'!J54,0)</f>
        <v>3.7907159716758461</v>
      </c>
      <c r="K32" s="42">
        <f>IFERROR('Historical FS'!K10/'Historical FS'!K54,0)</f>
        <v>3.2893390733275703</v>
      </c>
      <c r="L32" s="42">
        <f>IFERROR('Historical FS'!L10/'Historical FS'!L54,0)</f>
        <v>3.1928200217762304</v>
      </c>
      <c r="N32" s="42">
        <f t="shared" si="2"/>
        <v>3.7420105635939875</v>
      </c>
      <c r="O32" s="42">
        <f t="shared" si="8"/>
        <v>3.8262921078444823</v>
      </c>
    </row>
    <row r="33" spans="2:15" x14ac:dyDescent="0.3">
      <c r="B33" t="s">
        <v>147</v>
      </c>
      <c r="C33" s="42">
        <f>IFERROR('Historical FS'!C10/'Historical FS'!C64,0)</f>
        <v>8.0095862402005604</v>
      </c>
      <c r="D33" s="42">
        <f>IFERROR('Historical FS'!D10/'Historical FS'!D64,0)</f>
        <v>7.0949931600547194</v>
      </c>
      <c r="E33" s="42">
        <f>IFERROR('Historical FS'!E10/'Historical FS'!E64,0)</f>
        <v>6.8794806227466996</v>
      </c>
      <c r="F33" s="42">
        <f>IFERROR('Historical FS'!F10/'Historical FS'!F64,0)</f>
        <v>6.1470887930073719</v>
      </c>
      <c r="G33" s="42">
        <f>IFERROR('Historical FS'!G10/'Historical FS'!G64,0)</f>
        <v>6.5473230144633341</v>
      </c>
      <c r="H33" s="42">
        <f>IFERROR('Historical FS'!H10/'Historical FS'!H64,0)</f>
        <v>6.2951789325659444</v>
      </c>
      <c r="I33" s="42">
        <f>IFERROR('Historical FS'!I10/'Historical FS'!I64,0)</f>
        <v>5.5133254145812671</v>
      </c>
      <c r="J33" s="42">
        <f>IFERROR('Historical FS'!J10/'Historical FS'!J64,0)</f>
        <v>5.6967933994987892</v>
      </c>
      <c r="K33" s="42">
        <f>IFERROR('Historical FS'!K10/'Historical FS'!K64,0)</f>
        <v>5.6960231202450347</v>
      </c>
      <c r="L33" s="42">
        <f>IFERROR('Historical FS'!L10/'Historical FS'!L64,0)</f>
        <v>6.3709302146412119</v>
      </c>
      <c r="N33" s="42">
        <f t="shared" si="2"/>
        <v>6.4250722912004932</v>
      </c>
      <c r="O33" s="42">
        <f t="shared" si="8"/>
        <v>6.3330545736035777</v>
      </c>
    </row>
    <row r="34" spans="2:15" x14ac:dyDescent="0.3">
      <c r="B34" t="s">
        <v>148</v>
      </c>
      <c r="C34" s="42">
        <f>IFERROR('Historical FS'!C10/'Historical FS'!C57,0)</f>
        <v>4.1528769983964882</v>
      </c>
      <c r="D34" s="42">
        <f>IFERROR('Historical FS'!D10/'Historical FS'!D57,0)</f>
        <v>4.6657430730478584</v>
      </c>
      <c r="E34" s="42">
        <f>IFERROR('Historical FS'!E10/'Historical FS'!E57,0)</f>
        <v>3.88765829248366</v>
      </c>
      <c r="F34" s="42">
        <f>IFERROR('Historical FS'!F10/'Historical FS'!F57,0)</f>
        <v>3.8074118267746822</v>
      </c>
      <c r="G34" s="42">
        <f>IFERROR('Historical FS'!G10/'Historical FS'!G57,0)</f>
        <v>4.3243933653621527</v>
      </c>
      <c r="H34" s="42">
        <f>IFERROR('Historical FS'!H10/'Historical FS'!H57,0)</f>
        <v>3.8552479713052898</v>
      </c>
      <c r="I34" s="42">
        <f>IFERROR('Historical FS'!I10/'Historical FS'!I57,0)</f>
        <v>4.2630365773188519</v>
      </c>
      <c r="J34" s="42">
        <f>IFERROR('Historical FS'!J10/'Historical FS'!J57,0)</f>
        <v>4.7180033796958272</v>
      </c>
      <c r="K34" s="42">
        <f>IFERROR('Historical FS'!K10/'Historical FS'!K57,0)</f>
        <v>3.2218546099786232</v>
      </c>
      <c r="L34" s="42">
        <f>IFERROR('Historical FS'!L10/'Historical FS'!L57,0)</f>
        <v>3.2513787680209698</v>
      </c>
      <c r="N34" s="42">
        <f t="shared" si="2"/>
        <v>4.0147604862384405</v>
      </c>
      <c r="O34" s="42">
        <f t="shared" si="8"/>
        <v>4.0202676454400743</v>
      </c>
    </row>
    <row r="35" spans="2:15" x14ac:dyDescent="0.3">
      <c r="B35" s="47" t="s">
        <v>149</v>
      </c>
      <c r="C35" s="52">
        <f>IFERROR('Historical FS'!C10/SUM('Historical FS'!C51:C52),0)</f>
        <v>2.3241397198685805</v>
      </c>
      <c r="D35" s="52">
        <f>IFERROR('Historical FS'!D10/SUM('Historical FS'!D51:D52),0)</f>
        <v>1.8653530298925098</v>
      </c>
      <c r="E35" s="52">
        <f>IFERROR('Historical FS'!E10/SUM('Historical FS'!E51:E52),0)</f>
        <v>1.5706576116219246</v>
      </c>
      <c r="F35" s="52">
        <f>IFERROR('Historical FS'!F10/SUM('Historical FS'!F51:F52),0)</f>
        <v>1.3531626981067273</v>
      </c>
      <c r="G35" s="52">
        <f>IFERROR('Historical FS'!G10/SUM('Historical FS'!G51:G52),0)</f>
        <v>1.5119804392295015</v>
      </c>
      <c r="H35" s="52">
        <f>IFERROR('Historical FS'!H10/SUM('Historical FS'!H51:H52),0)</f>
        <v>1.3147091549029255</v>
      </c>
      <c r="I35" s="52">
        <f>IFERROR('Historical FS'!I10/SUM('Historical FS'!I51:I52),0)</f>
        <v>1.247682203892984</v>
      </c>
      <c r="J35" s="52">
        <f>IFERROR('Historical FS'!J10/SUM('Historical FS'!J51:J52),0)</f>
        <v>1.2991636142364549</v>
      </c>
      <c r="K35" s="52">
        <f>IFERROR('Historical FS'!K10/SUM('Historical FS'!K51:K52),0)</f>
        <v>1.2849165186342533</v>
      </c>
      <c r="L35" s="52">
        <f>IFERROR('Historical FS'!L10/SUM('Historical FS'!L51:L52),0)</f>
        <v>1.2572098963137142</v>
      </c>
      <c r="M35" s="47"/>
      <c r="N35" s="52">
        <f t="shared" si="2"/>
        <v>1.5028974886699573</v>
      </c>
      <c r="O35" s="52">
        <f t="shared" si="8"/>
        <v>1.3339359265048265</v>
      </c>
    </row>
    <row r="37" spans="2:15" x14ac:dyDescent="0.3">
      <c r="B37" s="44" t="s">
        <v>150</v>
      </c>
      <c r="C37" s="54">
        <f>IFERROR(365/C31,0)</f>
        <v>33.282911016498005</v>
      </c>
      <c r="D37" s="54">
        <f t="shared" ref="D37:L37" si="9">IFERROR(365/D31,0)</f>
        <v>37.965412370206415</v>
      </c>
      <c r="E37" s="54">
        <f t="shared" si="9"/>
        <v>31.181518836711717</v>
      </c>
      <c r="F37" s="54">
        <f t="shared" si="9"/>
        <v>33.375318090872007</v>
      </c>
      <c r="G37" s="54">
        <f t="shared" si="9"/>
        <v>35.731034328871786</v>
      </c>
      <c r="H37" s="54">
        <f t="shared" si="9"/>
        <v>34.206351673759649</v>
      </c>
      <c r="I37" s="54">
        <f t="shared" si="9"/>
        <v>21.437377440086181</v>
      </c>
      <c r="J37" s="54">
        <f t="shared" si="9"/>
        <v>21.659627245910432</v>
      </c>
      <c r="K37" s="54">
        <f t="shared" si="9"/>
        <v>26.868751566580428</v>
      </c>
      <c r="L37" s="54">
        <f t="shared" si="9"/>
        <v>26.445705864474473</v>
      </c>
      <c r="M37" s="44"/>
      <c r="N37" s="54">
        <f t="shared" si="2"/>
        <v>30.215400843397113</v>
      </c>
      <c r="O37" s="54">
        <f t="shared" ref="O37:O40" si="10">IFERROR(MEDIAN(C37:L37),0)</f>
        <v>32.232214926604861</v>
      </c>
    </row>
    <row r="38" spans="2:15" x14ac:dyDescent="0.3">
      <c r="B38" t="s">
        <v>151</v>
      </c>
      <c r="C38" s="43">
        <f>IFERROR(365/C32,0)</f>
        <v>94.513840695068566</v>
      </c>
      <c r="D38" s="43">
        <f t="shared" ref="D38:L38" si="11">IFERROR(365/D32,0)</f>
        <v>91.792128447772782</v>
      </c>
      <c r="E38" s="43">
        <f t="shared" si="11"/>
        <v>91.559336659841151</v>
      </c>
      <c r="F38" s="43">
        <f t="shared" si="11"/>
        <v>97.255813049981541</v>
      </c>
      <c r="G38" s="43">
        <f t="shared" si="11"/>
        <v>90.25734029047598</v>
      </c>
      <c r="H38" s="43">
        <f t="shared" si="11"/>
        <v>92.833623500801423</v>
      </c>
      <c r="I38" s="43">
        <f t="shared" si="11"/>
        <v>101.56510121161098</v>
      </c>
      <c r="J38" s="43">
        <f t="shared" si="11"/>
        <v>96.287878787878782</v>
      </c>
      <c r="K38" s="43">
        <f t="shared" si="11"/>
        <v>110.96454085858582</v>
      </c>
      <c r="L38" s="43">
        <f t="shared" si="11"/>
        <v>114.31900248387416</v>
      </c>
      <c r="N38" s="43">
        <f t="shared" si="2"/>
        <v>98.134860598589128</v>
      </c>
      <c r="O38" s="43">
        <f t="shared" si="10"/>
        <v>95.400859741473681</v>
      </c>
    </row>
    <row r="39" spans="2:15" x14ac:dyDescent="0.3">
      <c r="B39" t="s">
        <v>152</v>
      </c>
      <c r="C39" s="43">
        <f>IFERROR(365/C33,0)</f>
        <v>45.57039390724637</v>
      </c>
      <c r="D39" s="43">
        <f t="shared" ref="D39:L39" si="12">IFERROR(365/D33,0)</f>
        <v>51.444728947023393</v>
      </c>
      <c r="E39" s="43">
        <f t="shared" si="12"/>
        <v>53.056330850492344</v>
      </c>
      <c r="F39" s="43">
        <f t="shared" si="12"/>
        <v>59.37770093954169</v>
      </c>
      <c r="G39" s="43">
        <f t="shared" si="12"/>
        <v>55.747975041661824</v>
      </c>
      <c r="H39" s="43">
        <f t="shared" si="12"/>
        <v>57.980877733561783</v>
      </c>
      <c r="I39" s="43">
        <f t="shared" si="12"/>
        <v>66.20323898071986</v>
      </c>
      <c r="J39" s="43">
        <f t="shared" si="12"/>
        <v>64.071131670689184</v>
      </c>
      <c r="K39" s="43">
        <f t="shared" si="12"/>
        <v>64.079796077846368</v>
      </c>
      <c r="L39" s="43">
        <f t="shared" si="12"/>
        <v>57.29147670793558</v>
      </c>
      <c r="N39" s="43">
        <f t="shared" si="2"/>
        <v>57.482365085671837</v>
      </c>
      <c r="O39" s="43">
        <f t="shared" si="10"/>
        <v>57.636177220748678</v>
      </c>
    </row>
    <row r="40" spans="2:15" x14ac:dyDescent="0.3">
      <c r="B40" s="47" t="s">
        <v>153</v>
      </c>
      <c r="C40" s="55">
        <f>SUM(C37,C39)-C38</f>
        <v>-15.660535771324192</v>
      </c>
      <c r="D40" s="55">
        <f t="shared" ref="D40:L40" si="13">SUM(D37,D39)-D38</f>
        <v>-2.3819871305429814</v>
      </c>
      <c r="E40" s="55">
        <f t="shared" si="13"/>
        <v>-7.3214869726370893</v>
      </c>
      <c r="F40" s="55">
        <f t="shared" si="13"/>
        <v>-4.502794019567844</v>
      </c>
      <c r="G40" s="55">
        <f t="shared" si="13"/>
        <v>1.2216690800576373</v>
      </c>
      <c r="H40" s="55">
        <f t="shared" si="13"/>
        <v>-0.64639409347998367</v>
      </c>
      <c r="I40" s="55">
        <f t="shared" si="13"/>
        <v>-13.924484790804939</v>
      </c>
      <c r="J40" s="55">
        <f t="shared" si="13"/>
        <v>-10.55711987127917</v>
      </c>
      <c r="K40" s="55">
        <f t="shared" si="13"/>
        <v>-20.015993214159025</v>
      </c>
      <c r="L40" s="55">
        <f t="shared" si="13"/>
        <v>-30.581819911464109</v>
      </c>
      <c r="M40" s="47"/>
      <c r="N40" s="55">
        <f t="shared" si="2"/>
        <v>-10.437094669520169</v>
      </c>
      <c r="O40" s="55">
        <f t="shared" si="10"/>
        <v>-8.9393034219581295</v>
      </c>
    </row>
    <row r="42" spans="2:15" x14ac:dyDescent="0.3">
      <c r="B42" s="44" t="s">
        <v>154</v>
      </c>
      <c r="C42" s="46">
        <f>IFERROR('Historical FS'!C74/'Historical FS'!C10,0)</f>
        <v>0.13433536570504229</v>
      </c>
      <c r="D42" s="46">
        <f>IFERROR('Historical FS'!D74/'Historical FS'!D10,0)</f>
        <v>0.15257607658946534</v>
      </c>
      <c r="E42" s="46">
        <f>IFERROR('Historical FS'!E74/'Historical FS'!E10,0)</f>
        <v>0.16115130969752772</v>
      </c>
      <c r="F42" s="46">
        <f>IFERROR('Historical FS'!F74/'Historical FS'!F10,0)</f>
        <v>0.14135213711740061</v>
      </c>
      <c r="G42" s="46">
        <f>IFERROR('Historical FS'!G74/'Historical FS'!G10,0)</f>
        <v>0.17605775226982065</v>
      </c>
      <c r="H42" s="46">
        <f>IFERROR('Historical FS'!H74/'Historical FS'!H10,0)</f>
        <v>0.18580159914515743</v>
      </c>
      <c r="I42" s="46">
        <f>IFERROR('Historical FS'!I74/'Historical FS'!I10,0)</f>
        <v>0.2211616195949444</v>
      </c>
      <c r="J42" s="46">
        <f>IFERROR('Historical FS'!J74/'Historical FS'!J10,0)</f>
        <v>0.16552327738532127</v>
      </c>
      <c r="K42" s="46">
        <f>IFERROR('Historical FS'!K74/'Historical FS'!K10,0)</f>
        <v>0.1290931656763421</v>
      </c>
      <c r="L42" s="46">
        <f>IFERROR('Historical FS'!L74/'Historical FS'!L10,0)</f>
        <v>0.16232411937752389</v>
      </c>
      <c r="M42" s="44"/>
      <c r="N42" s="46">
        <f t="shared" si="2"/>
        <v>0.16293764225585455</v>
      </c>
      <c r="O42" s="46">
        <f t="shared" ref="O42:O44" si="14">IFERROR(MEDIAN(C42:L42),0)</f>
        <v>0.16173771453752581</v>
      </c>
    </row>
    <row r="43" spans="2:15" x14ac:dyDescent="0.3">
      <c r="B43" t="s">
        <v>155</v>
      </c>
      <c r="C43" s="41">
        <f>IFERROR('Historical FS'!C74/'Historical FS'!C68,0)</f>
        <v>0.17149721270560797</v>
      </c>
      <c r="D43" s="41">
        <f>IFERROR('Historical FS'!D74/'Historical FS'!D68,0)</f>
        <v>0.17122600002885047</v>
      </c>
      <c r="E43" s="41">
        <f>IFERROR('Historical FS'!E74/'Historical FS'!E68,0)</f>
        <v>0.15867846833517843</v>
      </c>
      <c r="F43" s="41">
        <f>IFERROR('Historical FS'!F74/'Historical FS'!F68,0)</f>
        <v>0.12543626883698802</v>
      </c>
      <c r="G43" s="41">
        <f>IFERROR('Historical FS'!G74/'Historical FS'!G68,0)</f>
        <v>0.17769277816761178</v>
      </c>
      <c r="H43" s="41">
        <f>IFERROR('Historical FS'!H74/'Historical FS'!H68,0)</f>
        <v>0.17282773777978661</v>
      </c>
      <c r="I43" s="41">
        <f>IFERROR('Historical FS'!I74/'Historical FS'!I68,0)</f>
        <v>0.19520234980919798</v>
      </c>
      <c r="J43" s="41">
        <f>IFERROR('Historical FS'!J74/'Historical FS'!J68,0)</f>
        <v>0.14672342407028408</v>
      </c>
      <c r="K43" s="41">
        <f>IFERROR('Historical FS'!K74/'Historical FS'!K68,0)</f>
        <v>0.1090242801934915</v>
      </c>
      <c r="L43" s="41">
        <f>IFERROR('Historical FS'!L74/'Historical FS'!L68,0)</f>
        <v>0.13319807149340185</v>
      </c>
      <c r="N43" s="41">
        <f t="shared" si="2"/>
        <v>0.15615065914203988</v>
      </c>
      <c r="O43" s="41">
        <f t="shared" si="14"/>
        <v>0.16495223418201443</v>
      </c>
    </row>
    <row r="44" spans="2:15" x14ac:dyDescent="0.3">
      <c r="B44" s="47" t="s">
        <v>156</v>
      </c>
      <c r="C44" s="49">
        <f>IFERROR('Historical FS'!C74/'Historical FS'!C53,0)</f>
        <v>1.4275723867168331</v>
      </c>
      <c r="D44" s="49">
        <f>IFERROR('Historical FS'!D74/'Historical FS'!D53,0)</f>
        <v>1.4741188743448994</v>
      </c>
      <c r="E44" s="49">
        <f>IFERROR('Historical FS'!E74/'Historical FS'!E53,0)</f>
        <v>1.2584</v>
      </c>
      <c r="F44" s="49">
        <f>IFERROR('Historical FS'!F74/'Historical FS'!F53,0)</f>
        <v>1.1641549077955182</v>
      </c>
      <c r="G44" s="49">
        <f>IFERROR('Historical FS'!G74/'Historical FS'!G53,0)</f>
        <v>2.1435434748416435</v>
      </c>
      <c r="H44" s="49">
        <f>IFERROR('Historical FS'!H74/'Historical FS'!H53,0)</f>
        <v>3.091285273664246</v>
      </c>
      <c r="I44" s="49">
        <f>IFERROR('Historical FS'!I74/'Historical FS'!I53,0)</f>
        <v>4.1540682827171649</v>
      </c>
      <c r="J44" s="49">
        <f>IFERROR('Historical FS'!J74/'Historical FS'!J53,0)</f>
        <v>1.7496650810600913</v>
      </c>
      <c r="K44" s="49">
        <f>IFERROR('Historical FS'!K74/'Historical FS'!K53,0)</f>
        <v>1.2680547627769874</v>
      </c>
      <c r="L44" s="49">
        <f>IFERROR('Historical FS'!L74/'Historical FS'!L53,0)</f>
        <v>1.4749723461456754</v>
      </c>
      <c r="M44" s="47"/>
      <c r="N44" s="49">
        <f t="shared" si="2"/>
        <v>1.9205835390063062</v>
      </c>
      <c r="O44" s="49">
        <f t="shared" si="14"/>
        <v>1.4745456102452874</v>
      </c>
    </row>
  </sheetData>
  <mergeCells count="1">
    <mergeCell ref="B6:O6"/>
  </mergeCells>
  <pageMargins left="0.25" right="0.25" top="0.75" bottom="0.75" header="0.3" footer="0.3"/>
  <pageSetup scale="74" fitToHeight="0" orientation="landscape" r:id="rId1"/>
  <drawing r:id="rId2"/>
  <extLst>
    <ext xmlns:x14="http://schemas.microsoft.com/office/spreadsheetml/2009/9/main" uri="{05C60535-1F16-4fd2-B633-F4F36F0B64E0}">
      <x14:sparklineGroups xmlns:xm="http://schemas.microsoft.com/office/excel/2006/main">
        <x14:sparklineGroup displayEmptyCellsAs="gap" xr2:uid="{D12E7815-8B66-4948-9176-35FD303E6BA1}">
          <x14:colorSeries rgb="FF376092"/>
          <x14:colorNegative rgb="FFD00000"/>
          <x14:colorAxis rgb="FF000000"/>
          <x14:colorMarkers rgb="FFD00000"/>
          <x14:colorFirst rgb="FFD00000"/>
          <x14:colorLast rgb="FFD00000"/>
          <x14:colorHigh rgb="FFD00000"/>
          <x14:colorLow rgb="FFD00000"/>
          <x14:sparklines>
            <x14:sparkline>
              <xm:f>Ratios!C15:L15</xm:f>
              <xm:sqref>M15</xm:sqref>
            </x14:sparkline>
            <x14:sparkline>
              <xm:f>Ratios!C16:L16</xm:f>
              <xm:sqref>M16</xm:sqref>
            </x14:sparkline>
            <x14:sparkline>
              <xm:f>Ratios!C17:L17</xm:f>
              <xm:sqref>M17</xm:sqref>
            </x14:sparkline>
            <x14:sparkline>
              <xm:f>Ratios!C18:L18</xm:f>
              <xm:sqref>M18</xm:sqref>
            </x14:sparkline>
            <x14:sparkline>
              <xm:f>Ratios!C19:L19</xm:f>
              <xm:sqref>M19</xm:sqref>
            </x14:sparkline>
            <x14:sparkline>
              <xm:f>Ratios!C20:L20</xm:f>
              <xm:sqref>M20</xm:sqref>
            </x14:sparkline>
            <x14:sparkline>
              <xm:f>Ratios!C21:L21</xm:f>
              <xm:sqref>M21</xm:sqref>
            </x14:sparkline>
            <x14:sparkline>
              <xm:f>Ratios!C22:L22</xm:f>
              <xm:sqref>M22</xm:sqref>
            </x14:sparkline>
            <x14:sparkline>
              <xm:f>Ratios!C23:L23</xm:f>
              <xm:sqref>M23</xm:sqref>
            </x14:sparkline>
            <x14:sparkline>
              <xm:f>Ratios!C24:L24</xm:f>
              <xm:sqref>M24</xm:sqref>
            </x14:sparkline>
            <x14:sparkline>
              <xm:f>Ratios!C25:L25</xm:f>
              <xm:sqref>M25</xm:sqref>
            </x14:sparkline>
            <x14:sparkline>
              <xm:f>Ratios!C26:L26</xm:f>
              <xm:sqref>M26</xm:sqref>
            </x14:sparkline>
            <x14:sparkline>
              <xm:f>Ratios!C27:L27</xm:f>
              <xm:sqref>M27</xm:sqref>
            </x14:sparkline>
            <x14:sparkline>
              <xm:f>Ratios!C28:L28</xm:f>
              <xm:sqref>M28</xm:sqref>
            </x14:sparkline>
            <x14:sparkline>
              <xm:f>Ratios!C29:L29</xm:f>
              <xm:sqref>M29</xm:sqref>
            </x14:sparkline>
            <x14:sparkline>
              <xm:f>Ratios!C30:L30</xm:f>
              <xm:sqref>M30</xm:sqref>
            </x14:sparkline>
            <x14:sparkline>
              <xm:f>Ratios!C31:L31</xm:f>
              <xm:sqref>M31</xm:sqref>
            </x14:sparkline>
            <x14:sparkline>
              <xm:f>Ratios!C32:L32</xm:f>
              <xm:sqref>M32</xm:sqref>
            </x14:sparkline>
            <x14:sparkline>
              <xm:f>Ratios!C33:L33</xm:f>
              <xm:sqref>M33</xm:sqref>
            </x14:sparkline>
            <x14:sparkline>
              <xm:f>Ratios!C34:L34</xm:f>
              <xm:sqref>M34</xm:sqref>
            </x14:sparkline>
            <x14:sparkline>
              <xm:f>Ratios!C35:L35</xm:f>
              <xm:sqref>M35</xm:sqref>
            </x14:sparkline>
            <x14:sparkline>
              <xm:f>Ratios!C36:L36</xm:f>
              <xm:sqref>M36</xm:sqref>
            </x14:sparkline>
            <x14:sparkline>
              <xm:f>Ratios!C37:L37</xm:f>
              <xm:sqref>M37</xm:sqref>
            </x14:sparkline>
            <x14:sparkline>
              <xm:f>Ratios!C38:L38</xm:f>
              <xm:sqref>M38</xm:sqref>
            </x14:sparkline>
            <x14:sparkline>
              <xm:f>Ratios!C39:L39</xm:f>
              <xm:sqref>M39</xm:sqref>
            </x14:sparkline>
            <x14:sparkline>
              <xm:f>Ratios!C40:L40</xm:f>
              <xm:sqref>M40</xm:sqref>
            </x14:sparkline>
            <x14:sparkline>
              <xm:f>Ratios!C41:L41</xm:f>
              <xm:sqref>M41</xm:sqref>
            </x14:sparkline>
            <x14:sparkline>
              <xm:f>Ratios!C42:L42</xm:f>
              <xm:sqref>M42</xm:sqref>
            </x14:sparkline>
            <x14:sparkline>
              <xm:f>Ratios!C43:L43</xm:f>
              <xm:sqref>M43</xm:sqref>
            </x14:sparkline>
            <x14:sparkline>
              <xm:f>Ratios!C44:L44</xm:f>
              <xm:sqref>M44</xm:sqref>
            </x14:sparkline>
            <x14:sparkline>
              <xm:f>Ratios!C45:L45</xm:f>
              <xm:sqref>M45</xm:sqref>
            </x14:sparkline>
            <x14:sparkline>
              <xm:f>Ratios!C46:L46</xm:f>
              <xm:sqref>M46</xm:sqref>
            </x14:sparkline>
            <x14:sparkline>
              <xm:f>Ratios!C47:L47</xm:f>
              <xm:sqref>M47</xm:sqref>
            </x14:sparkline>
          </x14:sparklines>
        </x14:sparklineGroup>
        <x14:sparklineGroup displayEmptyCellsAs="gap" xr2:uid="{3FDB5F67-0AF0-4FF8-89A8-EDA27F11B7FC}">
          <x14:colorSeries rgb="FF376092"/>
          <x14:colorNegative rgb="FFD00000"/>
          <x14:colorAxis rgb="FF000000"/>
          <x14:colorMarkers rgb="FFD00000"/>
          <x14:colorFirst rgb="FFD00000"/>
          <x14:colorLast rgb="FFD00000"/>
          <x14:colorHigh rgb="FFD00000"/>
          <x14:colorLow rgb="FFD00000"/>
          <x14:sparklines>
            <x14:sparkline>
              <xm:f>Ratios!D9:L9</xm:f>
              <xm:sqref>M9</xm:sqref>
            </x14:sparkline>
            <x14:sparkline>
              <xm:f>Ratios!D10:L10</xm:f>
              <xm:sqref>M10</xm:sqref>
            </x14:sparkline>
            <x14:sparkline>
              <xm:f>Ratios!D11:L11</xm:f>
              <xm:sqref>M11</xm:sqref>
            </x14:sparkline>
            <x14:sparkline>
              <xm:f>Ratios!D12:L12</xm:f>
              <xm:sqref>M12</xm:sqref>
            </x14:sparkline>
            <x14:sparkline>
              <xm:f>Ratios!D13:L13</xm:f>
              <xm:sqref>M13</xm:sqref>
            </x14:sparkline>
          </x14:sparklines>
        </x14:sparklineGroup>
      </x14:sparklineGroup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ED8B-0099-424D-8573-AE7C3E3D05F8}">
  <sheetPr>
    <pageSetUpPr fitToPage="1"/>
  </sheetPr>
  <dimension ref="B2:L40"/>
  <sheetViews>
    <sheetView showGridLines="0" zoomScale="75" zoomScaleNormal="100" workbookViewId="0">
      <selection activeCell="O20" sqref="O20"/>
    </sheetView>
  </sheetViews>
  <sheetFormatPr defaultRowHeight="14.4" x14ac:dyDescent="0.3"/>
  <cols>
    <col min="1" max="1" width="1.88671875" customWidth="1"/>
    <col min="2" max="2" width="22" bestFit="1" customWidth="1"/>
    <col min="3" max="12" width="11.88671875" bestFit="1" customWidth="1"/>
  </cols>
  <sheetData>
    <row r="2" spans="2:12" ht="31.2" x14ac:dyDescent="0.3">
      <c r="B2" s="229" t="s">
        <v>63</v>
      </c>
      <c r="C2" s="225"/>
      <c r="D2" s="225"/>
      <c r="E2" s="225"/>
      <c r="F2" s="225"/>
      <c r="G2" s="225"/>
      <c r="H2" s="225"/>
      <c r="I2" s="225"/>
      <c r="J2" s="225"/>
      <c r="K2" s="225"/>
      <c r="L2" s="225"/>
    </row>
    <row r="3" spans="2:12" ht="4.2" customHeight="1" x14ac:dyDescent="0.3">
      <c r="B3" s="225"/>
      <c r="C3" s="225"/>
      <c r="D3" s="225"/>
      <c r="E3" s="225"/>
      <c r="F3" s="225"/>
      <c r="G3" s="225"/>
      <c r="H3" s="225"/>
      <c r="I3" s="225"/>
      <c r="J3" s="225"/>
      <c r="K3" s="225"/>
      <c r="L3" s="225"/>
    </row>
    <row r="4" spans="2:12" ht="15.6" x14ac:dyDescent="0.3">
      <c r="B4" s="230" t="s">
        <v>1593</v>
      </c>
      <c r="C4" s="225"/>
      <c r="D4" s="225"/>
      <c r="E4" s="225"/>
      <c r="F4" s="225"/>
      <c r="G4" s="225"/>
      <c r="H4" s="225"/>
      <c r="I4" s="225"/>
      <c r="J4" s="225"/>
      <c r="K4" s="225"/>
      <c r="L4" s="225"/>
    </row>
    <row r="6" spans="2:12" x14ac:dyDescent="0.3">
      <c r="B6" s="312" t="str">
        <f>"Common Size Income Statements - " &amp; 'Data Sheet'!B1</f>
        <v>Common Size Income Statements - DABUR INDIA LTD</v>
      </c>
      <c r="C6" s="312"/>
      <c r="D6" s="312"/>
      <c r="E6" s="312"/>
      <c r="F6" s="312"/>
      <c r="G6" s="312"/>
      <c r="H6" s="312"/>
      <c r="I6" s="312"/>
      <c r="J6" s="312"/>
      <c r="K6" s="312"/>
      <c r="L6" s="312"/>
    </row>
    <row r="7" spans="2:12" x14ac:dyDescent="0.3">
      <c r="B7" s="236" t="s">
        <v>162</v>
      </c>
      <c r="C7" s="240">
        <f>'Data Sheet'!B16</f>
        <v>42094</v>
      </c>
      <c r="D7" s="240">
        <f>'Data Sheet'!C16</f>
        <v>42460</v>
      </c>
      <c r="E7" s="240">
        <f>'Data Sheet'!D16</f>
        <v>42825</v>
      </c>
      <c r="F7" s="240">
        <f>'Data Sheet'!E16</f>
        <v>43190</v>
      </c>
      <c r="G7" s="240">
        <f>'Data Sheet'!F16</f>
        <v>43555</v>
      </c>
      <c r="H7" s="240">
        <f>'Data Sheet'!G16</f>
        <v>43921</v>
      </c>
      <c r="I7" s="240">
        <f>'Data Sheet'!H16</f>
        <v>44286</v>
      </c>
      <c r="J7" s="240">
        <f>'Data Sheet'!I16</f>
        <v>44651</v>
      </c>
      <c r="K7" s="240">
        <f>'Data Sheet'!J16</f>
        <v>45016</v>
      </c>
      <c r="L7" s="240">
        <f>'Data Sheet'!K16</f>
        <v>45382</v>
      </c>
    </row>
    <row r="8" spans="2:12" ht="3.6" customHeight="1" x14ac:dyDescent="0.3">
      <c r="C8" s="56"/>
      <c r="D8" s="56"/>
      <c r="E8" s="56"/>
      <c r="F8" s="56"/>
      <c r="G8" s="56"/>
      <c r="H8" s="56"/>
      <c r="I8" s="56"/>
      <c r="J8" s="56"/>
      <c r="K8" s="56"/>
      <c r="L8" s="56"/>
    </row>
    <row r="9" spans="2:12" x14ac:dyDescent="0.3">
      <c r="B9" s="58" t="str">
        <f>'Data Sheet'!A17</f>
        <v>Sales</v>
      </c>
      <c r="C9" s="59">
        <f>'Data Sheet'!B17/'Data Sheet'!B$17</f>
        <v>1</v>
      </c>
      <c r="D9" s="59">
        <f>'Data Sheet'!C17/'Data Sheet'!C$17</f>
        <v>1</v>
      </c>
      <c r="E9" s="59">
        <f>'Data Sheet'!D17/'Data Sheet'!D$17</f>
        <v>1</v>
      </c>
      <c r="F9" s="59">
        <f>'Data Sheet'!E17/'Data Sheet'!E$17</f>
        <v>1</v>
      </c>
      <c r="G9" s="59">
        <f>'Data Sheet'!F17/'Data Sheet'!F$17</f>
        <v>1</v>
      </c>
      <c r="H9" s="59">
        <f>'Data Sheet'!G17/'Data Sheet'!G$17</f>
        <v>1</v>
      </c>
      <c r="I9" s="59">
        <f>'Data Sheet'!H17/'Data Sheet'!H$17</f>
        <v>1</v>
      </c>
      <c r="J9" s="59">
        <f>'Data Sheet'!I17/'Data Sheet'!I$17</f>
        <v>1</v>
      </c>
      <c r="K9" s="59">
        <f>'Data Sheet'!J17/'Data Sheet'!J$17</f>
        <v>1</v>
      </c>
      <c r="L9" s="59">
        <f>'Data Sheet'!K17/'Data Sheet'!K$17</f>
        <v>1</v>
      </c>
    </row>
    <row r="10" spans="2:12" x14ac:dyDescent="0.3">
      <c r="B10" s="189" t="str">
        <f>'Data Sheet'!A18</f>
        <v>Raw Material Cost</v>
      </c>
      <c r="C10" s="84">
        <f>'Data Sheet'!B18/'Data Sheet'!B$17</f>
        <v>0.33788382770037545</v>
      </c>
      <c r="D10" s="84">
        <f>'Data Sheet'!C18/'Data Sheet'!C$17</f>
        <v>0.35217091749510904</v>
      </c>
      <c r="E10" s="84">
        <f>'Data Sheet'!D18/'Data Sheet'!D$17</f>
        <v>0.3493161570297324</v>
      </c>
      <c r="F10" s="84">
        <f>'Data Sheet'!E18/'Data Sheet'!E$17</f>
        <v>0.35941516605476664</v>
      </c>
      <c r="G10" s="84">
        <f>'Data Sheet'!F18/'Data Sheet'!F$17</f>
        <v>0.36029989465636481</v>
      </c>
      <c r="H10" s="84">
        <f>'Data Sheet'!G18/'Data Sheet'!G$17</f>
        <v>0.36138400670609261</v>
      </c>
      <c r="I10" s="84">
        <f>'Data Sheet'!H18/'Data Sheet'!H$17</f>
        <v>0.39368728200676667</v>
      </c>
      <c r="J10" s="84">
        <f>'Data Sheet'!I18/'Data Sheet'!I$17</f>
        <v>0.37990830844510076</v>
      </c>
      <c r="K10" s="84">
        <f>'Data Sheet'!J18/'Data Sheet'!J$17</f>
        <v>0.41301608254718825</v>
      </c>
      <c r="L10" s="84">
        <f>'Data Sheet'!K18/'Data Sheet'!K$17</f>
        <v>0.38010933561001642</v>
      </c>
    </row>
    <row r="11" spans="2:12" x14ac:dyDescent="0.3">
      <c r="B11" s="189" t="str">
        <f>'Data Sheet'!A19</f>
        <v>Change in Inventory</v>
      </c>
      <c r="C11" s="84">
        <f>'Data Sheet'!B19/'Data Sheet'!B$17</f>
        <v>3.3237166618134335E-3</v>
      </c>
      <c r="D11" s="84">
        <f>'Data Sheet'!C19/'Data Sheet'!C$17</f>
        <v>9.0659488975096594E-3</v>
      </c>
      <c r="E11" s="84">
        <f>'Data Sheet'!D19/'Data Sheet'!D$17</f>
        <v>3.0235408000693497E-3</v>
      </c>
      <c r="F11" s="84">
        <f>'Data Sheet'!E19/'Data Sheet'!E$17</f>
        <v>8.5381093908843096E-3</v>
      </c>
      <c r="G11" s="84">
        <f>'Data Sheet'!F19/'Data Sheet'!F$17</f>
        <v>-1.4844409682219239E-3</v>
      </c>
      <c r="H11" s="84">
        <f>'Data Sheet'!G19/'Data Sheet'!G$17</f>
        <v>7.4890841762007415E-3</v>
      </c>
      <c r="I11" s="84">
        <f>'Data Sheet'!H19/'Data Sheet'!H$17</f>
        <v>2.1669900069548664E-2</v>
      </c>
      <c r="J11" s="84">
        <f>'Data Sheet'!I19/'Data Sheet'!I$17</f>
        <v>7.8521914502033307E-4</v>
      </c>
      <c r="K11" s="84">
        <f>'Data Sheet'!J19/'Data Sheet'!J$17</f>
        <v>7.8743162337194892E-3</v>
      </c>
      <c r="L11" s="84">
        <f>'Data Sheet'!K19/'Data Sheet'!K$17</f>
        <v>-3.9463044612185897E-3</v>
      </c>
    </row>
    <row r="12" spans="2:12" x14ac:dyDescent="0.3">
      <c r="B12" s="189" t="str">
        <f>'Data Sheet'!A20</f>
        <v>Power and Fuel</v>
      </c>
      <c r="C12" s="84">
        <f>'Data Sheet'!B20/'Data Sheet'!B$17</f>
        <v>1.1590034750862357E-2</v>
      </c>
      <c r="D12" s="84">
        <f>'Data Sheet'!C20/'Data Sheet'!C$17</f>
        <v>1.0797387032338174E-2</v>
      </c>
      <c r="E12" s="84">
        <f>'Data Sheet'!D20/'Data Sheet'!D$17</f>
        <v>1.1489980416597163E-2</v>
      </c>
      <c r="F12" s="84">
        <f>'Data Sheet'!E20/'Data Sheet'!E$17</f>
        <v>1.2161593400545205E-2</v>
      </c>
      <c r="G12" s="84">
        <f>'Data Sheet'!F20/'Data Sheet'!F$17</f>
        <v>1.2361729138848079E-2</v>
      </c>
      <c r="H12" s="84">
        <f>'Data Sheet'!G20/'Data Sheet'!G$17</f>
        <v>1.2334420309880434E-2</v>
      </c>
      <c r="I12" s="84">
        <f>'Data Sheet'!H20/'Data Sheet'!H$17</f>
        <v>1.0877829663290333E-2</v>
      </c>
      <c r="J12" s="84">
        <f>'Data Sheet'!I20/'Data Sheet'!I$17</f>
        <v>1.1815940958867373E-2</v>
      </c>
      <c r="K12" s="84">
        <f>'Data Sheet'!J20/'Data Sheet'!J$17</f>
        <v>1.3060835792882674E-2</v>
      </c>
      <c r="L12" s="84">
        <f>'Data Sheet'!K20/'Data Sheet'!K$17</f>
        <v>1.2370193187525646E-2</v>
      </c>
    </row>
    <row r="13" spans="2:12" x14ac:dyDescent="0.3">
      <c r="B13" s="189" t="str">
        <f>'Data Sheet'!A21</f>
        <v>Other Mfr. Exp</v>
      </c>
      <c r="C13" s="84">
        <f>'Data Sheet'!B21/'Data Sheet'!B$17</f>
        <v>0.15500244372066413</v>
      </c>
      <c r="D13" s="84">
        <f>'Data Sheet'!C21/'Data Sheet'!C$17</f>
        <v>0.15171742723975085</v>
      </c>
      <c r="E13" s="84">
        <f>'Data Sheet'!D21/'Data Sheet'!D$17</f>
        <v>0.16384123652573884</v>
      </c>
      <c r="F13" s="84">
        <f>'Data Sheet'!E21/'Data Sheet'!E$17</f>
        <v>0.15786372436657017</v>
      </c>
      <c r="G13" s="84">
        <f>'Data Sheet'!F21/'Data Sheet'!F$17</f>
        <v>0.15591680084180959</v>
      </c>
      <c r="H13" s="84">
        <f>'Data Sheet'!G21/'Data Sheet'!G$17</f>
        <v>0.15982009616978943</v>
      </c>
      <c r="I13" s="84">
        <f>'Data Sheet'!H21/'Data Sheet'!H$17</f>
        <v>0.14091082606035568</v>
      </c>
      <c r="J13" s="84">
        <f>'Data Sheet'!I21/'Data Sheet'!I$17</f>
        <v>0.15213322459655348</v>
      </c>
      <c r="K13" s="84">
        <f>'Data Sheet'!J21/'Data Sheet'!J$17</f>
        <v>0.15437354562792882</v>
      </c>
      <c r="L13" s="84">
        <f>'Data Sheet'!K21/'Data Sheet'!K$17</f>
        <v>0.14966934080188585</v>
      </c>
    </row>
    <row r="14" spans="2:12" x14ac:dyDescent="0.3">
      <c r="B14" s="189" t="str">
        <f>'Data Sheet'!A22</f>
        <v>Employee Cost</v>
      </c>
      <c r="C14" s="84">
        <f>'Data Sheet'!B22/'Data Sheet'!B$17</f>
        <v>8.8534524449393179E-2</v>
      </c>
      <c r="D14" s="84">
        <f>'Data Sheet'!C22/'Data Sheet'!C$17</f>
        <v>0.10207386955213982</v>
      </c>
      <c r="E14" s="84">
        <f>'Data Sheet'!D22/'Data Sheet'!D$17</f>
        <v>0.10380122911793253</v>
      </c>
      <c r="F14" s="84">
        <f>'Data Sheet'!E22/'Data Sheet'!E$17</f>
        <v>0.10274221850981306</v>
      </c>
      <c r="G14" s="84">
        <f>'Data Sheet'!F22/'Data Sheet'!F$17</f>
        <v>0.11022326508897838</v>
      </c>
      <c r="H14" s="84">
        <f>'Data Sheet'!G22/'Data Sheet'!G$17</f>
        <v>0.10929180714456789</v>
      </c>
      <c r="I14" s="84">
        <f>'Data Sheet'!H22/'Data Sheet'!H$17</f>
        <v>0.10823445744196872</v>
      </c>
      <c r="J14" s="84">
        <f>'Data Sheet'!I22/'Data Sheet'!I$17</f>
        <v>9.9313231723220818E-2</v>
      </c>
      <c r="K14" s="84">
        <f>'Data Sheet'!J22/'Data Sheet'!J$17</f>
        <v>9.8737281968865276E-2</v>
      </c>
      <c r="L14" s="84">
        <f>'Data Sheet'!K22/'Data Sheet'!K$17</f>
        <v>0.10005312798038699</v>
      </c>
    </row>
    <row r="15" spans="2:12" x14ac:dyDescent="0.3">
      <c r="B15" s="189" t="str">
        <f>'Data Sheet'!A23</f>
        <v>Selling and admin</v>
      </c>
      <c r="C15" s="84">
        <f>'Data Sheet'!B23/'Data Sheet'!B$17</f>
        <v>0.21050120005285108</v>
      </c>
      <c r="D15" s="84">
        <f>'Data Sheet'!C23/'Data Sheet'!C$17</f>
        <v>0.15649012938868795</v>
      </c>
      <c r="E15" s="84">
        <f>'Data Sheet'!D23/'Data Sheet'!D$17</f>
        <v>0.15254301847091845</v>
      </c>
      <c r="F15" s="84">
        <f>'Data Sheet'!E23/'Data Sheet'!E$17</f>
        <v>0.14703471318401679</v>
      </c>
      <c r="G15" s="84">
        <f>'Data Sheet'!F23/'Data Sheet'!F$17</f>
        <v>0.13899722724278007</v>
      </c>
      <c r="H15" s="84">
        <f>'Data Sheet'!G23/'Data Sheet'!G$17</f>
        <v>0.14100642053096041</v>
      </c>
      <c r="I15" s="84">
        <f>'Data Sheet'!H23/'Data Sheet'!H$17</f>
        <v>0.14519146799976992</v>
      </c>
      <c r="J15" s="84">
        <f>'Data Sheet'!I23/'Data Sheet'!I$17</f>
        <v>0.13598618014304764</v>
      </c>
      <c r="K15" s="84">
        <f>'Data Sheet'!J23/'Data Sheet'!J$17</f>
        <v>0.12376093787538303</v>
      </c>
      <c r="L15" s="84">
        <f>'Data Sheet'!K23/'Data Sheet'!K$17</f>
        <v>0.14350117421704756</v>
      </c>
    </row>
    <row r="16" spans="2:12" x14ac:dyDescent="0.3">
      <c r="B16" s="189" t="str">
        <f>'Data Sheet'!A24</f>
        <v>Other Expenses</v>
      </c>
      <c r="C16" s="84">
        <f>'Data Sheet'!B24/'Data Sheet'!B$17</f>
        <v>3.0454788602127639E-2</v>
      </c>
      <c r="D16" s="84">
        <f>'Data Sheet'!C24/'Data Sheet'!C$17</f>
        <v>4.0656018386407637E-2</v>
      </c>
      <c r="E16" s="84">
        <f>'Data Sheet'!D24/'Data Sheet'!D$17</f>
        <v>2.3490889317654352E-2</v>
      </c>
      <c r="F16" s="84">
        <f>'Data Sheet'!E24/'Data Sheet'!E$17</f>
        <v>1.9857935598334594E-2</v>
      </c>
      <c r="G16" s="84">
        <f>'Data Sheet'!F24/'Data Sheet'!F$17</f>
        <v>1.6422802610455211E-2</v>
      </c>
      <c r="H16" s="84">
        <f>'Data Sheet'!G24/'Data Sheet'!G$17</f>
        <v>1.7271873100093961E-2</v>
      </c>
      <c r="I16" s="84">
        <f>'Data Sheet'!H24/'Data Sheet'!H$17</f>
        <v>1.3424461259301482E-2</v>
      </c>
      <c r="J16" s="84">
        <f>'Data Sheet'!I24/'Data Sheet'!I$17</f>
        <v>1.4807120789664127E-2</v>
      </c>
      <c r="K16" s="84">
        <f>'Data Sheet'!J24/'Data Sheet'!J$17</f>
        <v>1.7370503968381312E-2</v>
      </c>
      <c r="L16" s="84">
        <f>'Data Sheet'!K24/'Data Sheet'!K$17</f>
        <v>1.6887280806771359E-2</v>
      </c>
    </row>
    <row r="17" spans="2:12" x14ac:dyDescent="0.3">
      <c r="B17" s="189" t="str">
        <f>'Data Sheet'!A25</f>
        <v>Other Income</v>
      </c>
      <c r="C17" s="84">
        <f>'Data Sheet'!B25/'Data Sheet'!B$17</f>
        <v>1.9785799224936472E-2</v>
      </c>
      <c r="D17" s="84">
        <f>'Data Sheet'!C25/'Data Sheet'!C$17</f>
        <v>2.7917672494684857E-2</v>
      </c>
      <c r="E17" s="84">
        <f>'Data Sheet'!D25/'Data Sheet'!D$17</f>
        <v>3.8868654603150421E-2</v>
      </c>
      <c r="F17" s="84">
        <f>'Data Sheet'!E25/'Data Sheet'!E$17</f>
        <v>3.7669729404223078E-2</v>
      </c>
      <c r="G17" s="84">
        <f>'Data Sheet'!F25/'Data Sheet'!F$17</f>
        <v>2.6047006514394028E-2</v>
      </c>
      <c r="H17" s="84">
        <f>'Data Sheet'!G25/'Data Sheet'!G$17</f>
        <v>2.3638285524788593E-2</v>
      </c>
      <c r="I17" s="84">
        <f>'Data Sheet'!H25/'Data Sheet'!H$17</f>
        <v>3.4020278926754279E-2</v>
      </c>
      <c r="J17" s="84">
        <f>'Data Sheet'!I25/'Data Sheet'!I$17</f>
        <v>2.8300951079469689E-2</v>
      </c>
      <c r="K17" s="84">
        <f>'Data Sheet'!J25/'Data Sheet'!J$17</f>
        <v>3.8629162984208869E-2</v>
      </c>
      <c r="L17" s="84">
        <f>'Data Sheet'!K25/'Data Sheet'!K$17</f>
        <v>3.8891455263257609E-2</v>
      </c>
    </row>
    <row r="18" spans="2:12" x14ac:dyDescent="0.3">
      <c r="B18" s="189" t="str">
        <f>'Data Sheet'!A26</f>
        <v>Depreciation</v>
      </c>
      <c r="C18" s="84">
        <f>'Data Sheet'!B26/'Data Sheet'!B$17</f>
        <v>1.4749553908734411E-2</v>
      </c>
      <c r="D18" s="84">
        <f>'Data Sheet'!C26/'Data Sheet'!C$17</f>
        <v>1.7120285462346684E-2</v>
      </c>
      <c r="E18" s="84">
        <f>'Data Sheet'!D26/'Data Sheet'!D$17</f>
        <v>1.8763815755773558E-2</v>
      </c>
      <c r="F18" s="84">
        <f>'Data Sheet'!E26/'Data Sheet'!E$17</f>
        <v>2.1002738980943687E-2</v>
      </c>
      <c r="G18" s="84">
        <f>'Data Sheet'!F26/'Data Sheet'!F$17</f>
        <v>2.0775127158105883E-2</v>
      </c>
      <c r="H18" s="84">
        <f>'Data Sheet'!G26/'Data Sheet'!G$17</f>
        <v>2.5383896166104754E-2</v>
      </c>
      <c r="I18" s="84">
        <f>'Data Sheet'!H26/'Data Sheet'!H$17</f>
        <v>2.5113866330601937E-2</v>
      </c>
      <c r="J18" s="84">
        <f>'Data Sheet'!I26/'Data Sheet'!I$17</f>
        <v>2.322503737826807E-2</v>
      </c>
      <c r="K18" s="84">
        <f>'Data Sheet'!J26/'Data Sheet'!J$17</f>
        <v>2.6969901707648555E-2</v>
      </c>
      <c r="L18" s="84">
        <f>'Data Sheet'!K26/'Data Sheet'!K$17</f>
        <v>3.2183946965537752E-2</v>
      </c>
    </row>
    <row r="19" spans="2:12" x14ac:dyDescent="0.3">
      <c r="B19" s="189" t="str">
        <f>'Data Sheet'!A27</f>
        <v>Interest</v>
      </c>
      <c r="C19" s="84">
        <f>'Data Sheet'!B27/'Data Sheet'!B$17</f>
        <v>5.1465655141626756E-3</v>
      </c>
      <c r="D19" s="84">
        <f>'Data Sheet'!C27/'Data Sheet'!C$17</f>
        <v>6.2316348015208885E-3</v>
      </c>
      <c r="E19" s="84">
        <f>'Data Sheet'!D27/'Data Sheet'!D$17</f>
        <v>7.0965208265745859E-3</v>
      </c>
      <c r="F19" s="84">
        <f>'Data Sheet'!E27/'Data Sheet'!E$17</f>
        <v>6.870115322105453E-3</v>
      </c>
      <c r="G19" s="84">
        <f>'Data Sheet'!F27/'Data Sheet'!F$17</f>
        <v>6.9970722220460621E-3</v>
      </c>
      <c r="H19" s="84">
        <f>'Data Sheet'!G27/'Data Sheet'!G$17</f>
        <v>5.7043239558576984E-3</v>
      </c>
      <c r="I19" s="84">
        <f>'Data Sheet'!H27/'Data Sheet'!H$17</f>
        <v>3.2222472062876178E-3</v>
      </c>
      <c r="J19" s="84">
        <f>'Data Sheet'!I27/'Data Sheet'!I$17</f>
        <v>3.5449659646531995E-3</v>
      </c>
      <c r="K19" s="84">
        <f>'Data Sheet'!J27/'Data Sheet'!J$17</f>
        <v>6.7858409750656771E-3</v>
      </c>
      <c r="L19" s="84">
        <f>'Data Sheet'!K27/'Data Sheet'!K$17</f>
        <v>1.0011278610707344E-2</v>
      </c>
    </row>
    <row r="20" spans="2:12" x14ac:dyDescent="0.3">
      <c r="B20" s="57" t="str">
        <f>'Data Sheet'!A28</f>
        <v>Profit before tax</v>
      </c>
      <c r="C20" s="33">
        <f>'Data Sheet'!B28/'Data Sheet'!B$17</f>
        <v>0.16924657718757896</v>
      </c>
      <c r="D20" s="33">
        <f>'Data Sheet'!C28/'Data Sheet'!C$17</f>
        <v>0.19972595203389351</v>
      </c>
      <c r="E20" s="33">
        <f>'Data Sheet'!D28/'Data Sheet'!D$17</f>
        <v>0.21154934794229793</v>
      </c>
      <c r="F20" s="33">
        <f>'Data Sheet'!E28/'Data Sheet'!E$17</f>
        <v>0.21925963337801171</v>
      </c>
      <c r="G20" s="33">
        <f>'Data Sheet'!F28/'Data Sheet'!F$17</f>
        <v>0.202568646586784</v>
      </c>
      <c r="H20" s="33">
        <f>'Data Sheet'!G28/'Data Sheet'!G$17</f>
        <v>0.19893052561764221</v>
      </c>
      <c r="I20" s="33">
        <f>'Data Sheet'!H28/'Data Sheet'!H$17</f>
        <v>0.21502774102796066</v>
      </c>
      <c r="J20" s="33">
        <f>'Data Sheet'!I28/'Data Sheet'!I$17</f>
        <v>0.20835216022511449</v>
      </c>
      <c r="K20" s="33">
        <f>'Data Sheet'!J28/'Data Sheet'!J$17</f>
        <v>0.19242854875458482</v>
      </c>
      <c r="L20" s="33">
        <f>'Data Sheet'!K28/'Data Sheet'!K$17</f>
        <v>0.19015947262216007</v>
      </c>
    </row>
    <row r="22" spans="2:12" x14ac:dyDescent="0.3">
      <c r="B22" s="312" t="str">
        <f>"Common Size Balance Sheet - " &amp; 'Data Sheet'!B1</f>
        <v>Common Size Balance Sheet - DABUR INDIA LTD</v>
      </c>
      <c r="C22" s="312"/>
      <c r="D22" s="312"/>
      <c r="E22" s="312"/>
      <c r="F22" s="312"/>
      <c r="G22" s="312"/>
      <c r="H22" s="312"/>
      <c r="I22" s="312"/>
      <c r="J22" s="312"/>
      <c r="K22" s="312"/>
      <c r="L22" s="312"/>
    </row>
    <row r="23" spans="2:12" x14ac:dyDescent="0.3">
      <c r="B23" s="236" t="s">
        <v>162</v>
      </c>
      <c r="C23" s="240">
        <f>C7</f>
        <v>42094</v>
      </c>
      <c r="D23" s="240">
        <f t="shared" ref="D23:L23" si="0">D7</f>
        <v>42460</v>
      </c>
      <c r="E23" s="240">
        <f t="shared" si="0"/>
        <v>42825</v>
      </c>
      <c r="F23" s="240">
        <f t="shared" si="0"/>
        <v>43190</v>
      </c>
      <c r="G23" s="240">
        <f t="shared" si="0"/>
        <v>43555</v>
      </c>
      <c r="H23" s="240">
        <f t="shared" si="0"/>
        <v>43921</v>
      </c>
      <c r="I23" s="240">
        <f t="shared" si="0"/>
        <v>44286</v>
      </c>
      <c r="J23" s="240">
        <f t="shared" si="0"/>
        <v>44651</v>
      </c>
      <c r="K23" s="240">
        <f t="shared" si="0"/>
        <v>45016</v>
      </c>
      <c r="L23" s="240">
        <f t="shared" si="0"/>
        <v>45382</v>
      </c>
    </row>
    <row r="24" spans="2:12" ht="3.6" customHeight="1" x14ac:dyDescent="0.3">
      <c r="B24" s="57"/>
      <c r="C24" s="56"/>
      <c r="D24" s="56"/>
      <c r="E24" s="56"/>
      <c r="F24" s="56"/>
      <c r="G24" s="56"/>
      <c r="H24" s="56"/>
      <c r="I24" s="56"/>
      <c r="J24" s="56"/>
      <c r="K24" s="56"/>
      <c r="L24" s="56"/>
    </row>
    <row r="25" spans="2:12" x14ac:dyDescent="0.3">
      <c r="B25" s="58" t="s">
        <v>124</v>
      </c>
      <c r="C25" s="59">
        <f>'Data Sheet'!B61/'Data Sheet'!B$61</f>
        <v>1</v>
      </c>
      <c r="D25" s="59">
        <f>'Data Sheet'!C61/'Data Sheet'!C$61</f>
        <v>1</v>
      </c>
      <c r="E25" s="59">
        <f>'Data Sheet'!D61/'Data Sheet'!D$61</f>
        <v>1</v>
      </c>
      <c r="F25" s="59">
        <f>'Data Sheet'!E61/'Data Sheet'!E$61</f>
        <v>1</v>
      </c>
      <c r="G25" s="59">
        <f>'Data Sheet'!F61/'Data Sheet'!F$61</f>
        <v>1</v>
      </c>
      <c r="H25" s="59">
        <f>'Data Sheet'!G61/'Data Sheet'!G$61</f>
        <v>1</v>
      </c>
      <c r="I25" s="59">
        <f>'Data Sheet'!H61/'Data Sheet'!H$61</f>
        <v>1</v>
      </c>
      <c r="J25" s="59">
        <f>'Data Sheet'!I61/'Data Sheet'!I$61</f>
        <v>1</v>
      </c>
      <c r="K25" s="59">
        <f>'Data Sheet'!J61/'Data Sheet'!J$61</f>
        <v>1</v>
      </c>
      <c r="L25" s="59">
        <f>'Data Sheet'!K61/'Data Sheet'!K$61</f>
        <v>1</v>
      </c>
    </row>
    <row r="26" spans="2:12" x14ac:dyDescent="0.3">
      <c r="B26" s="189" t="s">
        <v>27</v>
      </c>
      <c r="C26" s="190">
        <f>'Data Sheet'!B62/'Data Sheet'!B$61</f>
        <v>0.30740974865220727</v>
      </c>
      <c r="D26" s="190">
        <f>'Data Sheet'!C62/'Data Sheet'!C$61</f>
        <v>0.24052623227500253</v>
      </c>
      <c r="E26" s="190">
        <f>'Data Sheet'!D62/'Data Sheet'!D$61</f>
        <v>0.25327718746443467</v>
      </c>
      <c r="F26" s="190">
        <f>'Data Sheet'!E62/'Data Sheet'!E$61</f>
        <v>0.23307242436187245</v>
      </c>
      <c r="G26" s="190">
        <f>'Data Sheet'!F62/'Data Sheet'!F$61</f>
        <v>0.23339386295966166</v>
      </c>
      <c r="H26" s="190">
        <f>'Data Sheet'!G62/'Data Sheet'!G$61</f>
        <v>0.2412746423208498</v>
      </c>
      <c r="I26" s="190">
        <f>'Data Sheet'!H62/'Data Sheet'!H$61</f>
        <v>0.20704093519747593</v>
      </c>
      <c r="J26" s="190">
        <f>'Data Sheet'!I62/'Data Sheet'!I$61</f>
        <v>0.1878806824564917</v>
      </c>
      <c r="K26" s="190">
        <f>'Data Sheet'!J62/'Data Sheet'!J$61</f>
        <v>0.26212837709159204</v>
      </c>
      <c r="L26" s="190">
        <f>'Data Sheet'!K62/'Data Sheet'!K$61</f>
        <v>0.25237557189693816</v>
      </c>
    </row>
    <row r="27" spans="2:12" x14ac:dyDescent="0.3">
      <c r="B27" s="189" t="s">
        <v>28</v>
      </c>
      <c r="C27" s="190">
        <f>'Data Sheet'!B63/'Data Sheet'!B$61</f>
        <v>8.237421146753833E-3</v>
      </c>
      <c r="D27" s="190">
        <f>'Data Sheet'!C63/'Data Sheet'!C$61</f>
        <v>6.4625016228380188E-3</v>
      </c>
      <c r="E27" s="190">
        <f>'Data Sheet'!D63/'Data Sheet'!D$61</f>
        <v>5.4447352901617133E-3</v>
      </c>
      <c r="F27" s="190">
        <f>'Data Sheet'!E63/'Data Sheet'!E$61</f>
        <v>4.7703706087250325E-3</v>
      </c>
      <c r="G27" s="190">
        <f>'Data Sheet'!F63/'Data Sheet'!F$61</f>
        <v>7.5575110470519069E-3</v>
      </c>
      <c r="H27" s="190">
        <f>'Data Sheet'!G63/'Data Sheet'!G$61</f>
        <v>1.5698467747290765E-2</v>
      </c>
      <c r="I27" s="190">
        <f>'Data Sheet'!H63/'Data Sheet'!H$61</f>
        <v>1.3597065323144921E-2</v>
      </c>
      <c r="J27" s="190">
        <f>'Data Sheet'!I63/'Data Sheet'!I$61</f>
        <v>1.363577898152535E-2</v>
      </c>
      <c r="K27" s="190">
        <f>'Data Sheet'!J63/'Data Sheet'!J$61</f>
        <v>1.2827893948849568E-2</v>
      </c>
      <c r="L27" s="190">
        <f>'Data Sheet'!K63/'Data Sheet'!K$61</f>
        <v>1.5362825442103786E-2</v>
      </c>
    </row>
    <row r="28" spans="2:12" x14ac:dyDescent="0.3">
      <c r="B28" s="189" t="s">
        <v>29</v>
      </c>
      <c r="C28" s="190">
        <f>'Data Sheet'!B64/'Data Sheet'!B$61</f>
        <v>0.29696803946101391</v>
      </c>
      <c r="D28" s="190">
        <f>'Data Sheet'!C64/'Data Sheet'!C$61</f>
        <v>0.38814534858560645</v>
      </c>
      <c r="E28" s="190">
        <f>'Data Sheet'!D64/'Data Sheet'!D$61</f>
        <v>0.41904545125345305</v>
      </c>
      <c r="F28" s="190">
        <f>'Data Sheet'!E64/'Data Sheet'!E$61</f>
        <v>0.43729393228624985</v>
      </c>
      <c r="G28" s="190">
        <f>'Data Sheet'!F64/'Data Sheet'!F$61</f>
        <v>0.39811583758463093</v>
      </c>
      <c r="H28" s="190">
        <f>'Data Sheet'!G64/'Data Sheet'!G$61</f>
        <v>0.29992352660181781</v>
      </c>
      <c r="I28" s="190">
        <f>'Data Sheet'!H64/'Data Sheet'!H$61</f>
        <v>0.38396986306933678</v>
      </c>
      <c r="J28" s="190">
        <f>'Data Sheet'!I64/'Data Sheet'!I$61</f>
        <v>0.5063245592183564</v>
      </c>
      <c r="K28" s="190">
        <f>'Data Sheet'!J64/'Data Sheet'!J$61</f>
        <v>0.45891675236663765</v>
      </c>
      <c r="L28" s="190">
        <f>'Data Sheet'!K64/'Data Sheet'!K$61</f>
        <v>0.45862165230253837</v>
      </c>
    </row>
    <row r="29" spans="2:12" x14ac:dyDescent="0.3">
      <c r="B29" s="65" t="s">
        <v>163</v>
      </c>
      <c r="C29" s="190">
        <f>'Data Sheet'!B75/'Data Sheet'!B$61</f>
        <v>6.6379203049974772E-2</v>
      </c>
      <c r="D29" s="191">
        <f>'Data Sheet'!C75/'Data Sheet'!C$61</f>
        <v>5.8254836057297019E-2</v>
      </c>
      <c r="E29" s="191">
        <f>'Data Sheet'!D75/'Data Sheet'!D$61</f>
        <v>5.5564752258077853E-2</v>
      </c>
      <c r="F29" s="191">
        <f>'Data Sheet'!E75/'Data Sheet'!E$61</f>
        <v>6.4185675557338118E-2</v>
      </c>
      <c r="G29" s="191">
        <f>'Data Sheet'!F75/'Data Sheet'!F$61</f>
        <v>6.9080818904208308E-2</v>
      </c>
      <c r="H29" s="191">
        <f>'Data Sheet'!G75/'Data Sheet'!G$61</f>
        <v>0.12126924419862517</v>
      </c>
      <c r="I29" s="191">
        <f>'Data Sheet'!H75/'Data Sheet'!H$61</f>
        <v>6.0783405118699667E-2</v>
      </c>
      <c r="J29" s="191">
        <f>'Data Sheet'!I75/'Data Sheet'!I$61</f>
        <v>3.7543573437014123E-2</v>
      </c>
      <c r="K29" s="191">
        <f>'Data Sheet'!J75/'Data Sheet'!J$61</f>
        <v>3.1816663590257442E-2</v>
      </c>
      <c r="L29" s="191">
        <f>'Data Sheet'!K75/'Data Sheet'!K$61</f>
        <v>4.1305578856285469E-2</v>
      </c>
    </row>
    <row r="30" spans="2:12" x14ac:dyDescent="0.3">
      <c r="B30" s="192" t="s">
        <v>78</v>
      </c>
      <c r="C30" s="190">
        <f>'Data Sheet'!B67/'Data Sheet'!B$61</f>
        <v>0.11641130115225637</v>
      </c>
      <c r="D30" s="190">
        <f>'Data Sheet'!C67/'Data Sheet'!C$61</f>
        <v>0.11672893556251172</v>
      </c>
      <c r="E30" s="190">
        <f>'Data Sheet'!D67/'Data Sheet'!D$61</f>
        <v>8.411792701726796E-2</v>
      </c>
      <c r="F30" s="190">
        <f>'Data Sheet'!E67/'Data Sheet'!E$61</f>
        <v>8.1143417957325242E-2</v>
      </c>
      <c r="G30" s="190">
        <f>'Data Sheet'!F67/'Data Sheet'!F$61</f>
        <v>9.8802366819017995E-2</v>
      </c>
      <c r="H30" s="190">
        <f>'Data Sheet'!G67/'Data Sheet'!G$61</f>
        <v>8.7172176535733642E-2</v>
      </c>
      <c r="I30" s="190">
        <f>'Data Sheet'!H67/'Data Sheet'!H$61</f>
        <v>5.1838696158667513E-2</v>
      </c>
      <c r="J30" s="190">
        <f>'Data Sheet'!I67/'Data Sheet'!I$61</f>
        <v>5.2601543814403615E-2</v>
      </c>
      <c r="K30" s="190">
        <f>'Data Sheet'!J67/'Data Sheet'!J$61</f>
        <v>6.2169102889773717E-2</v>
      </c>
      <c r="L30" s="190">
        <f>'Data Sheet'!K67/'Data Sheet'!K$61</f>
        <v>5.9453466310672672E-2</v>
      </c>
    </row>
    <row r="31" spans="2:12" x14ac:dyDescent="0.3">
      <c r="B31" s="192" t="s">
        <v>45</v>
      </c>
      <c r="C31" s="190">
        <f>'Data Sheet'!B68/'Data Sheet'!B$61</f>
        <v>0.15938836738570783</v>
      </c>
      <c r="D31" s="190">
        <f>'Data Sheet'!C68/'Data Sheet'!C$61</f>
        <v>0.15817261226432786</v>
      </c>
      <c r="E31" s="190">
        <f>'Data Sheet'!D68/'Data Sheet'!D$61</f>
        <v>0.14312928724405866</v>
      </c>
      <c r="F31" s="190">
        <f>'Data Sheet'!E68/'Data Sheet'!E$61</f>
        <v>0.14436145871520625</v>
      </c>
      <c r="G31" s="190">
        <f>'Data Sheet'!F68/'Data Sheet'!F$61</f>
        <v>0.15415260103548334</v>
      </c>
      <c r="H31" s="190">
        <f>'Data Sheet'!G68/'Data Sheet'!G$61</f>
        <v>0.14775967217118044</v>
      </c>
      <c r="I31" s="190">
        <f>'Data Sheet'!H68/'Data Sheet'!H$61</f>
        <v>0.16008905939323673</v>
      </c>
      <c r="J31" s="190">
        <f>'Data Sheet'!I68/'Data Sheet'!I$61</f>
        <v>0.15560011266816781</v>
      </c>
      <c r="K31" s="190">
        <f>'Data Sheet'!J68/'Data Sheet'!J$61</f>
        <v>0.14826827460321645</v>
      </c>
      <c r="L31" s="190">
        <f>'Data Sheet'!K68/'Data Sheet'!K$61</f>
        <v>0.12879886427684972</v>
      </c>
    </row>
    <row r="32" spans="2:12" x14ac:dyDescent="0.3">
      <c r="B32" s="4" t="s">
        <v>87</v>
      </c>
      <c r="C32" s="60">
        <f>'Data Sheet'!B69/'Data Sheet'!B$61</f>
        <v>4.5205919152086056E-2</v>
      </c>
      <c r="D32" s="60">
        <f>'Data Sheet'!C69/'Data Sheet'!C$61</f>
        <v>3.1709533632416367E-2</v>
      </c>
      <c r="E32" s="60">
        <f>'Data Sheet'!D69/'Data Sheet'!D$61</f>
        <v>3.9420659472546117E-2</v>
      </c>
      <c r="F32" s="60">
        <f>'Data Sheet'!E69/'Data Sheet'!E$61</f>
        <v>3.517272051328315E-2</v>
      </c>
      <c r="G32" s="60">
        <f>'Data Sheet'!F69/'Data Sheet'!F$61</f>
        <v>3.8897001649945959E-2</v>
      </c>
      <c r="H32" s="60">
        <f>'Data Sheet'!G69/'Data Sheet'!G$61</f>
        <v>8.690227042450234E-2</v>
      </c>
      <c r="I32" s="60">
        <f>'Data Sheet'!H69/'Data Sheet'!H$61</f>
        <v>0.12268097573943851</v>
      </c>
      <c r="J32" s="60">
        <f>'Data Sheet'!I69/'Data Sheet'!I$61</f>
        <v>4.6413749424040973E-2</v>
      </c>
      <c r="K32" s="60">
        <f>'Data Sheet'!J69/'Data Sheet'!J$61</f>
        <v>2.3872935509673111E-2</v>
      </c>
      <c r="L32" s="60">
        <f>'Data Sheet'!K69/'Data Sheet'!K$61</f>
        <v>4.4082040914611716E-2</v>
      </c>
    </row>
    <row r="33" spans="2:12" x14ac:dyDescent="0.3">
      <c r="C33" s="33"/>
      <c r="D33" s="33"/>
      <c r="E33" s="33"/>
      <c r="F33" s="33"/>
      <c r="G33" s="33"/>
      <c r="H33" s="33"/>
      <c r="I33" s="33"/>
      <c r="J33" s="33"/>
      <c r="K33" s="33"/>
      <c r="L33" s="33"/>
    </row>
    <row r="34" spans="2:12" x14ac:dyDescent="0.3">
      <c r="B34" s="58" t="s">
        <v>120</v>
      </c>
      <c r="C34" s="59">
        <f>'Data Sheet'!B61/'Data Sheet'!B$61</f>
        <v>1</v>
      </c>
      <c r="D34" s="59">
        <f>'Data Sheet'!C61/'Data Sheet'!C$61</f>
        <v>1</v>
      </c>
      <c r="E34" s="59">
        <f>'Data Sheet'!D61/'Data Sheet'!D$61</f>
        <v>1</v>
      </c>
      <c r="F34" s="59">
        <f>'Data Sheet'!E61/'Data Sheet'!E$61</f>
        <v>1</v>
      </c>
      <c r="G34" s="59">
        <f>'Data Sheet'!F61/'Data Sheet'!F$61</f>
        <v>1</v>
      </c>
      <c r="H34" s="59">
        <f>'Data Sheet'!G61/'Data Sheet'!G$61</f>
        <v>1</v>
      </c>
      <c r="I34" s="59">
        <f>'Data Sheet'!H61/'Data Sheet'!H$61</f>
        <v>1</v>
      </c>
      <c r="J34" s="59">
        <f>'Data Sheet'!I61/'Data Sheet'!I$61</f>
        <v>1</v>
      </c>
      <c r="K34" s="59">
        <f>'Data Sheet'!J61/'Data Sheet'!J$61</f>
        <v>1</v>
      </c>
      <c r="L34" s="59">
        <f>'Data Sheet'!K61/'Data Sheet'!K$61</f>
        <v>1</v>
      </c>
    </row>
    <row r="35" spans="2:12" x14ac:dyDescent="0.3">
      <c r="B35" s="192" t="s">
        <v>24</v>
      </c>
      <c r="C35" s="190">
        <f>'Data Sheet'!B57/'Data Sheet'!B$61</f>
        <v>2.8765467682451511E-2</v>
      </c>
      <c r="D35" s="190">
        <f>'Data Sheet'!C57/'Data Sheet'!C$61</f>
        <v>2.5375416528424909E-2</v>
      </c>
      <c r="E35" s="190">
        <f>'Data Sheet'!D57/'Data Sheet'!D$61</f>
        <v>2.27812380371018E-2</v>
      </c>
      <c r="F35" s="190">
        <f>'Data Sheet'!E57/'Data Sheet'!E$61</f>
        <v>2.0243333720234027E-2</v>
      </c>
      <c r="G35" s="190">
        <f>'Data Sheet'!F57/'Data Sheet'!F$61</f>
        <v>2.0936059853211706E-2</v>
      </c>
      <c r="H35" s="190">
        <f>'Data Sheet'!G57/'Data Sheet'!G$61</f>
        <v>1.8926630522096956E-2</v>
      </c>
      <c r="I35" s="190">
        <f>'Data Sheet'!H57/'Data Sheet'!H$61</f>
        <v>1.631463221461394E-2</v>
      </c>
      <c r="J35" s="190">
        <f>'Data Sheet'!I57/'Data Sheet'!I$61</f>
        <v>1.4392055917276816E-2</v>
      </c>
      <c r="K35" s="190">
        <f>'Data Sheet'!J57/'Data Sheet'!J$61</f>
        <v>1.2978052017684958E-2</v>
      </c>
      <c r="L35" s="190">
        <f>'Data Sheet'!K57/'Data Sheet'!K$61</f>
        <v>1.1722398778541922E-2</v>
      </c>
    </row>
    <row r="36" spans="2:12" x14ac:dyDescent="0.3">
      <c r="B36" s="192" t="s">
        <v>25</v>
      </c>
      <c r="C36" s="190">
        <f>'Data Sheet'!B58/'Data Sheet'!B$61</f>
        <v>0.52052804653569762</v>
      </c>
      <c r="D36" s="190">
        <f>'Data Sheet'!C58/'Data Sheet'!C$61</f>
        <v>0.57624453644533558</v>
      </c>
      <c r="E36" s="190">
        <f>'Data Sheet'!D58/'Data Sheet'!D$61</f>
        <v>0.60412506595760085</v>
      </c>
      <c r="F36" s="190">
        <f>'Data Sheet'!E58/'Data Sheet'!E$61</f>
        <v>0.63555563727715392</v>
      </c>
      <c r="G36" s="190">
        <f>'Data Sheet'!F58/'Data Sheet'!F$61</f>
        <v>0.64659034876443711</v>
      </c>
      <c r="H36" s="190">
        <f>'Data Sheet'!G58/'Data Sheet'!G$61</f>
        <v>0.68858618466290655</v>
      </c>
      <c r="I36" s="190">
        <f>'Data Sheet'!H58/'Data Sheet'!H$61</f>
        <v>0.69109553761485509</v>
      </c>
      <c r="J36" s="190">
        <f>'Data Sheet'!I58/'Data Sheet'!I$61</f>
        <v>0.66790976126396751</v>
      </c>
      <c r="K36" s="190">
        <f>'Data Sheet'!J58/'Data Sheet'!J$61</f>
        <v>0.64429384688857827</v>
      </c>
      <c r="L36" s="190">
        <f>'Data Sheet'!K58/'Data Sheet'!K$61</f>
        <v>0.64096779912624469</v>
      </c>
    </row>
    <row r="37" spans="2:12" x14ac:dyDescent="0.3">
      <c r="B37" s="192" t="s">
        <v>71</v>
      </c>
      <c r="C37" s="190">
        <f>'Data Sheet'!B59/'Data Sheet'!B$61</f>
        <v>0.1201320607636728</v>
      </c>
      <c r="D37" s="190">
        <f>'Data Sheet'!C59/'Data Sheet'!C$61</f>
        <v>0.11615481153441137</v>
      </c>
      <c r="E37" s="190">
        <f>'Data Sheet'!D59/'Data Sheet'!D$61</f>
        <v>0.12609541348949335</v>
      </c>
      <c r="F37" s="190">
        <f>'Data Sheet'!E59/'Data Sheet'!E$61</f>
        <v>0.10774877810249345</v>
      </c>
      <c r="G37" s="190">
        <f>'Data Sheet'!F59/'Data Sheet'!F$61</f>
        <v>8.2896745623850257E-2</v>
      </c>
      <c r="H37" s="190">
        <f>'Data Sheet'!G59/'Data Sheet'!G$61</f>
        <v>5.5908051984773867E-2</v>
      </c>
      <c r="I37" s="190">
        <f>'Data Sheet'!H59/'Data Sheet'!H$61</f>
        <v>4.6990645440598458E-2</v>
      </c>
      <c r="J37" s="190">
        <f>'Data Sheet'!I59/'Data Sheet'!I$61</f>
        <v>8.385800554548814E-2</v>
      </c>
      <c r="K37" s="190">
        <f>'Data Sheet'!J59/'Data Sheet'!J$61</f>
        <v>8.5977580301605294E-2</v>
      </c>
      <c r="L37" s="190">
        <f>'Data Sheet'!K59/'Data Sheet'!K$61</f>
        <v>9.030547036455866E-2</v>
      </c>
    </row>
    <row r="38" spans="2:12" x14ac:dyDescent="0.3">
      <c r="B38" s="6" t="s">
        <v>72</v>
      </c>
      <c r="C38" s="60">
        <f>'Data Sheet'!B60/'Data Sheet'!B$61</f>
        <v>0.33057442501817802</v>
      </c>
      <c r="D38" s="60">
        <f>'Data Sheet'!C60/'Data Sheet'!C$61</f>
        <v>0.2822252354918281</v>
      </c>
      <c r="E38" s="60">
        <f>'Data Sheet'!D60/'Data Sheet'!D$61</f>
        <v>0.24699828251580394</v>
      </c>
      <c r="F38" s="60">
        <f>'Data Sheet'!E60/'Data Sheet'!E$61</f>
        <v>0.23645225090011873</v>
      </c>
      <c r="G38" s="60">
        <f>'Data Sheet'!F60/'Data Sheet'!F$61</f>
        <v>0.24957684575850106</v>
      </c>
      <c r="H38" s="60">
        <f>'Data Sheet'!G60/'Data Sheet'!G$61</f>
        <v>0.23657913283022264</v>
      </c>
      <c r="I38" s="60">
        <f>'Data Sheet'!H60/'Data Sheet'!H$61</f>
        <v>0.24559918472993258</v>
      </c>
      <c r="J38" s="60">
        <f>'Data Sheet'!I60/'Data Sheet'!I$61</f>
        <v>0.2338401772732675</v>
      </c>
      <c r="K38" s="60">
        <f>'Data Sheet'!J60/'Data Sheet'!J$61</f>
        <v>0.2567505207921314</v>
      </c>
      <c r="L38" s="60">
        <f>'Data Sheet'!K60/'Data Sheet'!K$61</f>
        <v>0.25700433173065473</v>
      </c>
    </row>
    <row r="39" spans="2:12" x14ac:dyDescent="0.3">
      <c r="C39" s="33"/>
      <c r="D39" s="33"/>
      <c r="E39" s="33"/>
      <c r="F39" s="33"/>
      <c r="G39" s="33"/>
      <c r="H39" s="33"/>
      <c r="I39" s="33"/>
      <c r="J39" s="33"/>
      <c r="K39" s="33"/>
      <c r="L39" s="33"/>
    </row>
    <row r="40" spans="2:12" x14ac:dyDescent="0.3">
      <c r="C40" s="33"/>
      <c r="D40" s="33"/>
      <c r="E40" s="33"/>
      <c r="F40" s="33"/>
      <c r="G40" s="33"/>
      <c r="H40" s="33"/>
      <c r="I40" s="33"/>
      <c r="J40" s="33"/>
      <c r="K40" s="33"/>
      <c r="L40" s="33"/>
    </row>
  </sheetData>
  <mergeCells count="2">
    <mergeCell ref="B6:L6"/>
    <mergeCell ref="B22:L22"/>
  </mergeCells>
  <pageMargins left="0.25" right="0.25" top="0.75" bottom="0.75" header="0.3" footer="0.3"/>
  <pageSetup scale="88"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692C9-10D8-4183-8A1C-46322942735D}">
  <sheetPr>
    <pageSetUpPr fitToPage="1"/>
  </sheetPr>
  <dimension ref="B2:P21"/>
  <sheetViews>
    <sheetView showGridLines="0" zoomScale="80" workbookViewId="0">
      <selection activeCell="R5" sqref="R5"/>
    </sheetView>
  </sheetViews>
  <sheetFormatPr defaultRowHeight="14.4" x14ac:dyDescent="0.3"/>
  <cols>
    <col min="1" max="1" width="1.88671875" customWidth="1"/>
    <col min="2" max="5" width="11.88671875" customWidth="1"/>
    <col min="6" max="6" width="4.33203125" customWidth="1"/>
    <col min="7" max="9" width="11.88671875" customWidth="1"/>
    <col min="10" max="10" width="13.33203125" customWidth="1"/>
    <col min="11" max="11" width="4.33203125" customWidth="1"/>
    <col min="12" max="15" width="11.88671875" customWidth="1"/>
    <col min="16" max="16" width="12.109375" bestFit="1" customWidth="1"/>
  </cols>
  <sheetData>
    <row r="2" spans="2:15" ht="31.2" x14ac:dyDescent="0.3">
      <c r="B2" s="229" t="s">
        <v>63</v>
      </c>
      <c r="C2" s="225"/>
      <c r="D2" s="225"/>
      <c r="E2" s="225"/>
      <c r="F2" s="225"/>
      <c r="G2" s="225"/>
      <c r="H2" s="225"/>
      <c r="I2" s="225"/>
      <c r="J2" s="225"/>
      <c r="K2" s="225"/>
      <c r="L2" s="225"/>
      <c r="M2" s="225"/>
      <c r="N2" s="225"/>
      <c r="O2" s="225"/>
    </row>
    <row r="3" spans="2:15" ht="3.6" customHeight="1" x14ac:dyDescent="0.3">
      <c r="B3" s="225"/>
      <c r="C3" s="225"/>
      <c r="D3" s="225"/>
      <c r="E3" s="225"/>
      <c r="F3" s="225"/>
      <c r="G3" s="225"/>
      <c r="H3" s="225"/>
      <c r="I3" s="225"/>
      <c r="J3" s="225"/>
      <c r="K3" s="225"/>
      <c r="L3" s="225"/>
      <c r="M3" s="225"/>
      <c r="N3" s="225"/>
      <c r="O3" s="225"/>
    </row>
    <row r="4" spans="2:15" ht="15.6" x14ac:dyDescent="0.3">
      <c r="B4" s="230" t="s">
        <v>1593</v>
      </c>
      <c r="C4" s="225"/>
      <c r="D4" s="225"/>
      <c r="E4" s="225"/>
      <c r="F4" s="225"/>
      <c r="G4" s="225"/>
      <c r="H4" s="225"/>
      <c r="I4" s="225"/>
      <c r="J4" s="225"/>
      <c r="K4" s="225"/>
      <c r="L4" s="225"/>
      <c r="M4" s="225"/>
      <c r="N4" s="225"/>
      <c r="O4" s="225"/>
    </row>
    <row r="6" spans="2:15" x14ac:dyDescent="0.3">
      <c r="B6" s="312" t="str">
        <f>'Data Sheet'!$B$1&amp;" - "&amp;"Sales Forecasting"</f>
        <v>DABUR INDIA LTD - Sales Forecasting</v>
      </c>
      <c r="C6" s="312"/>
      <c r="D6" s="312"/>
      <c r="E6" s="312"/>
      <c r="G6" s="312" t="str">
        <f>'Data Sheet'!$B$1&amp;" - "&amp;"EBITDA Forecasting"</f>
        <v>DABUR INDIA LTD - EBITDA Forecasting</v>
      </c>
      <c r="H6" s="312"/>
      <c r="I6" s="312"/>
      <c r="J6" s="312"/>
      <c r="L6" s="312" t="str">
        <f>'Data Sheet'!$B$1&amp;" - "&amp;"EPS Forecasting"</f>
        <v>DABUR INDIA LTD - EPS Forecasting</v>
      </c>
      <c r="M6" s="312"/>
      <c r="N6" s="312"/>
      <c r="O6" s="312"/>
    </row>
    <row r="7" spans="2:15" x14ac:dyDescent="0.3">
      <c r="B7" s="236" t="s">
        <v>161</v>
      </c>
      <c r="C7" s="236" t="s">
        <v>160</v>
      </c>
      <c r="D7" s="236" t="s">
        <v>6</v>
      </c>
      <c r="E7" s="236" t="s">
        <v>22</v>
      </c>
      <c r="G7" s="236" t="s">
        <v>161</v>
      </c>
      <c r="H7" s="236" t="s">
        <v>160</v>
      </c>
      <c r="I7" s="236" t="s">
        <v>104</v>
      </c>
      <c r="J7" s="236" t="s">
        <v>129</v>
      </c>
      <c r="L7" s="236" t="s">
        <v>161</v>
      </c>
      <c r="M7" s="236" t="s">
        <v>160</v>
      </c>
      <c r="N7" s="236" t="s">
        <v>57</v>
      </c>
      <c r="O7" s="236" t="s">
        <v>116</v>
      </c>
    </row>
    <row r="8" spans="2:15" x14ac:dyDescent="0.3">
      <c r="B8" s="20">
        <v>1</v>
      </c>
      <c r="C8" s="215">
        <f>'Data Sheet'!B16</f>
        <v>42094</v>
      </c>
      <c r="D8" s="20">
        <f t="array" ref="D8:D17">TRANSPOSE('Data Sheet'!B17:K17)</f>
        <v>7795.49</v>
      </c>
      <c r="G8" s="20">
        <v>1</v>
      </c>
      <c r="H8" s="215">
        <f>'Data Sheet'!B16</f>
        <v>42094</v>
      </c>
      <c r="I8" s="20">
        <f t="array" ref="I8:I17">TRANSPOSE('Historical FS'!C22:L22)</f>
        <v>1320.22</v>
      </c>
      <c r="L8" s="20">
        <v>1</v>
      </c>
      <c r="M8" s="215">
        <f>'Data Sheet'!B16</f>
        <v>42094</v>
      </c>
      <c r="N8" s="216">
        <f t="array" ref="N8:N17">TRANSPOSE('Historical FS'!C42:L42)</f>
        <v>5.2048391688015947</v>
      </c>
    </row>
    <row r="9" spans="2:15" x14ac:dyDescent="0.3">
      <c r="B9" s="20">
        <f>B8+1</f>
        <v>2</v>
      </c>
      <c r="C9" s="215">
        <f>C8+365</f>
        <v>42459</v>
      </c>
      <c r="D9" s="20">
        <v>7779.66</v>
      </c>
      <c r="E9" s="33">
        <f>D9/D8-1</f>
        <v>-2.0306613182750066E-3</v>
      </c>
      <c r="G9" s="20">
        <f>G8+1</f>
        <v>2</v>
      </c>
      <c r="H9" s="215">
        <f>H8+365</f>
        <v>42459</v>
      </c>
      <c r="I9" s="20">
        <v>1518.2799999999993</v>
      </c>
      <c r="J9" s="33">
        <f>I9/I8-1</f>
        <v>0.15002045113693119</v>
      </c>
      <c r="L9" s="20">
        <f>L8+1</f>
        <v>2</v>
      </c>
      <c r="M9" s="215">
        <f>M8+365</f>
        <v>42459</v>
      </c>
      <c r="N9" s="216">
        <v>5.8934114035586331</v>
      </c>
      <c r="O9" s="33">
        <f>N9/N8-1</f>
        <v>0.13229462283569093</v>
      </c>
    </row>
    <row r="10" spans="2:15" x14ac:dyDescent="0.3">
      <c r="B10" s="20">
        <f t="shared" ref="B10:B21" si="0">B9+1</f>
        <v>3</v>
      </c>
      <c r="C10" s="215">
        <f t="shared" ref="C10:C21" si="1">C9+365</f>
        <v>42824</v>
      </c>
      <c r="D10" s="20">
        <v>7613.59</v>
      </c>
      <c r="E10" s="33">
        <f t="shared" ref="E10:E21" si="2">D10/D9-1</f>
        <v>-2.1346691243576132E-2</v>
      </c>
      <c r="G10" s="20">
        <f t="shared" ref="G10:G21" si="3">G9+1</f>
        <v>3</v>
      </c>
      <c r="H10" s="215">
        <f t="shared" ref="H10:H21" si="4">H9+365</f>
        <v>42824</v>
      </c>
      <c r="I10" s="20">
        <v>1511.6100000000006</v>
      </c>
      <c r="J10" s="33">
        <f t="shared" ref="J10:J21" si="5">I10/I9-1</f>
        <v>-4.3931290671014311E-3</v>
      </c>
      <c r="L10" s="20">
        <f t="shared" ref="L10:L21" si="6">L9+1</f>
        <v>3</v>
      </c>
      <c r="M10" s="215">
        <f t="shared" ref="M10:M21" si="7">M9+365</f>
        <v>42824</v>
      </c>
      <c r="N10" s="216">
        <v>5.5883054215157566</v>
      </c>
      <c r="O10" s="33">
        <f t="shared" ref="O10:O21" si="8">N10/N9-1</f>
        <v>-5.177069122624689E-2</v>
      </c>
    </row>
    <row r="11" spans="2:15" x14ac:dyDescent="0.3">
      <c r="B11" s="20">
        <f t="shared" si="0"/>
        <v>4</v>
      </c>
      <c r="C11" s="215">
        <f t="shared" si="1"/>
        <v>43189</v>
      </c>
      <c r="D11" s="20">
        <v>7721.85</v>
      </c>
      <c r="E11" s="33">
        <f t="shared" si="2"/>
        <v>1.4219310469830937E-2</v>
      </c>
      <c r="G11" s="20">
        <f t="shared" si="3"/>
        <v>4</v>
      </c>
      <c r="H11" s="215">
        <f t="shared" si="4"/>
        <v>43189</v>
      </c>
      <c r="I11" s="20">
        <v>1617.4400000000007</v>
      </c>
      <c r="J11" s="33">
        <f t="shared" si="5"/>
        <v>7.0011444750960994E-2</v>
      </c>
      <c r="L11" s="20">
        <f t="shared" si="6"/>
        <v>4</v>
      </c>
      <c r="M11" s="215">
        <f t="shared" si="7"/>
        <v>43189</v>
      </c>
      <c r="N11" s="216">
        <v>6.0565427192733496</v>
      </c>
      <c r="O11" s="33">
        <f t="shared" si="8"/>
        <v>8.3788780755399417E-2</v>
      </c>
    </row>
    <row r="12" spans="2:15" x14ac:dyDescent="0.3">
      <c r="B12" s="20">
        <f t="shared" si="0"/>
        <v>5</v>
      </c>
      <c r="C12" s="215">
        <f t="shared" si="1"/>
        <v>43554</v>
      </c>
      <c r="D12" s="20">
        <v>8514.99</v>
      </c>
      <c r="E12" s="33">
        <f t="shared" si="2"/>
        <v>0.10271372792789291</v>
      </c>
      <c r="G12" s="20">
        <f t="shared" si="3"/>
        <v>5</v>
      </c>
      <c r="H12" s="215">
        <f t="shared" si="4"/>
        <v>43554</v>
      </c>
      <c r="I12" s="20">
        <v>1739.5599999999993</v>
      </c>
      <c r="J12" s="33">
        <f t="shared" si="5"/>
        <v>7.5502027895933299E-2</v>
      </c>
      <c r="L12" s="20">
        <f t="shared" si="6"/>
        <v>5</v>
      </c>
      <c r="M12" s="215">
        <f t="shared" si="7"/>
        <v>43554</v>
      </c>
      <c r="N12" s="216">
        <v>6.9323444488478696</v>
      </c>
      <c r="O12" s="33">
        <f t="shared" si="8"/>
        <v>0.1446042354803363</v>
      </c>
    </row>
    <row r="13" spans="2:15" x14ac:dyDescent="0.3">
      <c r="B13" s="20">
        <f t="shared" si="0"/>
        <v>6</v>
      </c>
      <c r="C13" s="215">
        <f t="shared" si="1"/>
        <v>43919</v>
      </c>
      <c r="D13" s="20">
        <v>8684.64</v>
      </c>
      <c r="E13" s="33">
        <f t="shared" si="2"/>
        <v>1.9923687520478461E-2</v>
      </c>
      <c r="G13" s="20">
        <f t="shared" si="3"/>
        <v>6</v>
      </c>
      <c r="H13" s="215">
        <f t="shared" si="4"/>
        <v>43919</v>
      </c>
      <c r="I13" s="20">
        <v>1792.3399999999995</v>
      </c>
      <c r="J13" s="33">
        <f t="shared" si="5"/>
        <v>3.0341005771574503E-2</v>
      </c>
      <c r="L13" s="20">
        <f t="shared" si="6"/>
        <v>6</v>
      </c>
      <c r="M13" s="215">
        <f t="shared" si="7"/>
        <v>43919</v>
      </c>
      <c r="N13" s="216">
        <v>7.0320298794635239</v>
      </c>
      <c r="O13" s="33">
        <f t="shared" si="8"/>
        <v>1.4379757288635719E-2</v>
      </c>
    </row>
    <row r="14" spans="2:15" x14ac:dyDescent="0.3">
      <c r="B14" s="20">
        <f t="shared" si="0"/>
        <v>7</v>
      </c>
      <c r="C14" s="215">
        <f t="shared" si="1"/>
        <v>44284</v>
      </c>
      <c r="D14" s="20">
        <v>9561.65</v>
      </c>
      <c r="E14" s="33">
        <f t="shared" si="2"/>
        <v>0.10098403618342267</v>
      </c>
      <c r="G14" s="20">
        <f t="shared" si="3"/>
        <v>7</v>
      </c>
      <c r="H14" s="215">
        <f t="shared" si="4"/>
        <v>44284</v>
      </c>
      <c r="I14" s="20">
        <v>2001.6699999999983</v>
      </c>
      <c r="J14" s="33">
        <f t="shared" si="5"/>
        <v>0.11679145697802817</v>
      </c>
      <c r="L14" s="20">
        <f t="shared" si="6"/>
        <v>7</v>
      </c>
      <c r="M14" s="215">
        <f t="shared" si="7"/>
        <v>44284</v>
      </c>
      <c r="N14" s="216">
        <v>7.7495756478442805</v>
      </c>
      <c r="O14" s="33">
        <f t="shared" si="8"/>
        <v>0.10203963587758502</v>
      </c>
    </row>
    <row r="15" spans="2:15" x14ac:dyDescent="0.3">
      <c r="B15" s="20">
        <f t="shared" si="0"/>
        <v>8</v>
      </c>
      <c r="C15" s="215">
        <f t="shared" si="1"/>
        <v>44649</v>
      </c>
      <c r="D15" s="20">
        <v>10888.68</v>
      </c>
      <c r="E15" s="33">
        <f t="shared" si="2"/>
        <v>0.13878671568191692</v>
      </c>
      <c r="G15" s="20">
        <f t="shared" si="3"/>
        <v>8</v>
      </c>
      <c r="H15" s="215">
        <f t="shared" si="4"/>
        <v>44649</v>
      </c>
      <c r="I15" s="20">
        <v>2252.0100000000007</v>
      </c>
      <c r="J15" s="33">
        <f t="shared" si="5"/>
        <v>0.12506557024884346</v>
      </c>
      <c r="L15" s="20">
        <f t="shared" si="6"/>
        <v>8</v>
      </c>
      <c r="M15" s="215">
        <f t="shared" si="7"/>
        <v>44649</v>
      </c>
      <c r="N15" s="216">
        <v>8.1121104134849311</v>
      </c>
      <c r="O15" s="33">
        <f t="shared" si="8"/>
        <v>4.6781240949818725E-2</v>
      </c>
    </row>
    <row r="16" spans="2:15" x14ac:dyDescent="0.3">
      <c r="B16" s="20">
        <f t="shared" si="0"/>
        <v>9</v>
      </c>
      <c r="C16" s="215">
        <f t="shared" si="1"/>
        <v>45014</v>
      </c>
      <c r="D16" s="20">
        <v>11529.89</v>
      </c>
      <c r="E16" s="33">
        <f t="shared" si="2"/>
        <v>5.8887762336665261E-2</v>
      </c>
      <c r="G16" s="20">
        <f t="shared" si="3"/>
        <v>9</v>
      </c>
      <c r="H16" s="215">
        <f t="shared" si="4"/>
        <v>45014</v>
      </c>
      <c r="I16" s="20">
        <v>2162.4899999999993</v>
      </c>
      <c r="J16" s="33">
        <f t="shared" si="5"/>
        <v>-3.975115563430065E-2</v>
      </c>
      <c r="K16" s="214"/>
      <c r="L16" s="20">
        <f t="shared" si="6"/>
        <v>9</v>
      </c>
      <c r="M16" s="215">
        <f t="shared" si="7"/>
        <v>45014</v>
      </c>
      <c r="N16" s="216">
        <v>7.0884975730895086</v>
      </c>
      <c r="O16" s="33">
        <f t="shared" si="8"/>
        <v>-0.12618329734440614</v>
      </c>
    </row>
    <row r="17" spans="2:16" x14ac:dyDescent="0.3">
      <c r="B17" s="20">
        <f t="shared" si="0"/>
        <v>10</v>
      </c>
      <c r="C17" s="215">
        <f t="shared" si="1"/>
        <v>45379</v>
      </c>
      <c r="D17" s="20">
        <v>12404.01</v>
      </c>
      <c r="E17" s="33">
        <f t="shared" si="2"/>
        <v>7.5813385903941821E-2</v>
      </c>
      <c r="G17" s="20">
        <f t="shared" si="3"/>
        <v>10</v>
      </c>
      <c r="H17" s="215">
        <f t="shared" si="4"/>
        <v>45379</v>
      </c>
      <c r="I17" s="20">
        <v>2399.7200000000012</v>
      </c>
      <c r="J17" s="33">
        <f t="shared" si="5"/>
        <v>0.10970224139764895</v>
      </c>
      <c r="L17" s="20">
        <f t="shared" si="6"/>
        <v>10</v>
      </c>
      <c r="M17" s="215">
        <f t="shared" si="7"/>
        <v>45379</v>
      </c>
      <c r="N17" s="216">
        <v>7.4994356659142296</v>
      </c>
      <c r="O17" s="33">
        <f t="shared" si="8"/>
        <v>5.7972523597213277E-2</v>
      </c>
    </row>
    <row r="18" spans="2:16" x14ac:dyDescent="0.3">
      <c r="B18" s="217">
        <f>B17+1</f>
        <v>11</v>
      </c>
      <c r="C18" s="218">
        <f t="shared" si="1"/>
        <v>45744</v>
      </c>
      <c r="D18" s="219">
        <f>FORECAST(B18,$D$8:$D$17,$B$8:$B$17)</f>
        <v>12242.537999999997</v>
      </c>
      <c r="E18" s="220">
        <f t="shared" si="2"/>
        <v>-1.3017725719344231E-2</v>
      </c>
      <c r="G18" s="217">
        <f>G17+1</f>
        <v>11</v>
      </c>
      <c r="H18" s="218">
        <f t="shared" si="4"/>
        <v>45744</v>
      </c>
      <c r="I18" s="219">
        <f>FORECAST(G18,$I$8:$I$17,$G$8:$G$17)</f>
        <v>2469.2819999999997</v>
      </c>
      <c r="J18" s="220">
        <f t="shared" si="5"/>
        <v>2.8987548547329878E-2</v>
      </c>
      <c r="L18" s="217">
        <f>L17+1</f>
        <v>11</v>
      </c>
      <c r="M18" s="218">
        <f t="shared" si="7"/>
        <v>45744</v>
      </c>
      <c r="N18" s="219">
        <f>FORECAST(L18,$N$8:$N$17,$L$8:$L$17)</f>
        <v>8.2762019287428394</v>
      </c>
      <c r="O18" s="220">
        <f t="shared" si="8"/>
        <v>0.10357662862008388</v>
      </c>
    </row>
    <row r="19" spans="2:16" x14ac:dyDescent="0.3">
      <c r="B19" s="217">
        <f t="shared" si="0"/>
        <v>12</v>
      </c>
      <c r="C19" s="218">
        <f t="shared" si="1"/>
        <v>46109</v>
      </c>
      <c r="D19" s="219">
        <f t="shared" ref="D19:D21" si="9">FORECAST(B19,$D$8:$D$17,$B$8:$B$17)</f>
        <v>12786.736727272724</v>
      </c>
      <c r="E19" s="220">
        <f t="shared" si="2"/>
        <v>4.4451463191106821E-2</v>
      </c>
      <c r="G19" s="217">
        <f t="shared" si="3"/>
        <v>12</v>
      </c>
      <c r="H19" s="218">
        <f t="shared" si="4"/>
        <v>46109</v>
      </c>
      <c r="I19" s="219">
        <f t="shared" ref="I19:I21" si="10">FORECAST(G19,$I$8:$I$17,$G$8:$G$17)</f>
        <v>2585.2361818181816</v>
      </c>
      <c r="J19" s="220">
        <f t="shared" si="5"/>
        <v>4.6958663213914731E-2</v>
      </c>
      <c r="L19" s="217">
        <f t="shared" si="6"/>
        <v>12</v>
      </c>
      <c r="M19" s="218">
        <f t="shared" si="7"/>
        <v>46109</v>
      </c>
      <c r="N19" s="219">
        <f t="shared" ref="N19:N21" si="11">FORECAST(L19,$N$8:$N$17,$L$8:$L$17)</f>
        <v>8.5599278732089275</v>
      </c>
      <c r="O19" s="220">
        <f t="shared" si="8"/>
        <v>3.4282143779107432E-2</v>
      </c>
    </row>
    <row r="20" spans="2:16" x14ac:dyDescent="0.3">
      <c r="B20" s="217">
        <f t="shared" si="0"/>
        <v>13</v>
      </c>
      <c r="C20" s="218">
        <f t="shared" si="1"/>
        <v>46474</v>
      </c>
      <c r="D20" s="219">
        <f t="shared" si="9"/>
        <v>13330.935454545452</v>
      </c>
      <c r="E20" s="220">
        <f t="shared" si="2"/>
        <v>4.2559625562009984E-2</v>
      </c>
      <c r="G20" s="217">
        <f t="shared" si="3"/>
        <v>13</v>
      </c>
      <c r="H20" s="218">
        <f t="shared" si="4"/>
        <v>46474</v>
      </c>
      <c r="I20" s="219">
        <f t="shared" si="10"/>
        <v>2701.1903636363636</v>
      </c>
      <c r="J20" s="220">
        <f t="shared" si="5"/>
        <v>4.485245202495669E-2</v>
      </c>
      <c r="L20" s="217">
        <f t="shared" si="6"/>
        <v>13</v>
      </c>
      <c r="M20" s="218">
        <f t="shared" si="7"/>
        <v>46474</v>
      </c>
      <c r="N20" s="219">
        <f t="shared" si="11"/>
        <v>8.8436538176750119</v>
      </c>
      <c r="O20" s="220">
        <f t="shared" si="8"/>
        <v>3.3145833547744807E-2</v>
      </c>
    </row>
    <row r="21" spans="2:16" x14ac:dyDescent="0.3">
      <c r="B21" s="217">
        <f t="shared" si="0"/>
        <v>14</v>
      </c>
      <c r="C21" s="218">
        <f t="shared" si="1"/>
        <v>46839</v>
      </c>
      <c r="D21" s="219">
        <f t="shared" si="9"/>
        <v>13875.134181818179</v>
      </c>
      <c r="E21" s="220">
        <f t="shared" si="2"/>
        <v>4.0822246055296274E-2</v>
      </c>
      <c r="G21" s="217">
        <f t="shared" si="3"/>
        <v>14</v>
      </c>
      <c r="H21" s="218">
        <f t="shared" si="4"/>
        <v>46839</v>
      </c>
      <c r="I21" s="219">
        <f t="shared" si="10"/>
        <v>2817.1445454545456</v>
      </c>
      <c r="J21" s="220">
        <f t="shared" si="5"/>
        <v>4.2927067776920236E-2</v>
      </c>
      <c r="K21" s="214"/>
      <c r="L21" s="217">
        <f t="shared" si="6"/>
        <v>14</v>
      </c>
      <c r="M21" s="218">
        <f t="shared" si="7"/>
        <v>46839</v>
      </c>
      <c r="N21" s="219">
        <f t="shared" si="11"/>
        <v>9.1273797621410981</v>
      </c>
      <c r="O21" s="220">
        <f t="shared" si="8"/>
        <v>3.2082434513552416E-2</v>
      </c>
      <c r="P21" s="214"/>
    </row>
  </sheetData>
  <mergeCells count="3">
    <mergeCell ref="B6:E6"/>
    <mergeCell ref="G6:J6"/>
    <mergeCell ref="L6:O6"/>
  </mergeCells>
  <pageMargins left="0.25" right="0.25" top="0.75" bottom="0.75" header="0.3" footer="0.3"/>
  <pageSetup scale="80" fitToHeight="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9819D-5505-48DD-92B6-22E466D6847D}">
  <dimension ref="B2:J37"/>
  <sheetViews>
    <sheetView showGridLines="0" zoomScaleNormal="100" workbookViewId="0">
      <selection activeCell="M13" sqref="M13"/>
    </sheetView>
  </sheetViews>
  <sheetFormatPr defaultRowHeight="14.4" x14ac:dyDescent="0.3"/>
  <cols>
    <col min="1" max="1" width="1.88671875" customWidth="1"/>
    <col min="5" max="5" width="10" customWidth="1"/>
    <col min="6" max="6" width="9.109375" customWidth="1"/>
    <col min="7" max="7" width="8.109375" bestFit="1" customWidth="1"/>
    <col min="8" max="8" width="18.109375" bestFit="1" customWidth="1"/>
    <col min="9" max="9" width="7" bestFit="1" customWidth="1"/>
  </cols>
  <sheetData>
    <row r="2" spans="2:10" ht="31.2" x14ac:dyDescent="0.3">
      <c r="B2" s="229" t="s">
        <v>63</v>
      </c>
      <c r="C2" s="225"/>
      <c r="D2" s="225"/>
      <c r="E2" s="225"/>
      <c r="F2" s="225"/>
      <c r="G2" s="225"/>
      <c r="H2" s="225"/>
      <c r="I2" s="225"/>
      <c r="J2" s="225"/>
    </row>
    <row r="3" spans="2:10" ht="4.2" customHeight="1" x14ac:dyDescent="0.3">
      <c r="B3" s="225"/>
      <c r="C3" s="225"/>
      <c r="D3" s="225"/>
      <c r="E3" s="225"/>
      <c r="F3" s="225"/>
      <c r="G3" s="225"/>
      <c r="H3" s="225"/>
      <c r="I3" s="225"/>
      <c r="J3" s="225"/>
    </row>
    <row r="4" spans="2:10" ht="15.6" x14ac:dyDescent="0.3">
      <c r="B4" s="230" t="s">
        <v>1593</v>
      </c>
      <c r="C4" s="225"/>
      <c r="D4" s="225"/>
      <c r="E4" s="225"/>
      <c r="F4" s="225"/>
      <c r="G4" s="225"/>
      <c r="H4" s="225"/>
      <c r="I4" s="225"/>
      <c r="J4" s="225"/>
    </row>
    <row r="6" spans="2:10" x14ac:dyDescent="0.3">
      <c r="B6" s="312" t="s">
        <v>333</v>
      </c>
      <c r="C6" s="312"/>
      <c r="D6" s="312"/>
      <c r="E6" s="312"/>
      <c r="F6" s="312"/>
      <c r="G6" s="312"/>
      <c r="H6" s="312"/>
      <c r="I6" s="225"/>
      <c r="J6" s="225"/>
    </row>
    <row r="7" spans="2:10" x14ac:dyDescent="0.3">
      <c r="B7" s="105"/>
      <c r="C7" s="105"/>
      <c r="D7" s="105"/>
      <c r="E7" s="105"/>
      <c r="F7" s="105"/>
      <c r="G7" s="105"/>
      <c r="H7" s="105"/>
    </row>
    <row r="8" spans="2:10" x14ac:dyDescent="0.3">
      <c r="B8" s="234" t="s">
        <v>160</v>
      </c>
      <c r="C8" s="234" t="s">
        <v>329</v>
      </c>
      <c r="E8" s="234" t="s">
        <v>160</v>
      </c>
      <c r="F8" s="234" t="s">
        <v>329</v>
      </c>
    </row>
    <row r="9" spans="2:10" x14ac:dyDescent="0.3">
      <c r="B9" s="245">
        <v>2023</v>
      </c>
      <c r="C9" s="5">
        <v>0.19420000000000001</v>
      </c>
      <c r="D9" s="5"/>
      <c r="E9" s="20">
        <v>2009</v>
      </c>
      <c r="F9" s="5">
        <v>0.75760000000000005</v>
      </c>
      <c r="H9" t="s">
        <v>330</v>
      </c>
      <c r="I9" s="5">
        <f>AVERAGE(C9:C35)</f>
        <v>0.15609166666666666</v>
      </c>
    </row>
    <row r="10" spans="2:10" x14ac:dyDescent="0.3">
      <c r="B10" s="20">
        <v>2022</v>
      </c>
      <c r="C10" s="5">
        <v>4.3200000000000002E-2</v>
      </c>
      <c r="D10" s="5"/>
      <c r="E10" s="20">
        <v>2008</v>
      </c>
      <c r="F10" s="5">
        <v>-0.51790000000000003</v>
      </c>
      <c r="H10" t="s">
        <v>331</v>
      </c>
      <c r="I10" s="5">
        <v>8.6999999999999994E-3</v>
      </c>
    </row>
    <row r="11" spans="2:10" x14ac:dyDescent="0.3">
      <c r="B11" s="20">
        <v>2021</v>
      </c>
      <c r="C11" s="5">
        <v>0.2412</v>
      </c>
      <c r="D11" s="5"/>
      <c r="E11" s="20">
        <v>2007</v>
      </c>
      <c r="F11" s="5">
        <v>0.54769999999999996</v>
      </c>
      <c r="H11" s="284" t="s">
        <v>332</v>
      </c>
      <c r="I11" s="286">
        <f>+I9+I10</f>
        <v>0.16479166666666667</v>
      </c>
    </row>
    <row r="12" spans="2:10" x14ac:dyDescent="0.3">
      <c r="B12" s="20">
        <v>2020</v>
      </c>
      <c r="C12" s="5">
        <v>0.14899999999999999</v>
      </c>
      <c r="E12" s="20">
        <v>2006</v>
      </c>
      <c r="F12" s="5">
        <v>0.39829999999999999</v>
      </c>
    </row>
    <row r="13" spans="2:10" x14ac:dyDescent="0.3">
      <c r="B13" s="20">
        <v>2019</v>
      </c>
      <c r="C13" s="5">
        <v>0.1202</v>
      </c>
      <c r="E13" s="20">
        <v>2005</v>
      </c>
      <c r="F13" s="5">
        <v>0.3634</v>
      </c>
    </row>
    <row r="14" spans="2:10" x14ac:dyDescent="0.3">
      <c r="B14" s="20">
        <v>2018</v>
      </c>
      <c r="C14" s="5">
        <v>3.15E-2</v>
      </c>
      <c r="E14" s="20">
        <v>2004</v>
      </c>
      <c r="F14" s="5">
        <v>0.10680000000000001</v>
      </c>
    </row>
    <row r="15" spans="2:10" x14ac:dyDescent="0.3">
      <c r="B15" s="20">
        <v>2017</v>
      </c>
      <c r="C15" s="5">
        <v>0.28649999999999998</v>
      </c>
      <c r="E15" s="20">
        <v>2003</v>
      </c>
      <c r="F15" s="5">
        <v>0.71899999999999997</v>
      </c>
    </row>
    <row r="16" spans="2:10" x14ac:dyDescent="0.3">
      <c r="B16" s="20">
        <v>2016</v>
      </c>
      <c r="C16" s="5">
        <v>3.0099999999999998E-2</v>
      </c>
      <c r="E16" s="20">
        <v>2002</v>
      </c>
      <c r="F16" s="5">
        <v>3.2500000000000001E-2</v>
      </c>
    </row>
    <row r="17" spans="2:10" x14ac:dyDescent="0.3">
      <c r="B17" s="20">
        <v>2015</v>
      </c>
      <c r="C17" s="5">
        <v>-4.0599999999999997E-2</v>
      </c>
      <c r="E17" s="20">
        <v>2001</v>
      </c>
      <c r="F17" s="5">
        <v>-0.1618</v>
      </c>
    </row>
    <row r="18" spans="2:10" x14ac:dyDescent="0.3">
      <c r="B18" s="20">
        <v>2014</v>
      </c>
      <c r="C18" s="5">
        <v>0.31390000000000001</v>
      </c>
      <c r="E18" s="20">
        <v>2000</v>
      </c>
      <c r="F18" s="5">
        <v>-0.14649999999999999</v>
      </c>
    </row>
    <row r="19" spans="2:10" x14ac:dyDescent="0.3">
      <c r="B19" s="20">
        <v>2013</v>
      </c>
      <c r="C19" s="5">
        <v>6.7599999999999993E-2</v>
      </c>
    </row>
    <row r="20" spans="2:10" x14ac:dyDescent="0.3">
      <c r="B20" s="20">
        <v>2012</v>
      </c>
      <c r="C20" s="5">
        <v>0.27700000000000002</v>
      </c>
    </row>
    <row r="21" spans="2:10" x14ac:dyDescent="0.3">
      <c r="B21" s="20">
        <v>2011</v>
      </c>
      <c r="C21" s="5">
        <v>-0.2462</v>
      </c>
    </row>
    <row r="22" spans="2:10" x14ac:dyDescent="0.3">
      <c r="B22" s="20">
        <v>2010</v>
      </c>
      <c r="C22" s="5">
        <v>0.17949999999999999</v>
      </c>
    </row>
    <row r="23" spans="2:10" x14ac:dyDescent="0.3">
      <c r="B23" s="20"/>
      <c r="C23" s="5"/>
    </row>
    <row r="24" spans="2:10" x14ac:dyDescent="0.3">
      <c r="B24" s="299"/>
      <c r="C24" s="300"/>
      <c r="D24" s="225"/>
      <c r="E24" s="225"/>
      <c r="F24" s="225"/>
      <c r="G24" s="225"/>
      <c r="H24" s="225"/>
      <c r="I24" s="225"/>
      <c r="J24" s="225"/>
    </row>
    <row r="25" spans="2:10" x14ac:dyDescent="0.3">
      <c r="B25" s="20"/>
      <c r="C25" s="5"/>
    </row>
    <row r="26" spans="2:10" x14ac:dyDescent="0.3">
      <c r="B26" s="20">
        <v>2009</v>
      </c>
      <c r="C26" s="5">
        <v>0.75760000000000005</v>
      </c>
    </row>
    <row r="27" spans="2:10" x14ac:dyDescent="0.3">
      <c r="B27" s="20">
        <v>2008</v>
      </c>
      <c r="C27" s="5">
        <v>-0.51790000000000003</v>
      </c>
    </row>
    <row r="28" spans="2:10" x14ac:dyDescent="0.3">
      <c r="B28" s="20">
        <v>2007</v>
      </c>
      <c r="C28" s="5">
        <v>0.54769999999999996</v>
      </c>
    </row>
    <row r="29" spans="2:10" x14ac:dyDescent="0.3">
      <c r="B29" s="20">
        <v>2006</v>
      </c>
      <c r="C29" s="5">
        <v>0.39829999999999999</v>
      </c>
    </row>
    <row r="30" spans="2:10" x14ac:dyDescent="0.3">
      <c r="B30" s="20">
        <v>2005</v>
      </c>
      <c r="C30" s="5">
        <v>0.3634</v>
      </c>
    </row>
    <row r="31" spans="2:10" x14ac:dyDescent="0.3">
      <c r="B31" s="20">
        <v>2004</v>
      </c>
      <c r="C31" s="5">
        <v>0.10680000000000001</v>
      </c>
    </row>
    <row r="32" spans="2:10" x14ac:dyDescent="0.3">
      <c r="B32" s="20">
        <v>2003</v>
      </c>
      <c r="C32" s="5">
        <v>0.71899999999999997</v>
      </c>
    </row>
    <row r="33" spans="2:10" x14ac:dyDescent="0.3">
      <c r="B33" s="20">
        <v>2002</v>
      </c>
      <c r="C33" s="5">
        <v>3.2500000000000001E-2</v>
      </c>
    </row>
    <row r="34" spans="2:10" x14ac:dyDescent="0.3">
      <c r="B34" s="20">
        <v>2001</v>
      </c>
      <c r="C34" s="5">
        <v>-0.1618</v>
      </c>
    </row>
    <row r="35" spans="2:10" x14ac:dyDescent="0.3">
      <c r="B35" s="20">
        <v>2000</v>
      </c>
      <c r="C35" s="5">
        <v>-0.14649999999999999</v>
      </c>
    </row>
    <row r="37" spans="2:10" x14ac:dyDescent="0.3">
      <c r="B37" s="225"/>
      <c r="C37" s="225"/>
      <c r="D37" s="225"/>
      <c r="E37" s="225"/>
      <c r="F37" s="225"/>
      <c r="G37" s="225"/>
      <c r="H37" s="225"/>
      <c r="I37" s="225"/>
      <c r="J37" s="225"/>
    </row>
  </sheetData>
  <mergeCells count="1">
    <mergeCell ref="B6:H6"/>
  </mergeCells>
  <printOptions horizontalCentered="1" verticalCentered="1"/>
  <pageMargins left="0.23622047244094491" right="0.23622047244094491" top="0.39370078740157483" bottom="0.39370078740157483" header="0.31496062992125984" footer="0.31496062992125984"/>
  <pageSetup paperSize="11" scale="105" fitToWidth="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5CB03-0102-4559-A6F5-69829D1B611E}">
  <sheetPr>
    <pageSetUpPr fitToPage="1"/>
  </sheetPr>
  <dimension ref="B2:L45"/>
  <sheetViews>
    <sheetView showGridLines="0" zoomScale="43" workbookViewId="0">
      <selection activeCell="AQ31" sqref="AQ31"/>
    </sheetView>
  </sheetViews>
  <sheetFormatPr defaultRowHeight="14.4" x14ac:dyDescent="0.3"/>
  <cols>
    <col min="1" max="1" width="1.88671875" customWidth="1"/>
    <col min="2" max="2" width="19.5546875" bestFit="1" customWidth="1"/>
    <col min="4" max="4" width="7.44140625" bestFit="1" customWidth="1"/>
    <col min="5" max="5" width="9.5546875" bestFit="1" customWidth="1"/>
    <col min="6" max="6" width="10.6640625" bestFit="1" customWidth="1"/>
    <col min="7" max="7" width="10.88671875" bestFit="1" customWidth="1"/>
    <col min="8" max="8" width="10.33203125" customWidth="1"/>
    <col min="9" max="9" width="6.6640625" bestFit="1" customWidth="1"/>
    <col min="10" max="10" width="8" bestFit="1" customWidth="1"/>
    <col min="11" max="11" width="9.33203125" bestFit="1" customWidth="1"/>
    <col min="12" max="12" width="11.44140625" bestFit="1" customWidth="1"/>
  </cols>
  <sheetData>
    <row r="2" spans="2:12" ht="31.2" x14ac:dyDescent="0.3">
      <c r="B2" s="229" t="s">
        <v>63</v>
      </c>
      <c r="C2" s="225"/>
      <c r="D2" s="225"/>
      <c r="E2" s="225"/>
      <c r="F2" s="225"/>
      <c r="G2" s="225"/>
      <c r="H2" s="225"/>
      <c r="I2" s="225"/>
      <c r="J2" s="225"/>
      <c r="K2" s="225"/>
      <c r="L2" s="225"/>
    </row>
    <row r="3" spans="2:12" ht="4.8" customHeight="1" x14ac:dyDescent="0.3">
      <c r="B3" s="225"/>
      <c r="C3" s="225"/>
      <c r="D3" s="225"/>
      <c r="E3" s="225"/>
      <c r="F3" s="225"/>
      <c r="G3" s="225"/>
      <c r="H3" s="225"/>
      <c r="I3" s="225"/>
      <c r="J3" s="225"/>
      <c r="K3" s="225"/>
      <c r="L3" s="225"/>
    </row>
    <row r="4" spans="2:12" ht="15.6" x14ac:dyDescent="0.3">
      <c r="B4" s="230" t="s">
        <v>1593</v>
      </c>
      <c r="C4" s="225"/>
      <c r="D4" s="225"/>
      <c r="E4" s="225"/>
      <c r="F4" s="225"/>
      <c r="G4" s="225"/>
      <c r="H4" s="225"/>
      <c r="I4" s="225"/>
      <c r="J4" s="225"/>
      <c r="K4" s="225"/>
      <c r="L4" s="225"/>
    </row>
    <row r="6" spans="2:12" ht="18" x14ac:dyDescent="0.35">
      <c r="B6" s="313" t="s">
        <v>356</v>
      </c>
      <c r="C6" s="313"/>
      <c r="D6" s="313"/>
      <c r="E6" s="313"/>
      <c r="F6" s="313"/>
      <c r="G6" s="313"/>
      <c r="H6" s="313"/>
      <c r="I6" s="313"/>
      <c r="J6" s="313"/>
      <c r="K6" s="313"/>
      <c r="L6" s="313"/>
    </row>
    <row r="7" spans="2:12" x14ac:dyDescent="0.3">
      <c r="B7" s="112" t="s">
        <v>357</v>
      </c>
      <c r="C7" s="112"/>
    </row>
    <row r="8" spans="2:12" x14ac:dyDescent="0.3">
      <c r="B8" s="112"/>
      <c r="C8" s="112"/>
    </row>
    <row r="9" spans="2:12" ht="15" thickBot="1" x14ac:dyDescent="0.35">
      <c r="B9" t="s">
        <v>314</v>
      </c>
    </row>
    <row r="10" spans="2:12" x14ac:dyDescent="0.3">
      <c r="B10" s="178"/>
      <c r="C10" s="178"/>
      <c r="D10" s="178"/>
      <c r="E10" s="179"/>
      <c r="F10" s="179"/>
      <c r="G10" s="179"/>
      <c r="H10" s="179"/>
      <c r="I10" s="179" t="s">
        <v>315</v>
      </c>
      <c r="J10" s="179" t="s">
        <v>315</v>
      </c>
      <c r="K10" s="179" t="s">
        <v>316</v>
      </c>
      <c r="L10" s="179" t="s">
        <v>317</v>
      </c>
    </row>
    <row r="11" spans="2:12" ht="16.8" thickBot="1" x14ac:dyDescent="0.35">
      <c r="B11" s="180" t="s">
        <v>318</v>
      </c>
      <c r="C11" s="180"/>
      <c r="D11" s="180"/>
      <c r="E11" s="181" t="s">
        <v>319</v>
      </c>
      <c r="F11" s="181" t="s">
        <v>320</v>
      </c>
      <c r="G11" s="181" t="s">
        <v>321</v>
      </c>
      <c r="H11" s="181" t="s">
        <v>322</v>
      </c>
      <c r="I11" s="181" t="s">
        <v>323</v>
      </c>
      <c r="J11" s="181" t="s">
        <v>324</v>
      </c>
      <c r="K11" s="181" t="s">
        <v>325</v>
      </c>
      <c r="L11" s="181" t="s">
        <v>326</v>
      </c>
    </row>
    <row r="12" spans="2:12" ht="4.2" customHeight="1" x14ac:dyDescent="0.3">
      <c r="L12" t="s">
        <v>255</v>
      </c>
    </row>
    <row r="13" spans="2:12" x14ac:dyDescent="0.3">
      <c r="B13" s="171" t="s">
        <v>297</v>
      </c>
      <c r="C13" s="171"/>
      <c r="D13" s="171"/>
      <c r="E13" s="172" t="s">
        <v>327</v>
      </c>
      <c r="F13" s="173">
        <v>1139</v>
      </c>
      <c r="G13" s="173">
        <v>611503.89</v>
      </c>
      <c r="H13" s="174">
        <v>0.3</v>
      </c>
      <c r="I13" s="175">
        <f>F13/G13</f>
        <v>1.8626210211025803E-3</v>
      </c>
      <c r="J13" s="175">
        <f>F13/(F13+G13)</f>
        <v>1.8591581141176713E-3</v>
      </c>
      <c r="K13" s="176">
        <v>0.31</v>
      </c>
      <c r="L13" s="177">
        <f t="shared" ref="L13:L17" si="0">K13/(1+(1-H13)*I13)</f>
        <v>0.30959633754753929</v>
      </c>
    </row>
    <row r="14" spans="2:12" x14ac:dyDescent="0.3">
      <c r="B14" s="158" t="s">
        <v>279</v>
      </c>
      <c r="C14" s="158"/>
      <c r="D14" s="158"/>
      <c r="E14" s="159" t="s">
        <v>327</v>
      </c>
      <c r="F14" s="160">
        <v>279.93</v>
      </c>
      <c r="G14" s="160">
        <v>182975.03</v>
      </c>
      <c r="H14" s="161">
        <v>0.3</v>
      </c>
      <c r="I14" s="162">
        <f t="shared" ref="I14:I17" si="1">F14/G14</f>
        <v>1.5298808804676792E-3</v>
      </c>
      <c r="J14" s="162">
        <f t="shared" ref="J14:J16" si="2">F14/(F14+G14)</f>
        <v>1.5275439202300446E-3</v>
      </c>
      <c r="K14" s="163">
        <v>0.36</v>
      </c>
      <c r="L14" s="164">
        <f t="shared" si="0"/>
        <v>0.35961488244690898</v>
      </c>
    </row>
    <row r="15" spans="2:12" x14ac:dyDescent="0.3">
      <c r="B15" s="158" t="s">
        <v>281</v>
      </c>
      <c r="C15" s="158"/>
      <c r="D15" s="158"/>
      <c r="E15" s="159" t="s">
        <v>327</v>
      </c>
      <c r="F15" s="160">
        <v>3037.7</v>
      </c>
      <c r="G15" s="160">
        <v>110689.96</v>
      </c>
      <c r="H15" s="161">
        <v>0.3</v>
      </c>
      <c r="I15" s="162">
        <f t="shared" si="1"/>
        <v>2.7443320062632597E-2</v>
      </c>
      <c r="J15" s="162">
        <f>F15/(F15+G15)</f>
        <v>2.671030073071054E-2</v>
      </c>
      <c r="K15" s="163">
        <v>0.46</v>
      </c>
      <c r="L15" s="164">
        <f t="shared" si="0"/>
        <v>0.45132980813507972</v>
      </c>
    </row>
    <row r="16" spans="2:12" x14ac:dyDescent="0.3">
      <c r="B16" s="158" t="s">
        <v>282</v>
      </c>
      <c r="C16" s="158"/>
      <c r="D16" s="158"/>
      <c r="E16" s="159" t="s">
        <v>327</v>
      </c>
      <c r="F16" s="160">
        <v>1164.46</v>
      </c>
      <c r="G16" s="160">
        <v>96256.38</v>
      </c>
      <c r="H16" s="161">
        <v>0.3</v>
      </c>
      <c r="I16" s="162">
        <f t="shared" si="1"/>
        <v>1.2097483823929386E-2</v>
      </c>
      <c r="J16" s="162">
        <f t="shared" si="2"/>
        <v>1.1952884003053145E-2</v>
      </c>
      <c r="K16" s="163">
        <v>0.46</v>
      </c>
      <c r="L16" s="164">
        <f t="shared" si="0"/>
        <v>0.45613732030230669</v>
      </c>
    </row>
    <row r="17" spans="2:12" x14ac:dyDescent="0.3">
      <c r="B17" s="158" t="s">
        <v>283</v>
      </c>
      <c r="C17" s="158"/>
      <c r="D17" s="158"/>
      <c r="E17" s="159" t="s">
        <v>327</v>
      </c>
      <c r="F17" s="160">
        <v>1068.1099999999999</v>
      </c>
      <c r="G17" s="160">
        <v>94940.38</v>
      </c>
      <c r="H17" s="161">
        <v>0.3</v>
      </c>
      <c r="I17" s="162">
        <f t="shared" si="1"/>
        <v>1.1250323624152335E-2</v>
      </c>
      <c r="J17" s="162">
        <f>F17/(F17+G17)</f>
        <v>1.1125161951823217E-2</v>
      </c>
      <c r="K17" s="163">
        <v>0.62</v>
      </c>
      <c r="L17" s="164">
        <f t="shared" si="0"/>
        <v>0.61515551099548405</v>
      </c>
    </row>
    <row r="18" spans="2:12" ht="15" thickBot="1" x14ac:dyDescent="0.35">
      <c r="J18" s="72"/>
    </row>
    <row r="19" spans="2:12" x14ac:dyDescent="0.3">
      <c r="G19" s="178" t="s">
        <v>305</v>
      </c>
      <c r="H19" s="182">
        <f>AVERAGE(H13:H17)</f>
        <v>0.3</v>
      </c>
      <c r="I19" s="183">
        <f t="shared" ref="I19:L19" si="3">AVERAGE(I13:I17)</f>
        <v>1.0836725882456915E-2</v>
      </c>
      <c r="J19" s="183">
        <f t="shared" si="3"/>
        <v>1.0635009743986925E-2</v>
      </c>
      <c r="K19" s="184">
        <f t="shared" si="3"/>
        <v>0.442</v>
      </c>
      <c r="L19" s="184">
        <f t="shared" si="3"/>
        <v>0.43836677188546369</v>
      </c>
    </row>
    <row r="20" spans="2:12" ht="15" thickBot="1" x14ac:dyDescent="0.35">
      <c r="G20" s="180" t="s">
        <v>158</v>
      </c>
      <c r="H20" s="185">
        <f>MEDIAN(H13:H17)</f>
        <v>0.3</v>
      </c>
      <c r="I20" s="186">
        <f t="shared" ref="I20:L20" si="4">MEDIAN(I13:I17)</f>
        <v>1.1250323624152335E-2</v>
      </c>
      <c r="J20" s="186">
        <f>MEDIAN(J13:J17)</f>
        <v>1.1125161951823217E-2</v>
      </c>
      <c r="K20" s="187">
        <f t="shared" si="4"/>
        <v>0.46</v>
      </c>
      <c r="L20" s="187">
        <f t="shared" si="4"/>
        <v>0.45132980813507972</v>
      </c>
    </row>
    <row r="23" spans="2:12" ht="15" thickBot="1" x14ac:dyDescent="0.35">
      <c r="B23" s="244" t="s">
        <v>328</v>
      </c>
      <c r="C23" s="188"/>
      <c r="D23" s="180"/>
      <c r="E23" s="180"/>
      <c r="F23" s="180"/>
      <c r="H23" s="244" t="s">
        <v>334</v>
      </c>
      <c r="I23" s="180"/>
      <c r="J23" s="180"/>
      <c r="K23" s="180"/>
      <c r="L23" s="180"/>
    </row>
    <row r="24" spans="2:12" ht="3.6" customHeight="1" x14ac:dyDescent="0.3"/>
    <row r="25" spans="2:12" x14ac:dyDescent="0.3">
      <c r="B25" s="168" t="s">
        <v>335</v>
      </c>
      <c r="C25" s="168"/>
      <c r="D25" s="168"/>
      <c r="E25" s="168"/>
      <c r="F25" s="170">
        <v>7.6499999999999999E-2</v>
      </c>
      <c r="H25" s="168" t="s">
        <v>336</v>
      </c>
      <c r="I25" s="168"/>
      <c r="J25" s="168"/>
      <c r="K25" s="168"/>
      <c r="L25" s="169">
        <v>6.9699999999999998E-2</v>
      </c>
    </row>
    <row r="26" spans="2:12" x14ac:dyDescent="0.3">
      <c r="B26" s="65" t="s">
        <v>221</v>
      </c>
      <c r="C26" s="65"/>
      <c r="D26" s="65"/>
      <c r="E26" s="65"/>
      <c r="F26" s="166">
        <v>0.3</v>
      </c>
      <c r="H26" s="65" t="s">
        <v>337</v>
      </c>
      <c r="I26" s="65"/>
      <c r="J26" s="65"/>
      <c r="K26" s="65"/>
      <c r="L26" s="165">
        <f>'Market Return'!I11-WACC!L25</f>
        <v>9.5091666666666672E-2</v>
      </c>
    </row>
    <row r="27" spans="2:12" x14ac:dyDescent="0.3">
      <c r="B27" s="66" t="s">
        <v>338</v>
      </c>
      <c r="C27" s="66"/>
      <c r="D27" s="66"/>
      <c r="E27" s="66"/>
      <c r="F27" s="106">
        <f>F25*(1-F26)</f>
        <v>5.3549999999999993E-2</v>
      </c>
      <c r="H27" s="65" t="s">
        <v>339</v>
      </c>
      <c r="I27" s="65"/>
      <c r="J27" s="65"/>
      <c r="K27" s="65"/>
      <c r="L27" s="155">
        <f>L36</f>
        <v>0.45488413261700211</v>
      </c>
    </row>
    <row r="28" spans="2:12" x14ac:dyDescent="0.3">
      <c r="H28" s="66" t="s">
        <v>334</v>
      </c>
      <c r="I28" s="66"/>
      <c r="J28" s="66"/>
      <c r="K28" s="66"/>
      <c r="L28" s="78">
        <f>L25+(L26*L27)</f>
        <v>0.11295569031077177</v>
      </c>
    </row>
    <row r="30" spans="2:12" x14ac:dyDescent="0.3">
      <c r="H30" s="108"/>
    </row>
    <row r="31" spans="2:12" ht="15" thickBot="1" x14ac:dyDescent="0.35">
      <c r="B31" s="244" t="s">
        <v>340</v>
      </c>
      <c r="C31" s="188"/>
      <c r="D31" s="180"/>
      <c r="E31" s="180"/>
      <c r="F31" s="180"/>
      <c r="H31" s="244" t="s">
        <v>341</v>
      </c>
      <c r="I31" s="180"/>
      <c r="J31" s="180"/>
      <c r="K31" s="180"/>
      <c r="L31" s="180"/>
    </row>
    <row r="32" spans="2:12" ht="3.6" customHeight="1" x14ac:dyDescent="0.3"/>
    <row r="33" spans="2:12" x14ac:dyDescent="0.3">
      <c r="E33" t="s">
        <v>342</v>
      </c>
      <c r="F33" t="s">
        <v>343</v>
      </c>
      <c r="H33" s="168" t="s">
        <v>344</v>
      </c>
      <c r="I33" s="168"/>
      <c r="J33" s="168"/>
      <c r="K33" s="168"/>
      <c r="L33" s="107">
        <f>L20</f>
        <v>0.45132980813507972</v>
      </c>
    </row>
    <row r="34" spans="2:12" x14ac:dyDescent="0.3">
      <c r="B34" s="65" t="s">
        <v>320</v>
      </c>
      <c r="C34" s="65"/>
      <c r="D34" s="103">
        <f>F17</f>
        <v>1068.1099999999999</v>
      </c>
      <c r="E34" s="84">
        <f>D34/D36</f>
        <v>1.1125161951823217E-2</v>
      </c>
      <c r="F34" s="165">
        <f>J20</f>
        <v>1.1125161951823217E-2</v>
      </c>
      <c r="H34" s="65" t="s">
        <v>345</v>
      </c>
      <c r="I34" s="65"/>
      <c r="J34" s="65"/>
      <c r="K34" s="65"/>
      <c r="L34" s="165">
        <f>F38</f>
        <v>1.1250323624152335E-2</v>
      </c>
    </row>
    <row r="35" spans="2:12" x14ac:dyDescent="0.3">
      <c r="B35" s="65" t="s">
        <v>79</v>
      </c>
      <c r="C35" s="65"/>
      <c r="D35" s="103">
        <f>G17</f>
        <v>94940.38</v>
      </c>
      <c r="E35" s="84">
        <f>D35/$D$36</f>
        <v>0.98887483804817677</v>
      </c>
      <c r="F35" s="165">
        <f>F36-F34</f>
        <v>0.98887483804817677</v>
      </c>
      <c r="H35" s="65" t="s">
        <v>221</v>
      </c>
      <c r="I35" s="65"/>
      <c r="J35" s="65"/>
      <c r="K35" s="65"/>
      <c r="L35" s="167">
        <f>F26</f>
        <v>0.3</v>
      </c>
    </row>
    <row r="36" spans="2:12" x14ac:dyDescent="0.3">
      <c r="B36" s="66" t="s">
        <v>346</v>
      </c>
      <c r="C36" s="66"/>
      <c r="D36" s="104">
        <f>SUM(D34:D35)</f>
        <v>96008.49</v>
      </c>
      <c r="E36" s="85">
        <f>D36/$D$36</f>
        <v>1</v>
      </c>
      <c r="F36" s="109">
        <v>1</v>
      </c>
      <c r="H36" s="66" t="s">
        <v>339</v>
      </c>
      <c r="I36" s="66"/>
      <c r="J36" s="66"/>
      <c r="K36" s="66"/>
      <c r="L36" s="110">
        <f>L33*(1+(1-L35)*L34)</f>
        <v>0.45488413261700211</v>
      </c>
    </row>
    <row r="38" spans="2:12" ht="15" thickBot="1" x14ac:dyDescent="0.35">
      <c r="B38" t="s">
        <v>347</v>
      </c>
      <c r="E38" s="78">
        <f>E34/E35</f>
        <v>1.1250323624152335E-2</v>
      </c>
      <c r="F38" s="78">
        <f>F34/F35</f>
        <v>1.1250323624152335E-2</v>
      </c>
      <c r="H38" s="244" t="s">
        <v>348</v>
      </c>
      <c r="I38" s="180"/>
      <c r="J38" s="180"/>
      <c r="K38" s="180"/>
      <c r="L38" s="180"/>
    </row>
    <row r="39" spans="2:12" ht="3.6" customHeight="1" x14ac:dyDescent="0.3"/>
    <row r="40" spans="2:12" x14ac:dyDescent="0.3">
      <c r="B40" s="102" t="s">
        <v>349</v>
      </c>
      <c r="K40" t="s">
        <v>350</v>
      </c>
      <c r="L40" t="s">
        <v>351</v>
      </c>
    </row>
    <row r="41" spans="2:12" x14ac:dyDescent="0.3">
      <c r="B41" s="102" t="s">
        <v>352</v>
      </c>
      <c r="H41" s="65" t="s">
        <v>353</v>
      </c>
      <c r="I41" s="65"/>
      <c r="J41" s="65"/>
      <c r="K41" s="165">
        <f>F27</f>
        <v>5.3549999999999993E-2</v>
      </c>
      <c r="L41" s="165">
        <f>F34</f>
        <v>1.1125161951823217E-2</v>
      </c>
    </row>
    <row r="42" spans="2:12" x14ac:dyDescent="0.3">
      <c r="B42" s="102" t="s">
        <v>354</v>
      </c>
      <c r="H42" s="65" t="s">
        <v>323</v>
      </c>
      <c r="I42" s="65"/>
      <c r="J42" s="65"/>
      <c r="K42" s="165">
        <f>L28</f>
        <v>0.11295569031077177</v>
      </c>
      <c r="L42" s="165">
        <f>F35</f>
        <v>0.98887483804817677</v>
      </c>
    </row>
    <row r="43" spans="2:12" x14ac:dyDescent="0.3">
      <c r="B43" s="102" t="s">
        <v>355</v>
      </c>
      <c r="H43" s="66" t="s">
        <v>356</v>
      </c>
      <c r="I43" s="66"/>
      <c r="J43" s="66"/>
      <c r="K43" s="66"/>
      <c r="L43" s="111">
        <f>SUMPRODUCT(K41:K42,L41:L42)</f>
        <v>0.11229479238520458</v>
      </c>
    </row>
    <row r="45" spans="2:12" x14ac:dyDescent="0.3">
      <c r="B45" s="225"/>
      <c r="C45" s="225"/>
      <c r="D45" s="225"/>
      <c r="E45" s="225"/>
      <c r="F45" s="225"/>
      <c r="G45" s="225"/>
      <c r="H45" s="225"/>
      <c r="I45" s="225"/>
      <c r="J45" s="225"/>
      <c r="K45" s="225"/>
      <c r="L45" s="225"/>
    </row>
  </sheetData>
  <mergeCells count="1">
    <mergeCell ref="B6:L6"/>
  </mergeCells>
  <printOptions horizontalCentered="1" verticalCentered="1"/>
  <pageMargins left="7.874015748031496E-2" right="7.874015748031496E-2" top="0" bottom="0" header="0.31496062992125984" footer="0.31496062992125984"/>
  <pageSetup scale="97" fitToWidth="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E5A57-0097-4206-8980-7628A1085CF1}">
  <dimension ref="A2:X68"/>
  <sheetViews>
    <sheetView showGridLines="0" tabSelected="1" topLeftCell="A33" zoomScale="87" workbookViewId="0">
      <selection activeCell="N61" sqref="N61"/>
    </sheetView>
  </sheetViews>
  <sheetFormatPr defaultRowHeight="14.4" x14ac:dyDescent="0.3"/>
  <cols>
    <col min="1" max="1" width="2.6640625" bestFit="1" customWidth="1"/>
    <col min="2" max="2" width="29.21875" bestFit="1" customWidth="1"/>
    <col min="3" max="3" width="1.44140625" bestFit="1" customWidth="1"/>
    <col min="6" max="8" width="12" bestFit="1" customWidth="1"/>
    <col min="9" max="9" width="14.33203125" bestFit="1" customWidth="1"/>
    <col min="10" max="10" width="12" bestFit="1" customWidth="1"/>
  </cols>
  <sheetData>
    <row r="2" spans="2:24" ht="31.2" customHeight="1" x14ac:dyDescent="0.3">
      <c r="B2" s="229" t="s">
        <v>63</v>
      </c>
      <c r="C2" s="229"/>
      <c r="D2" s="229"/>
      <c r="E2" s="225"/>
      <c r="F2" s="225"/>
      <c r="G2" s="225"/>
      <c r="H2" s="225"/>
      <c r="I2" s="225"/>
      <c r="J2" s="225"/>
    </row>
    <row r="3" spans="2:24" ht="3.6" customHeight="1" x14ac:dyDescent="0.3">
      <c r="B3" s="229"/>
      <c r="C3" s="229"/>
      <c r="D3" s="229"/>
      <c r="E3" s="225"/>
      <c r="F3" s="225"/>
      <c r="G3" s="225"/>
      <c r="H3" s="225"/>
      <c r="I3" s="225"/>
      <c r="J3" s="225"/>
    </row>
    <row r="4" spans="2:24" ht="15.6" x14ac:dyDescent="0.3">
      <c r="B4" s="230" t="s">
        <v>1593</v>
      </c>
      <c r="C4" s="230"/>
      <c r="D4" s="230"/>
      <c r="E4" s="225"/>
      <c r="F4" s="225"/>
      <c r="G4" s="225"/>
      <c r="H4" s="225"/>
      <c r="I4" s="225"/>
      <c r="J4" s="225"/>
    </row>
    <row r="5" spans="2:24" ht="15.6" x14ac:dyDescent="0.3">
      <c r="B5" s="157"/>
      <c r="C5" s="157"/>
      <c r="D5" s="157"/>
    </row>
    <row r="6" spans="2:24" x14ac:dyDescent="0.3">
      <c r="B6" s="312" t="str">
        <f>"Intrinsic Growth - " &amp; 'Data Sheet'!B1</f>
        <v>Intrinsic Growth - DABUR INDIA LTD</v>
      </c>
      <c r="C6" s="312"/>
      <c r="D6" s="312"/>
      <c r="E6" s="312"/>
      <c r="F6" s="312"/>
      <c r="G6" s="312"/>
      <c r="H6" s="312"/>
      <c r="I6" s="312"/>
      <c r="J6" s="312"/>
      <c r="K6" s="30"/>
    </row>
    <row r="7" spans="2:24" x14ac:dyDescent="0.3">
      <c r="B7" s="236" t="s">
        <v>180</v>
      </c>
      <c r="C7" s="240"/>
      <c r="D7" s="240"/>
      <c r="E7" s="240"/>
      <c r="F7" s="240">
        <f>'Data Sheet'!G16</f>
        <v>43921</v>
      </c>
      <c r="G7" s="240">
        <f>'Data Sheet'!H16</f>
        <v>44286</v>
      </c>
      <c r="H7" s="240">
        <f>'Data Sheet'!I16</f>
        <v>44651</v>
      </c>
      <c r="I7" s="240">
        <f>'Data Sheet'!J16</f>
        <v>45016</v>
      </c>
      <c r="J7" s="240">
        <f>'Data Sheet'!K16</f>
        <v>45382</v>
      </c>
      <c r="K7" s="31"/>
    </row>
    <row r="8" spans="2:24" ht="3.6" customHeight="1" x14ac:dyDescent="0.3"/>
    <row r="9" spans="2:24" x14ac:dyDescent="0.3">
      <c r="B9" s="2" t="s">
        <v>181</v>
      </c>
    </row>
    <row r="10" spans="2:24" x14ac:dyDescent="0.3">
      <c r="B10" s="83" t="s">
        <v>256</v>
      </c>
      <c r="C10" s="83"/>
      <c r="D10" s="83"/>
      <c r="E10" s="83"/>
      <c r="F10" s="89">
        <f>'Raw FS'!H31</f>
        <v>1380</v>
      </c>
      <c r="G10" s="89">
        <f>'Raw FS'!I31</f>
        <v>1734</v>
      </c>
      <c r="H10" s="89">
        <f>'Raw FS'!J31</f>
        <v>1911</v>
      </c>
      <c r="I10" s="89">
        <f>'Raw FS'!K31</f>
        <v>2024</v>
      </c>
      <c r="J10" s="89">
        <f>'Raw FS'!L31</f>
        <v>1947</v>
      </c>
    </row>
    <row r="11" spans="2:24" x14ac:dyDescent="0.3">
      <c r="B11" s="83" t="s">
        <v>258</v>
      </c>
      <c r="C11" s="83"/>
      <c r="D11" s="83"/>
      <c r="E11" s="83"/>
      <c r="F11" s="89">
        <f>'Raw FS'!H32</f>
        <v>814</v>
      </c>
      <c r="G11" s="89">
        <f>'Raw FS'!I32</f>
        <v>562</v>
      </c>
      <c r="H11" s="89">
        <f>'Raw FS'!J32</f>
        <v>646</v>
      </c>
      <c r="I11" s="89">
        <f>'Raw FS'!K32</f>
        <v>849</v>
      </c>
      <c r="J11" s="89">
        <f>'Raw FS'!L32</f>
        <v>899</v>
      </c>
    </row>
    <row r="12" spans="2:24" x14ac:dyDescent="0.3">
      <c r="B12" s="83" t="s">
        <v>257</v>
      </c>
      <c r="C12" s="83"/>
      <c r="D12" s="83"/>
      <c r="E12" s="83"/>
      <c r="F12" s="89">
        <f>'Raw FS'!H34</f>
        <v>23</v>
      </c>
      <c r="G12" s="89">
        <f>'Raw FS'!I34</f>
        <v>20</v>
      </c>
      <c r="H12" s="89">
        <f>'Raw FS'!J34</f>
        <v>24</v>
      </c>
      <c r="I12" s="89">
        <f>'Raw FS'!K34</f>
        <v>33</v>
      </c>
      <c r="J12" s="89">
        <f>'Raw FS'!L34</f>
        <v>45</v>
      </c>
    </row>
    <row r="13" spans="2:24" x14ac:dyDescent="0.3">
      <c r="B13" s="86" t="s">
        <v>179</v>
      </c>
      <c r="C13" s="86"/>
      <c r="D13" s="86"/>
      <c r="E13" s="86"/>
      <c r="F13" s="90">
        <f>'Raw FS'!H35</f>
        <v>1109</v>
      </c>
      <c r="G13" s="90">
        <f>'Raw FS'!I35</f>
        <v>639</v>
      </c>
      <c r="H13" s="90">
        <f>'Raw FS'!J35</f>
        <v>437</v>
      </c>
      <c r="I13" s="90">
        <f>'Raw FS'!K35</f>
        <v>401</v>
      </c>
      <c r="J13" s="90">
        <f>'Raw FS'!L35</f>
        <v>579</v>
      </c>
      <c r="P13" s="61"/>
      <c r="Q13" s="61"/>
      <c r="R13" s="61"/>
      <c r="S13" s="61"/>
      <c r="T13" s="61"/>
      <c r="U13" s="61"/>
      <c r="V13" s="61"/>
      <c r="W13" s="61"/>
      <c r="X13" s="61"/>
    </row>
    <row r="14" spans="2:24" x14ac:dyDescent="0.3">
      <c r="B14" s="87" t="s">
        <v>122</v>
      </c>
      <c r="C14" s="88"/>
      <c r="D14" s="88"/>
      <c r="E14" s="88"/>
      <c r="F14" s="94">
        <f>SUM(F10:F13)</f>
        <v>3326</v>
      </c>
      <c r="G14" s="94">
        <f t="shared" ref="G14:I14" si="0">SUM(G10:G13)</f>
        <v>2955</v>
      </c>
      <c r="H14" s="94">
        <f t="shared" si="0"/>
        <v>3018</v>
      </c>
      <c r="I14" s="94">
        <f t="shared" si="0"/>
        <v>3307</v>
      </c>
      <c r="J14" s="94">
        <f>SUM(J10:J13)</f>
        <v>3470</v>
      </c>
    </row>
    <row r="15" spans="2:24" x14ac:dyDescent="0.3">
      <c r="U15" s="61"/>
    </row>
    <row r="16" spans="2:24" x14ac:dyDescent="0.3">
      <c r="B16" s="2" t="s">
        <v>182</v>
      </c>
    </row>
    <row r="17" spans="1:20" x14ac:dyDescent="0.3">
      <c r="B17" s="65" t="str">
        <f>'Raw FS'!B12</f>
        <v>Trade Payables</v>
      </c>
      <c r="C17" s="65"/>
      <c r="D17" s="65"/>
      <c r="E17" s="65"/>
      <c r="F17" s="89">
        <f>'Raw FS'!H12</f>
        <v>1482</v>
      </c>
      <c r="G17" s="89">
        <f>'Raw FS'!I12</f>
        <v>1915</v>
      </c>
      <c r="H17" s="89">
        <f>'Raw FS'!J12</f>
        <v>2018</v>
      </c>
      <c r="I17" s="89">
        <f>'Raw FS'!K12</f>
        <v>2187</v>
      </c>
      <c r="J17" s="89">
        <f>'Raw FS'!L12</f>
        <v>2422</v>
      </c>
      <c r="T17" s="61"/>
    </row>
    <row r="18" spans="1:20" x14ac:dyDescent="0.3">
      <c r="B18" s="65" t="s">
        <v>248</v>
      </c>
      <c r="C18" s="65"/>
      <c r="D18" s="65"/>
      <c r="E18" s="65"/>
      <c r="F18" s="89">
        <f>'Raw FS'!H13</f>
        <v>30</v>
      </c>
      <c r="G18" s="89">
        <f>'Raw FS'!I13</f>
        <v>43</v>
      </c>
      <c r="H18" s="89">
        <f>'Raw FS'!J13</f>
        <v>37</v>
      </c>
      <c r="I18" s="89">
        <f>'Raw FS'!K13</f>
        <v>9</v>
      </c>
      <c r="J18" s="89">
        <f>'Raw FS'!L13</f>
        <v>33</v>
      </c>
      <c r="T18" s="61"/>
    </row>
    <row r="19" spans="1:20" x14ac:dyDescent="0.3">
      <c r="B19" s="66" t="str">
        <f>'Raw FS'!B14</f>
        <v>Other liability items</v>
      </c>
      <c r="C19" s="66"/>
      <c r="D19" s="66"/>
      <c r="E19" s="66"/>
      <c r="F19" s="90">
        <f>'Raw FS'!H14</f>
        <v>660</v>
      </c>
      <c r="G19" s="90">
        <f>'Raw FS'!I14</f>
        <v>666</v>
      </c>
      <c r="H19" s="90">
        <f>'Raw FS'!J14</f>
        <v>777</v>
      </c>
      <c r="I19" s="90">
        <f>'Raw FS'!K14</f>
        <v>842</v>
      </c>
      <c r="J19" s="90">
        <f>'Raw FS'!L14</f>
        <v>994</v>
      </c>
    </row>
    <row r="20" spans="1:20" x14ac:dyDescent="0.3">
      <c r="B20" s="67" t="s">
        <v>183</v>
      </c>
      <c r="C20" s="67"/>
      <c r="D20" s="67"/>
      <c r="E20" s="67"/>
      <c r="F20" s="94">
        <f>SUM(F17:F19)</f>
        <v>2172</v>
      </c>
      <c r="G20" s="94">
        <f>SUM(G17:G19)</f>
        <v>2624</v>
      </c>
      <c r="H20" s="94">
        <f>SUM(H17:H19)</f>
        <v>2832</v>
      </c>
      <c r="I20" s="94">
        <f>SUM(I17:I19)</f>
        <v>3038</v>
      </c>
      <c r="J20" s="94">
        <f>SUM(J17:J19)</f>
        <v>3449</v>
      </c>
    </row>
    <row r="21" spans="1:20" x14ac:dyDescent="0.3">
      <c r="B21" s="2"/>
      <c r="C21" s="2"/>
      <c r="D21" s="2"/>
      <c r="E21" s="2"/>
      <c r="F21" s="62"/>
      <c r="G21" s="62"/>
      <c r="H21" s="62"/>
      <c r="I21" s="62"/>
      <c r="J21" s="62"/>
    </row>
    <row r="22" spans="1:20" ht="15" thickBot="1" x14ac:dyDescent="0.35">
      <c r="A22" s="70" t="s">
        <v>95</v>
      </c>
      <c r="B22" s="91" t="s">
        <v>186</v>
      </c>
      <c r="C22" s="92"/>
      <c r="D22" s="92"/>
      <c r="E22" s="92"/>
      <c r="F22" s="93">
        <f>F14-F20</f>
        <v>1154</v>
      </c>
      <c r="G22" s="93">
        <f t="shared" ref="G22:I22" si="1">G14-G20</f>
        <v>331</v>
      </c>
      <c r="H22" s="93">
        <f t="shared" si="1"/>
        <v>186</v>
      </c>
      <c r="I22" s="93">
        <f t="shared" si="1"/>
        <v>269</v>
      </c>
      <c r="J22" s="93">
        <f>J14-J20</f>
        <v>21</v>
      </c>
    </row>
    <row r="24" spans="1:20" x14ac:dyDescent="0.3">
      <c r="B24" s="2" t="s">
        <v>184</v>
      </c>
    </row>
    <row r="25" spans="1:20" x14ac:dyDescent="0.3">
      <c r="B25" s="65" t="s">
        <v>249</v>
      </c>
      <c r="C25" s="65"/>
      <c r="D25" s="65"/>
      <c r="E25" s="65"/>
      <c r="F25" s="89">
        <f>'Raw FS'!H18</f>
        <v>103</v>
      </c>
      <c r="G25" s="89">
        <f>'Raw FS'!I18</f>
        <v>93</v>
      </c>
      <c r="H25" s="89">
        <f>'Raw FS'!J18</f>
        <v>123</v>
      </c>
      <c r="I25" s="89">
        <f>'Raw FS'!K18</f>
        <v>141</v>
      </c>
      <c r="J25" s="89">
        <f>'Raw FS'!L18</f>
        <v>145</v>
      </c>
    </row>
    <row r="26" spans="1:20" x14ac:dyDescent="0.3">
      <c r="B26" s="65" t="s">
        <v>172</v>
      </c>
      <c r="C26" s="65"/>
      <c r="D26" s="65"/>
      <c r="E26" s="65"/>
      <c r="F26" s="89">
        <f>'Raw FS'!H19</f>
        <v>1054</v>
      </c>
      <c r="G26" s="89">
        <f>'Raw FS'!I19</f>
        <v>1057</v>
      </c>
      <c r="H26" s="89">
        <f>'Raw FS'!J19</f>
        <v>1144</v>
      </c>
      <c r="I26" s="89">
        <f>'Raw FS'!K19</f>
        <v>1279</v>
      </c>
      <c r="J26" s="89">
        <f>'Raw FS'!L19</f>
        <v>1513</v>
      </c>
    </row>
    <row r="27" spans="1:20" x14ac:dyDescent="0.3">
      <c r="B27" s="65" t="s">
        <v>250</v>
      </c>
      <c r="C27" s="65"/>
      <c r="D27" s="65"/>
      <c r="E27" s="65"/>
      <c r="F27" s="89">
        <f>'Raw FS'!H20</f>
        <v>1719</v>
      </c>
      <c r="G27" s="89">
        <f>'Raw FS'!I20</f>
        <v>1862</v>
      </c>
      <c r="H27" s="89">
        <f>'Raw FS'!J20</f>
        <v>2074</v>
      </c>
      <c r="I27" s="89">
        <f>'Raw FS'!K20</f>
        <v>2408</v>
      </c>
      <c r="J27" s="89">
        <f>'Raw FS'!L20</f>
        <v>2775</v>
      </c>
    </row>
    <row r="28" spans="1:20" x14ac:dyDescent="0.3">
      <c r="B28" s="65" t="s">
        <v>251</v>
      </c>
      <c r="C28" s="65"/>
      <c r="D28" s="65"/>
      <c r="E28" s="65"/>
      <c r="F28" s="89">
        <f>'Raw FS'!H21</f>
        <v>69</v>
      </c>
      <c r="G28" s="89">
        <f>'Raw FS'!I21</f>
        <v>73</v>
      </c>
      <c r="H28" s="89">
        <f>'Raw FS'!J21</f>
        <v>78</v>
      </c>
      <c r="I28" s="89">
        <f>'Raw FS'!K21</f>
        <v>88</v>
      </c>
      <c r="J28" s="89">
        <f>'Raw FS'!L21</f>
        <v>93</v>
      </c>
    </row>
    <row r="29" spans="1:20" x14ac:dyDescent="0.3">
      <c r="B29" s="65" t="s">
        <v>252</v>
      </c>
      <c r="C29" s="65"/>
      <c r="D29" s="65"/>
      <c r="E29" s="65"/>
      <c r="F29" s="89">
        <f>'Raw FS'!H22</f>
        <v>126</v>
      </c>
      <c r="G29" s="89">
        <f>'Raw FS'!I22</f>
        <v>129</v>
      </c>
      <c r="H29" s="89">
        <f>'Raw FS'!J22</f>
        <v>134</v>
      </c>
      <c r="I29" s="89">
        <f>'Raw FS'!K22</f>
        <v>148</v>
      </c>
      <c r="J29" s="89">
        <f>'Raw FS'!L22</f>
        <v>159</v>
      </c>
    </row>
    <row r="30" spans="1:20" x14ac:dyDescent="0.3">
      <c r="B30" s="65" t="s">
        <v>253</v>
      </c>
      <c r="C30" s="65"/>
      <c r="D30" s="65"/>
      <c r="E30" s="65"/>
      <c r="F30" s="89">
        <f>'Raw FS'!H23</f>
        <v>45</v>
      </c>
      <c r="G30" s="89">
        <f>'Raw FS'!I23</f>
        <v>45</v>
      </c>
      <c r="H30" s="89">
        <f>'Raw FS'!J23</f>
        <v>47</v>
      </c>
      <c r="I30" s="89">
        <f>'Raw FS'!K23</f>
        <v>43</v>
      </c>
      <c r="J30" s="89">
        <f>'Raw FS'!L23</f>
        <v>44</v>
      </c>
    </row>
    <row r="31" spans="1:20" x14ac:dyDescent="0.3">
      <c r="B31" s="65" t="s">
        <v>254</v>
      </c>
      <c r="C31" s="65"/>
      <c r="D31" s="65"/>
      <c r="E31" s="65"/>
      <c r="F31" s="89">
        <f>'Raw FS'!H24</f>
        <v>374</v>
      </c>
      <c r="G31" s="89">
        <f>'Raw FS'!I24</f>
        <v>375</v>
      </c>
      <c r="H31" s="89">
        <f>'Raw FS'!J24</f>
        <v>291</v>
      </c>
      <c r="I31" s="89">
        <f>'Raw FS'!K24</f>
        <v>1322</v>
      </c>
      <c r="J31" s="89">
        <f>'Raw FS'!L24</f>
        <v>1321</v>
      </c>
    </row>
    <row r="32" spans="1:20" x14ac:dyDescent="0.3">
      <c r="B32" s="65" t="s">
        <v>173</v>
      </c>
      <c r="C32" s="65"/>
      <c r="D32" s="65"/>
      <c r="E32" s="65"/>
      <c r="F32" s="89">
        <f>'Raw FS'!H25</f>
        <v>139</v>
      </c>
      <c r="G32" s="89">
        <f>'Raw FS'!I25</f>
        <v>146</v>
      </c>
      <c r="H32" s="89">
        <f>'Raw FS'!J25</f>
        <v>149</v>
      </c>
      <c r="I32" s="89">
        <f>'Raw FS'!K25</f>
        <v>154</v>
      </c>
      <c r="J32" s="89">
        <f>'Raw FS'!L25</f>
        <v>164</v>
      </c>
    </row>
    <row r="33" spans="1:13" x14ac:dyDescent="0.3">
      <c r="B33" s="68" t="s">
        <v>174</v>
      </c>
      <c r="C33" s="68"/>
      <c r="D33" s="68"/>
      <c r="E33" s="68"/>
      <c r="F33" s="89">
        <f>SUM(F25:F32)</f>
        <v>3629</v>
      </c>
      <c r="G33" s="89">
        <f>SUM(G25:G32)</f>
        <v>3780</v>
      </c>
      <c r="H33" s="89">
        <f>SUM(H25:H32)</f>
        <v>4040</v>
      </c>
      <c r="I33" s="89">
        <f>SUM(I25:I32)</f>
        <v>5583</v>
      </c>
      <c r="J33" s="89">
        <f>SUM(J25:J32)</f>
        <v>6214</v>
      </c>
    </row>
    <row r="34" spans="1:13" x14ac:dyDescent="0.3">
      <c r="B34" s="66" t="s">
        <v>175</v>
      </c>
      <c r="C34" s="66"/>
      <c r="D34" s="66"/>
      <c r="E34" s="66"/>
      <c r="F34" s="89">
        <f>-'Raw FS'!H27</f>
        <v>-1377</v>
      </c>
      <c r="G34" s="89">
        <f>-'Raw FS'!I27</f>
        <v>-1536</v>
      </c>
      <c r="H34" s="89">
        <f>-'Raw FS'!J27</f>
        <v>-1733</v>
      </c>
      <c r="I34" s="89">
        <f>-'Raw FS'!K27</f>
        <v>-2004</v>
      </c>
      <c r="J34" s="89">
        <f>-'Raw FS'!L27</f>
        <v>-2400</v>
      </c>
    </row>
    <row r="35" spans="1:13" ht="15" thickBot="1" x14ac:dyDescent="0.35">
      <c r="B35" s="91" t="s">
        <v>185</v>
      </c>
      <c r="C35" s="92"/>
      <c r="D35" s="92"/>
      <c r="E35" s="92"/>
      <c r="F35" s="93">
        <f>SUM(F33:F34)</f>
        <v>2252</v>
      </c>
      <c r="G35" s="93">
        <f t="shared" ref="G35:J35" si="2">SUM(G33:G34)</f>
        <v>2244</v>
      </c>
      <c r="H35" s="93">
        <f t="shared" si="2"/>
        <v>2307</v>
      </c>
      <c r="I35" s="93">
        <f t="shared" si="2"/>
        <v>3579</v>
      </c>
      <c r="J35" s="93">
        <f t="shared" si="2"/>
        <v>3814</v>
      </c>
    </row>
    <row r="37" spans="1:13" x14ac:dyDescent="0.3">
      <c r="A37" s="2" t="s">
        <v>95</v>
      </c>
      <c r="B37" s="68" t="s">
        <v>187</v>
      </c>
      <c r="C37" s="65"/>
      <c r="D37" s="65"/>
      <c r="E37" s="65"/>
      <c r="F37" s="89">
        <f>F35+F22</f>
        <v>3406</v>
      </c>
      <c r="G37" s="89">
        <f>G35+G22</f>
        <v>2575</v>
      </c>
      <c r="H37" s="89">
        <f>H35+H22</f>
        <v>2493</v>
      </c>
      <c r="I37" s="89">
        <f>I35+I22</f>
        <v>3848</v>
      </c>
      <c r="J37" s="89">
        <f>J35+J22</f>
        <v>3835</v>
      </c>
    </row>
    <row r="38" spans="1:13" x14ac:dyDescent="0.3">
      <c r="B38" s="66" t="s">
        <v>188</v>
      </c>
      <c r="C38" s="66"/>
      <c r="D38" s="66"/>
      <c r="E38" s="66"/>
      <c r="F38" s="90">
        <f>'Historical FS'!H31+'Historical FS'!H25</f>
        <v>1571.8899999999994</v>
      </c>
      <c r="G38" s="90">
        <f>'Historical FS'!I31+'Historical FS'!I25</f>
        <v>1761.5399999999981</v>
      </c>
      <c r="H38" s="90">
        <f>'Historical FS'!J31+'Historical FS'!J25</f>
        <v>1999.1200000000006</v>
      </c>
      <c r="I38" s="90">
        <f>'Historical FS'!K31+'Historical FS'!K25</f>
        <v>1851.5299999999993</v>
      </c>
      <c r="J38" s="90">
        <f>'Historical FS'!L31+'Historical FS'!L25</f>
        <v>2000.5100000000014</v>
      </c>
    </row>
    <row r="40" spans="1:13" ht="15" thickBot="1" x14ac:dyDescent="0.35">
      <c r="A40" s="2" t="s">
        <v>95</v>
      </c>
      <c r="B40" s="69" t="s">
        <v>189</v>
      </c>
      <c r="C40" s="71"/>
      <c r="D40" s="71"/>
      <c r="E40" s="71"/>
      <c r="F40" s="73">
        <f>F38/F37</f>
        <v>0.46150616559013491</v>
      </c>
      <c r="G40" s="73">
        <f t="shared" ref="G40:I40" si="3">G38/G37</f>
        <v>0.68409320388349437</v>
      </c>
      <c r="H40" s="73">
        <f>H38/H37</f>
        <v>0.80189330124348202</v>
      </c>
      <c r="I40" s="73">
        <f t="shared" si="3"/>
        <v>0.48116683991683973</v>
      </c>
      <c r="J40" s="73">
        <f>J38/J37</f>
        <v>0.52164537157757529</v>
      </c>
    </row>
    <row r="42" spans="1:13" x14ac:dyDescent="0.3">
      <c r="B42" s="236" t="s">
        <v>214</v>
      </c>
      <c r="C42" s="240"/>
      <c r="D42" s="240"/>
      <c r="E42" s="240"/>
      <c r="F42" s="240">
        <f>'Historical FS'!H7</f>
        <v>43921</v>
      </c>
      <c r="G42" s="240">
        <f>'Historical FS'!I7</f>
        <v>44286</v>
      </c>
      <c r="H42" s="240">
        <f>'Historical FS'!J7</f>
        <v>44651</v>
      </c>
      <c r="I42" s="240">
        <f>'Historical FS'!K7</f>
        <v>45016</v>
      </c>
      <c r="J42" s="240">
        <f>'Historical FS'!L7</f>
        <v>45382</v>
      </c>
    </row>
    <row r="43" spans="1:13" ht="3.6" customHeight="1" x14ac:dyDescent="0.3"/>
    <row r="44" spans="1:13" x14ac:dyDescent="0.3">
      <c r="B44" s="168" t="s">
        <v>190</v>
      </c>
      <c r="C44" s="168"/>
      <c r="D44" s="168"/>
      <c r="E44" s="168"/>
      <c r="F44" s="193">
        <f>-('Raw FS'!J50-'Raw FS'!J51)</f>
        <v>434</v>
      </c>
      <c r="G44" s="193">
        <f>-('Raw FS'!K50-'Raw FS'!K51)</f>
        <v>316</v>
      </c>
      <c r="H44" s="193">
        <f>-('Raw FS'!L50-'Raw FS'!L51)</f>
        <v>379</v>
      </c>
      <c r="I44" s="193">
        <f>-('Raw FS'!M50-'Raw FS'!M51)</f>
        <v>532</v>
      </c>
      <c r="J44" s="193">
        <f>-('Raw FS'!N50-'Raw FS'!N51)</f>
        <v>567</v>
      </c>
    </row>
    <row r="45" spans="1:13" x14ac:dyDescent="0.3">
      <c r="B45" s="65" t="s">
        <v>208</v>
      </c>
      <c r="C45" s="65"/>
      <c r="D45" s="65"/>
      <c r="E45" s="65"/>
      <c r="F45" s="96"/>
      <c r="G45" s="89">
        <f>G22-F22</f>
        <v>-823</v>
      </c>
      <c r="H45" s="89">
        <f>H22-G22</f>
        <v>-145</v>
      </c>
      <c r="I45" s="89">
        <f>I22-H22</f>
        <v>83</v>
      </c>
      <c r="J45" s="89">
        <f>J22-I22</f>
        <v>-248</v>
      </c>
      <c r="M45" s="61"/>
    </row>
    <row r="46" spans="1:13" x14ac:dyDescent="0.3">
      <c r="B46" s="66" t="s">
        <v>10</v>
      </c>
      <c r="C46" s="66"/>
      <c r="D46" s="66"/>
      <c r="E46" s="66"/>
      <c r="F46" s="90">
        <f>-('Data Sheet'!G26)</f>
        <v>-220.45</v>
      </c>
      <c r="G46" s="90">
        <f>-('Data Sheet'!H26)</f>
        <v>-240.13</v>
      </c>
      <c r="H46" s="90">
        <f>-('Data Sheet'!I26)</f>
        <v>-252.89</v>
      </c>
      <c r="I46" s="90">
        <f>-('Data Sheet'!J26)</f>
        <v>-310.95999999999998</v>
      </c>
      <c r="J46" s="90">
        <f>-('Data Sheet'!K26)</f>
        <v>-399.21</v>
      </c>
    </row>
    <row r="48" spans="1:13" x14ac:dyDescent="0.3">
      <c r="B48" s="65" t="s">
        <v>188</v>
      </c>
      <c r="C48" s="65"/>
      <c r="D48" s="65"/>
      <c r="E48" s="65"/>
      <c r="F48" s="89">
        <f>F38</f>
        <v>1571.8899999999994</v>
      </c>
      <c r="G48" s="89">
        <f t="shared" ref="G48:J48" si="4">G38</f>
        <v>1761.5399999999981</v>
      </c>
      <c r="H48" s="89">
        <f t="shared" si="4"/>
        <v>1999.1200000000006</v>
      </c>
      <c r="I48" s="89">
        <f t="shared" si="4"/>
        <v>1851.5299999999993</v>
      </c>
      <c r="J48" s="89">
        <f t="shared" si="4"/>
        <v>2000.5100000000014</v>
      </c>
    </row>
    <row r="49" spans="1:10" x14ac:dyDescent="0.3">
      <c r="B49" s="65" t="s">
        <v>209</v>
      </c>
      <c r="C49" s="65"/>
      <c r="D49" s="65"/>
      <c r="E49" s="65"/>
      <c r="F49" s="84">
        <v>0.25</v>
      </c>
      <c r="G49" s="84">
        <v>0.25</v>
      </c>
      <c r="H49" s="84">
        <v>0.25</v>
      </c>
      <c r="I49" s="84">
        <v>0.25</v>
      </c>
      <c r="J49" s="84">
        <v>0.25</v>
      </c>
    </row>
    <row r="50" spans="1:10" x14ac:dyDescent="0.3">
      <c r="B50" s="66" t="s">
        <v>210</v>
      </c>
      <c r="C50" s="66"/>
      <c r="D50" s="66"/>
      <c r="E50" s="66"/>
      <c r="F50" s="95">
        <f t="shared" ref="F50" si="5">F48*(1-F49)</f>
        <v>1178.9174999999996</v>
      </c>
      <c r="G50" s="95">
        <f>G48*(1-G49)</f>
        <v>1321.1549999999986</v>
      </c>
      <c r="H50" s="95">
        <f t="shared" ref="H50:J50" si="6">H48*(1-H49)</f>
        <v>1499.3400000000004</v>
      </c>
      <c r="I50" s="95">
        <f t="shared" si="6"/>
        <v>1388.6474999999996</v>
      </c>
      <c r="J50" s="95">
        <f t="shared" si="6"/>
        <v>1500.3825000000011</v>
      </c>
    </row>
    <row r="52" spans="1:10" x14ac:dyDescent="0.3">
      <c r="B52" s="66" t="s">
        <v>211</v>
      </c>
      <c r="C52" s="66"/>
      <c r="D52" s="66"/>
      <c r="E52" s="66"/>
      <c r="F52" s="66"/>
      <c r="G52" s="89">
        <f>SUM(G44:G46)</f>
        <v>-747.13</v>
      </c>
      <c r="H52" s="89">
        <f t="shared" ref="H52:J52" si="7">SUM(H44:H46)</f>
        <v>-18.889999999999986</v>
      </c>
      <c r="I52" s="89">
        <f t="shared" si="7"/>
        <v>304.04000000000002</v>
      </c>
      <c r="J52" s="89">
        <f t="shared" si="7"/>
        <v>-80.20999999999998</v>
      </c>
    </row>
    <row r="53" spans="1:10" ht="15" thickBot="1" x14ac:dyDescent="0.35">
      <c r="B53" s="69" t="s">
        <v>213</v>
      </c>
      <c r="C53" s="69" t="s">
        <v>212</v>
      </c>
      <c r="D53" s="69"/>
      <c r="E53" s="69"/>
      <c r="F53" s="69"/>
      <c r="G53" s="73">
        <f>G52/G50</f>
        <v>-0.56551275209948926</v>
      </c>
      <c r="H53" s="73">
        <f t="shared" ref="H53" si="8">H52/H50</f>
        <v>-1.2598876839142544E-2</v>
      </c>
      <c r="I53" s="73">
        <f>I52/I50</f>
        <v>0.21894685296304506</v>
      </c>
      <c r="J53" s="73">
        <f>J52/J50</f>
        <v>-5.3459701109550346E-2</v>
      </c>
    </row>
    <row r="55" spans="1:10" x14ac:dyDescent="0.3">
      <c r="I55" s="284" t="s">
        <v>215</v>
      </c>
      <c r="J55" s="287">
        <f>AVERAGE(G53:J53)</f>
        <v>-0.10315611927128426</v>
      </c>
    </row>
    <row r="56" spans="1:10" x14ac:dyDescent="0.3">
      <c r="I56" s="284" t="s">
        <v>216</v>
      </c>
      <c r="J56" s="287">
        <f>MEDIAN(G53:J53)</f>
        <v>-3.3029288974346441E-2</v>
      </c>
    </row>
    <row r="58" spans="1:10" x14ac:dyDescent="0.3">
      <c r="A58" s="2"/>
      <c r="B58" s="236" t="s">
        <v>217</v>
      </c>
      <c r="C58" s="240"/>
      <c r="D58" s="240"/>
      <c r="E58" s="240"/>
      <c r="F58" s="240">
        <f>F42</f>
        <v>43921</v>
      </c>
      <c r="G58" s="240">
        <f t="shared" ref="G58:J58" si="9">G42</f>
        <v>44286</v>
      </c>
      <c r="H58" s="240">
        <f t="shared" si="9"/>
        <v>44651</v>
      </c>
      <c r="I58" s="240">
        <f t="shared" si="9"/>
        <v>45016</v>
      </c>
      <c r="J58" s="240">
        <f t="shared" si="9"/>
        <v>45382</v>
      </c>
    </row>
    <row r="59" spans="1:10" ht="3.6" customHeight="1" x14ac:dyDescent="0.3"/>
    <row r="60" spans="1:10" x14ac:dyDescent="0.3">
      <c r="B60" s="168" t="s">
        <v>218</v>
      </c>
      <c r="C60" s="168"/>
      <c r="D60" s="168"/>
      <c r="E60" s="168"/>
      <c r="F60" s="168"/>
      <c r="G60" s="194">
        <f>G53</f>
        <v>-0.56551275209948926</v>
      </c>
      <c r="H60" s="194">
        <f t="shared" ref="H60:J60" si="10">H53</f>
        <v>-1.2598876839142544E-2</v>
      </c>
      <c r="I60" s="194">
        <f t="shared" si="10"/>
        <v>0.21894685296304506</v>
      </c>
      <c r="J60" s="194">
        <f t="shared" si="10"/>
        <v>-5.3459701109550346E-2</v>
      </c>
    </row>
    <row r="61" spans="1:10" x14ac:dyDescent="0.3">
      <c r="B61" s="65" t="s">
        <v>189</v>
      </c>
      <c r="C61" s="65"/>
      <c r="D61" s="65"/>
      <c r="E61" s="65"/>
      <c r="F61" s="65"/>
      <c r="G61" s="84">
        <f>G40</f>
        <v>0.68409320388349437</v>
      </c>
      <c r="H61" s="84">
        <f t="shared" ref="H61:I61" si="11">H40</f>
        <v>0.80189330124348202</v>
      </c>
      <c r="I61" s="84">
        <f t="shared" si="11"/>
        <v>0.48116683991683973</v>
      </c>
      <c r="J61" s="84">
        <f>J40</f>
        <v>0.52164537157757529</v>
      </c>
    </row>
    <row r="63" spans="1:10" ht="15" thickBot="1" x14ac:dyDescent="0.35">
      <c r="B63" s="71" t="s">
        <v>219</v>
      </c>
      <c r="C63" s="71"/>
      <c r="D63" s="71"/>
      <c r="E63" s="71"/>
      <c r="F63" s="71"/>
      <c r="G63" s="74">
        <f>G60*G61</f>
        <v>-0.38686343042071192</v>
      </c>
      <c r="H63" s="74">
        <f>H60*H61</f>
        <v>-1.0102954940500061E-2</v>
      </c>
      <c r="I63" s="74">
        <f>I60*I61</f>
        <v>0.10534996534996535</v>
      </c>
      <c r="J63" s="74">
        <f>J60*J61</f>
        <v>-2.7887005649717505E-2</v>
      </c>
    </row>
    <row r="65" spans="2:10" x14ac:dyDescent="0.3">
      <c r="I65" s="284" t="s">
        <v>215</v>
      </c>
      <c r="J65" s="288">
        <f>AVERAGE(G63:J63)</f>
        <v>-7.9875856415241045E-2</v>
      </c>
    </row>
    <row r="66" spans="2:10" x14ac:dyDescent="0.3">
      <c r="I66" s="284" t="s">
        <v>216</v>
      </c>
      <c r="J66" s="288">
        <f>MEDIAN(G63:J63)</f>
        <v>-1.8994980295108783E-2</v>
      </c>
    </row>
    <row r="68" spans="2:10" x14ac:dyDescent="0.3">
      <c r="B68" s="225"/>
      <c r="C68" s="225"/>
      <c r="D68" s="225"/>
      <c r="E68" s="225"/>
      <c r="F68" s="225"/>
      <c r="G68" s="225"/>
      <c r="H68" s="225"/>
      <c r="I68" s="225"/>
      <c r="J68" s="225"/>
    </row>
  </sheetData>
  <mergeCells count="1">
    <mergeCell ref="B6:J6"/>
  </mergeCells>
  <printOptions horizontalCentered="1"/>
  <pageMargins left="0" right="0" top="0.39370078740157483" bottom="0.39370078740157483" header="0.31496062992125984" footer="0.31496062992125984"/>
  <pageSetup scale="76" fitToWidth="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9DAE-EF77-4DB0-80F7-5F1E01AE64E3}">
  <dimension ref="B2:K44"/>
  <sheetViews>
    <sheetView showGridLines="0" workbookViewId="0">
      <selection activeCell="P14" sqref="P14"/>
    </sheetView>
  </sheetViews>
  <sheetFormatPr defaultRowHeight="14.4" x14ac:dyDescent="0.3"/>
  <cols>
    <col min="1" max="1" width="1.88671875" customWidth="1"/>
    <col min="2" max="2" width="22.109375" bestFit="1" customWidth="1"/>
    <col min="3" max="3" width="9.5546875" customWidth="1"/>
    <col min="4" max="4" width="12.6640625" bestFit="1" customWidth="1"/>
    <col min="6" max="6" width="9.21875" customWidth="1"/>
    <col min="7" max="7" width="8.88671875" customWidth="1"/>
  </cols>
  <sheetData>
    <row r="2" spans="2:11" ht="29.4" customHeight="1" x14ac:dyDescent="0.3">
      <c r="B2" s="229" t="s">
        <v>63</v>
      </c>
      <c r="C2" s="229"/>
      <c r="D2" s="229"/>
      <c r="E2" s="225"/>
      <c r="F2" s="225"/>
      <c r="G2" s="225"/>
      <c r="H2" s="225"/>
      <c r="I2" s="225"/>
      <c r="J2" s="225"/>
      <c r="K2" s="225"/>
    </row>
    <row r="3" spans="2:11" ht="4.8" customHeight="1" x14ac:dyDescent="0.3">
      <c r="B3" s="229"/>
      <c r="C3" s="229"/>
      <c r="D3" s="229"/>
      <c r="E3" s="225"/>
      <c r="F3" s="225"/>
      <c r="G3" s="225"/>
      <c r="H3" s="225"/>
      <c r="I3" s="225"/>
      <c r="J3" s="225"/>
      <c r="K3" s="225"/>
    </row>
    <row r="4" spans="2:11" ht="15.6" x14ac:dyDescent="0.3">
      <c r="B4" s="230" t="s">
        <v>1593</v>
      </c>
      <c r="C4" s="230"/>
      <c r="D4" s="230"/>
      <c r="E4" s="225"/>
      <c r="F4" s="225"/>
      <c r="G4" s="225"/>
      <c r="H4" s="225"/>
      <c r="I4" s="225"/>
      <c r="J4" s="225"/>
      <c r="K4" s="225"/>
    </row>
    <row r="6" spans="2:11" x14ac:dyDescent="0.3">
      <c r="B6" s="236" t="s">
        <v>220</v>
      </c>
      <c r="C6" s="236"/>
      <c r="D6" s="240"/>
      <c r="E6" s="240"/>
      <c r="F6" s="241">
        <f>'Intrinsic Growth'!J7</f>
        <v>45382</v>
      </c>
      <c r="G6" s="242">
        <f>F6+365</f>
        <v>45747</v>
      </c>
      <c r="H6" s="242">
        <f t="shared" ref="H6:K6" si="0">G6+365</f>
        <v>46112</v>
      </c>
      <c r="I6" s="242">
        <f t="shared" si="0"/>
        <v>46477</v>
      </c>
      <c r="J6" s="242">
        <f t="shared" si="0"/>
        <v>46842</v>
      </c>
      <c r="K6" s="242">
        <f t="shared" si="0"/>
        <v>47207</v>
      </c>
    </row>
    <row r="7" spans="2:11" ht="3.6" customHeight="1" x14ac:dyDescent="0.3"/>
    <row r="8" spans="2:11" x14ac:dyDescent="0.3">
      <c r="B8" t="s">
        <v>188</v>
      </c>
      <c r="F8" s="76">
        <f>SUM('Data Sheet'!K29:K30,'Data Sheet'!K27)</f>
        <v>2514.29</v>
      </c>
      <c r="G8">
        <f>F8*(1+$E$17)</f>
        <v>2652.0730920000001</v>
      </c>
      <c r="H8">
        <f t="shared" ref="H8:K8" si="1">G8*(1+$E$17)</f>
        <v>2797.4066974416</v>
      </c>
      <c r="I8">
        <f t="shared" si="1"/>
        <v>2950.7045844613995</v>
      </c>
      <c r="J8">
        <f t="shared" si="1"/>
        <v>3112.4031956898839</v>
      </c>
      <c r="K8">
        <f t="shared" si="1"/>
        <v>3282.9628908136892</v>
      </c>
    </row>
    <row r="9" spans="2:11" x14ac:dyDescent="0.3">
      <c r="B9" s="65" t="s">
        <v>221</v>
      </c>
      <c r="C9" s="65"/>
      <c r="D9" s="65"/>
      <c r="E9" s="65"/>
      <c r="F9" s="195">
        <v>0.25</v>
      </c>
      <c r="G9" s="165">
        <f>F9</f>
        <v>0.25</v>
      </c>
      <c r="H9" s="165">
        <f t="shared" ref="H9:K9" si="2">G9</f>
        <v>0.25</v>
      </c>
      <c r="I9" s="165">
        <f t="shared" si="2"/>
        <v>0.25</v>
      </c>
      <c r="J9" s="165">
        <f t="shared" si="2"/>
        <v>0.25</v>
      </c>
      <c r="K9" s="165">
        <f t="shared" si="2"/>
        <v>0.25</v>
      </c>
    </row>
    <row r="10" spans="2:11" x14ac:dyDescent="0.3">
      <c r="B10" s="65" t="s">
        <v>222</v>
      </c>
      <c r="C10" s="65"/>
      <c r="D10" s="65"/>
      <c r="E10" s="65"/>
      <c r="F10" s="196">
        <f>F8*(1-F9)</f>
        <v>1885.7175</v>
      </c>
      <c r="G10" s="65">
        <f t="shared" ref="G10:K10" si="3">F10*(1+$E$17)</f>
        <v>1989.054819</v>
      </c>
      <c r="H10" s="65">
        <f t="shared" si="3"/>
        <v>2098.0550230812</v>
      </c>
      <c r="I10" s="65">
        <f t="shared" si="3"/>
        <v>2213.0284383460498</v>
      </c>
      <c r="J10" s="65">
        <f t="shared" si="3"/>
        <v>2334.3023967674135</v>
      </c>
      <c r="K10" s="65">
        <f t="shared" si="3"/>
        <v>2462.2221681102678</v>
      </c>
    </row>
    <row r="11" spans="2:11" x14ac:dyDescent="0.3">
      <c r="B11" s="65" t="s">
        <v>223</v>
      </c>
      <c r="C11" s="65"/>
      <c r="D11" s="65"/>
      <c r="E11" s="65"/>
      <c r="F11" s="197">
        <f>'Intrinsic Growth'!J56</f>
        <v>-3.3029288974346441E-2</v>
      </c>
      <c r="G11" s="165">
        <f>F11-(($F$11-$K$11)/4)</f>
        <v>7.9453033269240164E-2</v>
      </c>
      <c r="H11" s="165">
        <f t="shared" ref="H11:J11" si="4">G11-(($F$11-$K$11)/4)</f>
        <v>0.19193535551282676</v>
      </c>
      <c r="I11" s="165">
        <f t="shared" si="4"/>
        <v>0.30441767775641337</v>
      </c>
      <c r="J11" s="165">
        <f t="shared" si="4"/>
        <v>0.41689999999999999</v>
      </c>
      <c r="K11" s="198">
        <v>0.41689999999999999</v>
      </c>
    </row>
    <row r="12" spans="2:11" x14ac:dyDescent="0.3">
      <c r="B12" s="65" t="s">
        <v>224</v>
      </c>
      <c r="C12" s="65"/>
      <c r="D12" s="65"/>
      <c r="E12" s="65"/>
      <c r="F12" s="196">
        <f>F10*(1-F11)</f>
        <v>1948.0014082314822</v>
      </c>
      <c r="G12" s="65">
        <f t="shared" ref="G12:K12" si="5">G10*(1-G11)</f>
        <v>1831.0183802916506</v>
      </c>
      <c r="H12" s="65">
        <f t="shared" si="5"/>
        <v>1695.3640863406381</v>
      </c>
      <c r="I12" s="65">
        <f t="shared" si="5"/>
        <v>1539.3434603358432</v>
      </c>
      <c r="J12" s="65">
        <f t="shared" si="5"/>
        <v>1361.1317275550787</v>
      </c>
      <c r="K12" s="65">
        <f t="shared" si="5"/>
        <v>1435.7217462250971</v>
      </c>
    </row>
    <row r="13" spans="2:11" x14ac:dyDescent="0.3">
      <c r="B13" s="65" t="s">
        <v>225</v>
      </c>
      <c r="C13" s="65"/>
      <c r="D13" s="65"/>
      <c r="E13" s="65"/>
      <c r="F13" s="196"/>
      <c r="G13" s="199">
        <v>0.5</v>
      </c>
      <c r="H13" s="65">
        <f>G13+1</f>
        <v>1.5</v>
      </c>
      <c r="I13" s="65">
        <f t="shared" ref="I13:K13" si="6">H13+1</f>
        <v>2.5</v>
      </c>
      <c r="J13" s="65">
        <f t="shared" si="6"/>
        <v>3.5</v>
      </c>
      <c r="K13" s="65">
        <f t="shared" si="6"/>
        <v>4.5</v>
      </c>
    </row>
    <row r="14" spans="2:11" x14ac:dyDescent="0.3">
      <c r="B14" t="s">
        <v>230</v>
      </c>
      <c r="F14" s="76"/>
      <c r="G14" s="75">
        <f>1/(1+$E$19)^G13</f>
        <v>0.94817837904263491</v>
      </c>
      <c r="H14" s="75">
        <f t="shared" ref="H14:K14" si="7">1/(1+$E$19)^H13</f>
        <v>0.85245241237654401</v>
      </c>
      <c r="I14" s="75">
        <f t="shared" si="7"/>
        <v>0.76639072502402472</v>
      </c>
      <c r="J14" s="75">
        <f t="shared" si="7"/>
        <v>0.6890176329789125</v>
      </c>
      <c r="K14" s="75">
        <f t="shared" si="7"/>
        <v>0.61945595510825269</v>
      </c>
    </row>
    <row r="15" spans="2:11" ht="15" thickBot="1" x14ac:dyDescent="0.35">
      <c r="B15" s="144" t="s">
        <v>226</v>
      </c>
      <c r="C15" s="144"/>
      <c r="D15" s="144"/>
      <c r="E15" s="144"/>
      <c r="F15" s="145"/>
      <c r="G15" s="144">
        <f>G12*G14</f>
        <v>1736.1320398222081</v>
      </c>
      <c r="H15" s="144">
        <f t="shared" ref="H15:K15" si="8">H12*H14</f>
        <v>1445.2172052576325</v>
      </c>
      <c r="I15" s="144">
        <f t="shared" si="8"/>
        <v>1179.7385506277778</v>
      </c>
      <c r="J15" s="144">
        <f t="shared" si="8"/>
        <v>937.84376109249831</v>
      </c>
      <c r="K15" s="144">
        <f t="shared" si="8"/>
        <v>889.36638557755589</v>
      </c>
    </row>
    <row r="17" spans="2:11" x14ac:dyDescent="0.3">
      <c r="B17" s="76" t="s">
        <v>227</v>
      </c>
      <c r="C17" s="76"/>
      <c r="D17" s="76"/>
      <c r="E17" s="77">
        <v>5.4800000000000001E-2</v>
      </c>
    </row>
    <row r="18" spans="2:11" x14ac:dyDescent="0.3">
      <c r="B18" s="76" t="s">
        <v>228</v>
      </c>
      <c r="C18" s="76"/>
      <c r="D18" s="76"/>
      <c r="E18" s="77">
        <v>7.1999999999999995E-2</v>
      </c>
    </row>
    <row r="19" spans="2:11" x14ac:dyDescent="0.3">
      <c r="B19" s="76" t="s">
        <v>229</v>
      </c>
      <c r="C19" s="76"/>
      <c r="D19" s="76"/>
      <c r="E19" s="78">
        <f>WACC!L43</f>
        <v>0.11229479238520458</v>
      </c>
    </row>
    <row r="22" spans="2:11" x14ac:dyDescent="0.3">
      <c r="B22" s="243" t="s">
        <v>235</v>
      </c>
      <c r="C22" s="243"/>
      <c r="D22" s="225"/>
      <c r="F22" s="314" t="s">
        <v>1591</v>
      </c>
      <c r="G22" s="314"/>
      <c r="H22" s="314"/>
      <c r="I22" s="314"/>
      <c r="J22" s="314"/>
      <c r="K22" s="314"/>
    </row>
    <row r="23" spans="2:11" x14ac:dyDescent="0.3">
      <c r="B23" s="140"/>
      <c r="C23" s="140"/>
      <c r="F23" s="141">
        <f>D28</f>
        <v>37583.002871465062</v>
      </c>
      <c r="G23" s="213">
        <v>9.1999999999999998E-2</v>
      </c>
      <c r="H23" s="213">
        <v>0.1</v>
      </c>
      <c r="I23" s="213">
        <f>D25</f>
        <v>0.11229479238520458</v>
      </c>
      <c r="J23" s="213">
        <v>0.12</v>
      </c>
      <c r="K23" s="213">
        <v>0.13</v>
      </c>
    </row>
    <row r="24" spans="2:11" x14ac:dyDescent="0.3">
      <c r="B24" t="s">
        <v>231</v>
      </c>
      <c r="D24">
        <f>K12*(1+E17)</f>
        <v>1514.3992979182324</v>
      </c>
      <c r="F24" s="212">
        <v>0.05</v>
      </c>
      <c r="G24" s="65">
        <f t="dataTable" ref="G24:K28" dt2D="1" dtr="1" r1="D25" r2="D26" ca="1"/>
        <v>36057.126140910295</v>
      </c>
      <c r="H24" s="65">
        <v>30287.985958364647</v>
      </c>
      <c r="I24" s="65">
        <v>30287.985958364647</v>
      </c>
      <c r="J24" s="65">
        <v>21634.275684546181</v>
      </c>
      <c r="K24" s="65">
        <v>18929.991223977904</v>
      </c>
    </row>
    <row r="25" spans="2:11" x14ac:dyDescent="0.3">
      <c r="B25" s="65" t="s">
        <v>229</v>
      </c>
      <c r="C25" s="65"/>
      <c r="D25" s="165">
        <f>E19</f>
        <v>0.11229479238520458</v>
      </c>
      <c r="F25" s="212">
        <v>0.06</v>
      </c>
      <c r="G25" s="65">
        <v>47324.978059944762</v>
      </c>
      <c r="H25" s="65">
        <v>37859.982447955801</v>
      </c>
      <c r="I25" s="65">
        <v>37859.982447955801</v>
      </c>
      <c r="J25" s="65">
        <v>25239.988298637207</v>
      </c>
      <c r="K25" s="65">
        <v>21634.275684546174</v>
      </c>
    </row>
    <row r="26" spans="2:11" x14ac:dyDescent="0.3">
      <c r="B26" s="65" t="s">
        <v>232</v>
      </c>
      <c r="C26" s="65"/>
      <c r="D26" s="165">
        <f>E18</f>
        <v>7.1999999999999995E-2</v>
      </c>
      <c r="F26" s="212">
        <f>D26</f>
        <v>7.1999999999999995E-2</v>
      </c>
      <c r="G26" s="65">
        <v>47324.978059944762</v>
      </c>
      <c r="H26" s="65">
        <v>37859.982447955801</v>
      </c>
      <c r="I26" s="65">
        <v>37859.982447955801</v>
      </c>
      <c r="J26" s="65">
        <v>25239.988298637207</v>
      </c>
      <c r="K26" s="65">
        <v>21634.275684546174</v>
      </c>
    </row>
    <row r="27" spans="2:11" x14ac:dyDescent="0.3">
      <c r="F27" s="212">
        <v>0.08</v>
      </c>
      <c r="G27" s="65">
        <v>126199.94149318607</v>
      </c>
      <c r="H27" s="65">
        <v>75719.964895911602</v>
      </c>
      <c r="I27" s="65">
        <v>75719.964895911602</v>
      </c>
      <c r="J27" s="65">
        <v>37859.982447955816</v>
      </c>
      <c r="K27" s="65">
        <v>30287.985958364647</v>
      </c>
    </row>
    <row r="28" spans="2:11" ht="15" thickBot="1" x14ac:dyDescent="0.35">
      <c r="B28" s="144" t="s">
        <v>233</v>
      </c>
      <c r="C28" s="144"/>
      <c r="D28" s="148">
        <f>D24/(D25-D26)</f>
        <v>37583.002871465062</v>
      </c>
      <c r="F28" s="212">
        <v>9.0999999999999998E-2</v>
      </c>
      <c r="G28" s="65">
        <v>1514399.297918231</v>
      </c>
      <c r="H28" s="65">
        <v>168266.58865758122</v>
      </c>
      <c r="I28" s="65">
        <v>168266.58865758122</v>
      </c>
      <c r="J28" s="65">
        <v>52220.665445456296</v>
      </c>
      <c r="K28" s="65">
        <v>38830.75122867262</v>
      </c>
    </row>
    <row r="30" spans="2:11" x14ac:dyDescent="0.3">
      <c r="B30" s="243" t="s">
        <v>234</v>
      </c>
      <c r="C30" s="243"/>
      <c r="D30" s="225"/>
      <c r="F30" s="314" t="s">
        <v>1592</v>
      </c>
      <c r="G30" s="314"/>
      <c r="H30" s="314"/>
      <c r="I30" s="314"/>
      <c r="J30" s="314"/>
      <c r="K30" s="314"/>
    </row>
    <row r="31" spans="2:11" x14ac:dyDescent="0.3">
      <c r="B31" t="s">
        <v>226</v>
      </c>
      <c r="D31" s="72">
        <f>SUM(G15:K15)</f>
        <v>6188.2979423776724</v>
      </c>
      <c r="F31" s="141">
        <f>D39</f>
        <v>163.50224731233621</v>
      </c>
      <c r="G31" s="213">
        <v>9.1999999999999998E-2</v>
      </c>
      <c r="H31" s="213">
        <v>0.1</v>
      </c>
      <c r="I31" s="213">
        <f>D25</f>
        <v>0.11229479238520458</v>
      </c>
      <c r="J31" s="213">
        <v>0.12</v>
      </c>
      <c r="K31" s="213">
        <v>0.13</v>
      </c>
    </row>
    <row r="32" spans="2:11" x14ac:dyDescent="0.3">
      <c r="B32" s="66" t="s">
        <v>236</v>
      </c>
      <c r="C32" s="66"/>
      <c r="D32" s="203">
        <f>D28*K14</f>
        <v>23281.014939579592</v>
      </c>
      <c r="F32" s="212">
        <v>0.05</v>
      </c>
      <c r="G32" s="65">
        <f t="dataTable" ref="G32:K36" dt2D="1" dtr="1" r1="D25" r2="D26"/>
        <v>158.16901989217283</v>
      </c>
      <c r="H32" s="65">
        <v>138.00478513047466</v>
      </c>
      <c r="I32" s="65">
        <v>138.00478513047466</v>
      </c>
      <c r="J32" s="65">
        <v>107.75843298792739</v>
      </c>
      <c r="K32" s="65">
        <v>98.306447943381372</v>
      </c>
    </row>
    <row r="33" spans="2:11" x14ac:dyDescent="0.3">
      <c r="B33" s="67" t="s">
        <v>237</v>
      </c>
      <c r="C33" s="67"/>
      <c r="D33" s="204">
        <f>SUM(D31:D32)</f>
        <v>29469.312881957267</v>
      </c>
      <c r="F33" s="212">
        <v>0.06</v>
      </c>
      <c r="G33" s="65">
        <v>197.55229091111454</v>
      </c>
      <c r="H33" s="65">
        <v>164.47034325520346</v>
      </c>
      <c r="I33" s="65">
        <v>164.47034325520346</v>
      </c>
      <c r="J33" s="65">
        <v>120.36107971398876</v>
      </c>
      <c r="K33" s="65">
        <v>107.75843298792739</v>
      </c>
    </row>
    <row r="34" spans="2:11" x14ac:dyDescent="0.3">
      <c r="F34" s="212">
        <f>D26</f>
        <v>7.1999999999999995E-2</v>
      </c>
      <c r="G34" s="65">
        <v>197.55229091111454</v>
      </c>
      <c r="H34" s="65">
        <v>164.47034325520346</v>
      </c>
      <c r="I34" s="65">
        <v>164.47034325520346</v>
      </c>
      <c r="J34" s="65">
        <v>120.36107971398876</v>
      </c>
      <c r="K34" s="65">
        <v>107.75843298792739</v>
      </c>
    </row>
    <row r="35" spans="2:11" x14ac:dyDescent="0.3">
      <c r="B35" t="s">
        <v>238</v>
      </c>
      <c r="D35">
        <f>'Data Sheet'!K69</f>
        <v>666.36</v>
      </c>
      <c r="F35" s="212">
        <v>0.08</v>
      </c>
      <c r="G35" s="65">
        <v>473.23518804370684</v>
      </c>
      <c r="H35" s="65">
        <v>296.79813387884769</v>
      </c>
      <c r="I35" s="65">
        <v>296.79813387884769</v>
      </c>
      <c r="J35" s="65">
        <v>164.47034325520352</v>
      </c>
      <c r="K35" s="65">
        <v>138.00478513047466</v>
      </c>
    </row>
    <row r="36" spans="2:11" x14ac:dyDescent="0.3">
      <c r="B36" s="99" t="s">
        <v>239</v>
      </c>
      <c r="C36" s="99"/>
      <c r="D36" s="200">
        <f>SUM('Raw FS'!L6:L7)</f>
        <v>1158</v>
      </c>
      <c r="F36" s="212">
        <v>8.5000000000000006E-2</v>
      </c>
      <c r="G36" s="65">
        <v>788.30135619524162</v>
      </c>
      <c r="H36" s="65">
        <v>385.01666096127724</v>
      </c>
      <c r="I36" s="65">
        <v>385.01666096127724</v>
      </c>
      <c r="J36" s="65">
        <v>183.37431334429559</v>
      </c>
      <c r="K36" s="65">
        <v>149.76725540813192</v>
      </c>
    </row>
    <row r="37" spans="2:11" x14ac:dyDescent="0.3">
      <c r="B37" s="99" t="s">
        <v>240</v>
      </c>
      <c r="C37" s="99"/>
      <c r="D37" s="200">
        <f>D33+D35-D36</f>
        <v>28977.672881957267</v>
      </c>
    </row>
    <row r="38" spans="2:11" x14ac:dyDescent="0.3">
      <c r="B38" s="201" t="s">
        <v>241</v>
      </c>
      <c r="C38" s="201"/>
      <c r="D38" s="202">
        <f>'Data Sheet'!B6</f>
        <v>177.23103723829311</v>
      </c>
    </row>
    <row r="39" spans="2:11" ht="15" thickBot="1" x14ac:dyDescent="0.35">
      <c r="B39" s="146" t="s">
        <v>242</v>
      </c>
      <c r="C39" s="146"/>
      <c r="D39" s="147">
        <f>D37/D38</f>
        <v>163.50224731233621</v>
      </c>
    </row>
    <row r="41" spans="2:11" x14ac:dyDescent="0.3">
      <c r="B41" s="205" t="s">
        <v>243</v>
      </c>
      <c r="C41" s="206"/>
      <c r="D41" s="207">
        <f>'Data Sheet'!B8</f>
        <v>625.70000000000005</v>
      </c>
    </row>
    <row r="42" spans="2:11" x14ac:dyDescent="0.3">
      <c r="B42" s="205" t="s">
        <v>244</v>
      </c>
      <c r="C42" s="206"/>
      <c r="D42" s="208">
        <f>D41/D39</f>
        <v>3.8268587146984805</v>
      </c>
    </row>
    <row r="44" spans="2:11" x14ac:dyDescent="0.3">
      <c r="B44" s="225"/>
      <c r="C44" s="225"/>
      <c r="D44" s="225"/>
      <c r="E44" s="225"/>
      <c r="F44" s="225"/>
      <c r="G44" s="225"/>
      <c r="H44" s="225"/>
      <c r="I44" s="225"/>
      <c r="J44" s="225"/>
      <c r="K44" s="225"/>
    </row>
  </sheetData>
  <mergeCells count="2">
    <mergeCell ref="F22:K22"/>
    <mergeCell ref="F30:K30"/>
  </mergeCells>
  <printOptions horizontalCentered="1" verticalCentered="1"/>
  <pageMargins left="0.23622047244094491" right="0.23622047244094491" top="0.15748031496062992" bottom="0.15748031496062992" header="0.31496062992125984" footer="0.31496062992125984"/>
  <pageSetup scale="88" fitToWidth="0" orientation="landscape" r:id="rId1"/>
  <ignoredErrors>
    <ignoredError sqref="F11 G9:K9" formula="1"/>
    <ignoredError sqref="D36" formulaRange="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B1D09-551D-4261-B878-F7B4B4448C3F}">
  <sheetPr>
    <pageSetUpPr fitToPage="1"/>
  </sheetPr>
  <dimension ref="B2:Q38"/>
  <sheetViews>
    <sheetView showGridLines="0" zoomScale="84" workbookViewId="0">
      <selection activeCell="T37" sqref="T37"/>
    </sheetView>
  </sheetViews>
  <sheetFormatPr defaultRowHeight="14.4" x14ac:dyDescent="0.3"/>
  <cols>
    <col min="1" max="1" width="1.88671875" customWidth="1"/>
    <col min="2" max="2" width="16.21875" customWidth="1"/>
    <col min="4" max="4" width="11" customWidth="1"/>
    <col min="5" max="5" width="12" customWidth="1"/>
    <col min="6" max="6" width="14" customWidth="1"/>
    <col min="7" max="7" width="10.33203125" customWidth="1"/>
    <col min="8" max="8" width="14.77734375" bestFit="1" customWidth="1"/>
    <col min="9" max="9" width="1.88671875" customWidth="1"/>
    <col min="12" max="12" width="10.77734375" bestFit="1" customWidth="1"/>
    <col min="13" max="13" width="1.88671875" customWidth="1"/>
    <col min="14" max="16" width="12" bestFit="1" customWidth="1"/>
  </cols>
  <sheetData>
    <row r="2" spans="2:17" ht="31.2" x14ac:dyDescent="0.3">
      <c r="B2" s="229" t="s">
        <v>63</v>
      </c>
      <c r="C2" s="225"/>
      <c r="D2" s="225"/>
      <c r="E2" s="225"/>
      <c r="F2" s="225"/>
      <c r="G2" s="225"/>
      <c r="H2" s="225"/>
      <c r="I2" s="225"/>
      <c r="J2" s="225"/>
      <c r="K2" s="225"/>
      <c r="L2" s="225"/>
      <c r="M2" s="225"/>
      <c r="N2" s="225"/>
      <c r="O2" s="225"/>
      <c r="P2" s="225"/>
    </row>
    <row r="3" spans="2:17" ht="3.6" customHeight="1" x14ac:dyDescent="0.3">
      <c r="B3" s="225"/>
      <c r="C3" s="225"/>
      <c r="D3" s="225"/>
      <c r="E3" s="225"/>
      <c r="F3" s="225"/>
      <c r="G3" s="225"/>
      <c r="H3" s="225"/>
      <c r="I3" s="225"/>
      <c r="J3" s="225"/>
      <c r="K3" s="225"/>
      <c r="L3" s="225"/>
      <c r="M3" s="225"/>
      <c r="N3" s="225"/>
      <c r="O3" s="225"/>
      <c r="P3" s="225"/>
    </row>
    <row r="4" spans="2:17" ht="15.6" x14ac:dyDescent="0.3">
      <c r="B4" s="230" t="s">
        <v>1593</v>
      </c>
      <c r="C4" s="225"/>
      <c r="D4" s="225"/>
      <c r="E4" s="225"/>
      <c r="F4" s="225"/>
      <c r="G4" s="225"/>
      <c r="H4" s="225"/>
      <c r="I4" s="225"/>
      <c r="J4" s="225"/>
      <c r="K4" s="225"/>
      <c r="L4" s="225"/>
      <c r="M4" s="225"/>
      <c r="N4" s="225"/>
      <c r="O4" s="225"/>
      <c r="P4" s="225"/>
    </row>
    <row r="5" spans="2:17" ht="31.8" customHeight="1" x14ac:dyDescent="0.3">
      <c r="B5" s="102" t="s">
        <v>313</v>
      </c>
    </row>
    <row r="6" spans="2:17" x14ac:dyDescent="0.3">
      <c r="B6" s="98" t="s">
        <v>266</v>
      </c>
      <c r="C6" s="97"/>
      <c r="D6" s="97"/>
      <c r="E6" s="97"/>
      <c r="F6" s="97"/>
      <c r="G6" s="97"/>
      <c r="H6" s="97"/>
      <c r="I6" s="97"/>
      <c r="J6" s="97"/>
      <c r="K6" s="97"/>
      <c r="L6" s="97"/>
      <c r="M6" s="97"/>
      <c r="N6" s="97"/>
      <c r="O6" s="97"/>
      <c r="P6" s="97"/>
    </row>
    <row r="7" spans="2:17" x14ac:dyDescent="0.3">
      <c r="B7" s="225"/>
      <c r="C7" s="225"/>
      <c r="D7" s="315" t="s">
        <v>276</v>
      </c>
      <c r="E7" s="316"/>
      <c r="F7" s="316"/>
      <c r="G7" s="316"/>
      <c r="H7" s="316"/>
      <c r="I7" s="225"/>
      <c r="J7" s="315" t="s">
        <v>277</v>
      </c>
      <c r="K7" s="316"/>
      <c r="L7" s="316"/>
      <c r="M7" s="225"/>
      <c r="N7" s="315" t="s">
        <v>278</v>
      </c>
      <c r="O7" s="316"/>
      <c r="P7" s="316"/>
      <c r="Q7" s="72"/>
    </row>
    <row r="8" spans="2:17" ht="31.8" customHeight="1" x14ac:dyDescent="0.3">
      <c r="B8" s="236" t="s">
        <v>267</v>
      </c>
      <c r="C8" s="236" t="s">
        <v>268</v>
      </c>
      <c r="D8" s="237" t="s">
        <v>274</v>
      </c>
      <c r="E8" s="237" t="s">
        <v>273</v>
      </c>
      <c r="F8" s="237" t="s">
        <v>275</v>
      </c>
      <c r="G8" s="238" t="s">
        <v>269</v>
      </c>
      <c r="H8" s="238" t="s">
        <v>270</v>
      </c>
      <c r="I8" s="238"/>
      <c r="J8" s="238" t="s">
        <v>271</v>
      </c>
      <c r="K8" s="238" t="s">
        <v>104</v>
      </c>
      <c r="L8" s="238" t="s">
        <v>272</v>
      </c>
      <c r="M8" s="239"/>
      <c r="N8" s="238" t="s">
        <v>300</v>
      </c>
      <c r="O8" s="238" t="s">
        <v>301</v>
      </c>
      <c r="P8" s="238" t="s">
        <v>302</v>
      </c>
      <c r="Q8" s="72"/>
    </row>
    <row r="9" spans="2:17" ht="4.2" customHeight="1" x14ac:dyDescent="0.3"/>
    <row r="10" spans="2:17" x14ac:dyDescent="0.3">
      <c r="B10" s="294" t="str">
        <f>'Raw FS'!C78</f>
        <v>Dabur India</v>
      </c>
      <c r="C10" s="294"/>
      <c r="D10" s="295">
        <f>'Raw FS'!D78</f>
        <v>633</v>
      </c>
      <c r="E10" s="295">
        <f>'Raw FS'!E78</f>
        <v>177.23</v>
      </c>
      <c r="F10" s="295">
        <f>D10*E10</f>
        <v>112186.59</v>
      </c>
      <c r="G10" s="295">
        <f>'Raw FS'!M78</f>
        <v>698.7299999999999</v>
      </c>
      <c r="H10" s="295">
        <f>'Raw FS'!H78</f>
        <v>112886.04</v>
      </c>
      <c r="I10" s="295"/>
      <c r="J10" s="295">
        <f>'Raw FS'!I78</f>
        <v>12622.65</v>
      </c>
      <c r="K10" s="295">
        <f>'Raw FS'!J78</f>
        <v>3461.7</v>
      </c>
      <c r="L10" s="295">
        <f>'Raw FS'!K78</f>
        <v>1849.05</v>
      </c>
      <c r="M10" s="295"/>
      <c r="N10" s="296">
        <f>H10/J10</f>
        <v>8.9431331772646789</v>
      </c>
      <c r="O10" s="296">
        <f>H10/K10</f>
        <v>32.610000866626223</v>
      </c>
      <c r="P10" s="296">
        <f>F10/L10</f>
        <v>60.672556177496553</v>
      </c>
    </row>
    <row r="11" spans="2:17" x14ac:dyDescent="0.3">
      <c r="B11" s="99" t="s">
        <v>297</v>
      </c>
      <c r="C11" s="99"/>
      <c r="D11" s="100">
        <f>'Raw FS'!D73</f>
        <v>2966.25</v>
      </c>
      <c r="E11" s="100">
        <f>'Raw FS'!E73</f>
        <v>234.96</v>
      </c>
      <c r="F11" s="100">
        <f t="shared" ref="F11:F19" si="0">D11*E11</f>
        <v>696950.1</v>
      </c>
      <c r="G11" s="100">
        <f>'Raw FS'!M73</f>
        <v>-6075</v>
      </c>
      <c r="H11" s="100">
        <f>'Raw FS'!H73</f>
        <v>690872.51</v>
      </c>
      <c r="I11" s="100"/>
      <c r="J11" s="100">
        <f>'Raw FS'!I73</f>
        <v>62107</v>
      </c>
      <c r="K11" s="100">
        <f>'Raw FS'!J73</f>
        <v>23528</v>
      </c>
      <c r="L11" s="100">
        <f>'Raw FS'!K73</f>
        <v>10338</v>
      </c>
      <c r="M11" s="100"/>
      <c r="N11" s="101">
        <f t="shared" ref="N11:N19" si="1">H11/J11</f>
        <v>11.123907289033442</v>
      </c>
      <c r="O11" s="101">
        <f t="shared" ref="O11:O19" si="2">H11/K11</f>
        <v>29.363843505610337</v>
      </c>
      <c r="P11" s="101">
        <f t="shared" ref="P11:P19" si="3">F11/L11</f>
        <v>67.416337782936736</v>
      </c>
    </row>
    <row r="12" spans="2:17" x14ac:dyDescent="0.3">
      <c r="B12" s="99" t="s">
        <v>279</v>
      </c>
      <c r="C12" s="99"/>
      <c r="D12" s="100">
        <f>'Raw FS'!D74</f>
        <v>2745.7</v>
      </c>
      <c r="E12" s="100">
        <f>'Raw FS'!E74</f>
        <v>96.42</v>
      </c>
      <c r="F12" s="100">
        <f t="shared" si="0"/>
        <v>264740.39399999997</v>
      </c>
      <c r="G12" s="100">
        <f>'Raw FS'!M74</f>
        <v>-434.32000000000005</v>
      </c>
      <c r="H12" s="100">
        <f>'Raw FS'!H74</f>
        <v>264294.31</v>
      </c>
      <c r="I12" s="100"/>
      <c r="J12" s="100">
        <f>'Raw FS'!I74</f>
        <v>19718.78</v>
      </c>
      <c r="K12" s="100">
        <f>'Raw FS'!J74</f>
        <v>6592.39</v>
      </c>
      <c r="L12" s="100">
        <f>'Raw FS'!K74</f>
        <v>3244.46</v>
      </c>
      <c r="M12" s="100"/>
      <c r="N12" s="101">
        <f t="shared" si="1"/>
        <v>13.403177579951702</v>
      </c>
      <c r="O12" s="101">
        <f t="shared" si="2"/>
        <v>40.090818352676344</v>
      </c>
      <c r="P12" s="101">
        <f t="shared" si="3"/>
        <v>81.597675422104132</v>
      </c>
    </row>
    <row r="13" spans="2:17" x14ac:dyDescent="0.3">
      <c r="B13" s="99" t="s">
        <v>280</v>
      </c>
      <c r="C13" s="99"/>
      <c r="D13" s="100">
        <f>'Raw FS'!D75</f>
        <v>608.54999999999995</v>
      </c>
      <c r="E13" s="100">
        <f>'Raw FS'!E75</f>
        <v>324.87</v>
      </c>
      <c r="F13" s="100">
        <f t="shared" si="0"/>
        <v>197699.6385</v>
      </c>
      <c r="G13" s="100">
        <f>'Raw FS'!M75</f>
        <v>6301.06</v>
      </c>
      <c r="H13" s="100">
        <f>'Raw FS'!H75</f>
        <v>204051.43</v>
      </c>
      <c r="I13" s="100"/>
      <c r="J13" s="100">
        <f>'Raw FS'!I75</f>
        <v>18052.38</v>
      </c>
      <c r="K13" s="100">
        <f>'Raw FS'!J75</f>
        <v>3820.07</v>
      </c>
      <c r="L13" s="100">
        <f>'Raw FS'!K75</f>
        <v>2467.63</v>
      </c>
      <c r="M13" s="100"/>
      <c r="N13" s="101">
        <f t="shared" si="1"/>
        <v>11.30329795849633</v>
      </c>
      <c r="O13" s="101">
        <f t="shared" si="2"/>
        <v>53.415625891672136</v>
      </c>
      <c r="P13" s="101">
        <f t="shared" si="3"/>
        <v>80.117213074893726</v>
      </c>
    </row>
    <row r="14" spans="2:17" x14ac:dyDescent="0.3">
      <c r="B14" s="99" t="s">
        <v>281</v>
      </c>
      <c r="C14" s="99"/>
      <c r="D14" s="100">
        <f>'Raw FS'!D76</f>
        <v>6268.8</v>
      </c>
      <c r="E14" s="100">
        <f>'Raw FS'!E76</f>
        <v>24.09</v>
      </c>
      <c r="F14" s="100">
        <f t="shared" si="0"/>
        <v>151015.39199999999</v>
      </c>
      <c r="G14" s="100">
        <f>'Raw FS'!M76</f>
        <v>1618.6100000000001</v>
      </c>
      <c r="H14" s="100">
        <f>'Raw FS'!H76</f>
        <v>152614.13</v>
      </c>
      <c r="I14" s="100"/>
      <c r="J14" s="100">
        <f>'Raw FS'!I76</f>
        <v>17008.86</v>
      </c>
      <c r="K14" s="100">
        <f>'Raw FS'!J76</f>
        <v>4874.5</v>
      </c>
      <c r="L14" s="100">
        <f>'Raw FS'!K76</f>
        <v>2183.65</v>
      </c>
      <c r="M14" s="100"/>
      <c r="N14" s="101">
        <f t="shared" si="1"/>
        <v>8.9726254434453576</v>
      </c>
      <c r="O14" s="101">
        <f t="shared" si="2"/>
        <v>31.308673710124115</v>
      </c>
      <c r="P14" s="101">
        <f t="shared" si="3"/>
        <v>69.157324662835151</v>
      </c>
    </row>
    <row r="15" spans="2:17" x14ac:dyDescent="0.3">
      <c r="B15" s="99" t="s">
        <v>282</v>
      </c>
      <c r="C15" s="99"/>
      <c r="D15" s="100">
        <f>'Raw FS'!D77</f>
        <v>1388.65</v>
      </c>
      <c r="E15" s="100">
        <f>'Raw FS'!E77</f>
        <v>102.29</v>
      </c>
      <c r="F15" s="100">
        <f t="shared" si="0"/>
        <v>142045.00850000003</v>
      </c>
      <c r="G15" s="100">
        <f>'Raw FS'!M77</f>
        <v>2675.2599999999998</v>
      </c>
      <c r="H15" s="100">
        <f>'Raw FS'!H77</f>
        <v>144719.57</v>
      </c>
      <c r="I15" s="100"/>
      <c r="J15" s="100">
        <f>'Raw FS'!I77</f>
        <v>13978.78</v>
      </c>
      <c r="K15" s="100">
        <f>'Raw FS'!J77</f>
        <v>3087.87</v>
      </c>
      <c r="L15" s="100">
        <f>'Raw FS'!K77</f>
        <v>-428.69</v>
      </c>
      <c r="M15" s="100"/>
      <c r="N15" s="101">
        <f t="shared" si="1"/>
        <v>10.352804035831452</v>
      </c>
      <c r="O15" s="101">
        <f t="shared" si="2"/>
        <v>46.867118758237886</v>
      </c>
      <c r="P15" s="101">
        <f t="shared" si="3"/>
        <v>-331.3466805850382</v>
      </c>
    </row>
    <row r="16" spans="2:17" x14ac:dyDescent="0.3">
      <c r="B16" s="99" t="s">
        <v>284</v>
      </c>
      <c r="C16" s="99"/>
      <c r="D16" s="100">
        <f>'Raw FS'!D79</f>
        <v>3764.05</v>
      </c>
      <c r="E16" s="100">
        <f>'Raw FS'!E79</f>
        <v>27.2</v>
      </c>
      <c r="F16" s="100">
        <f t="shared" si="0"/>
        <v>102382.16</v>
      </c>
      <c r="G16" s="100">
        <f>'Raw FS'!M79</f>
        <v>-1302.03</v>
      </c>
      <c r="H16" s="100">
        <f>'Raw FS'!H79</f>
        <v>101074.72</v>
      </c>
      <c r="I16" s="100"/>
      <c r="J16" s="100">
        <f>'Raw FS'!I79</f>
        <v>5853.46</v>
      </c>
      <c r="K16" s="100">
        <f>'Raw FS'!J79</f>
        <v>2967.52</v>
      </c>
      <c r="L16" s="100">
        <f>'Raw FS'!K79</f>
        <v>1413.96</v>
      </c>
      <c r="M16" s="100"/>
      <c r="N16" s="101">
        <f t="shared" si="1"/>
        <v>17.267516989951243</v>
      </c>
      <c r="O16" s="101">
        <f t="shared" si="2"/>
        <v>34.060333207526824</v>
      </c>
      <c r="P16" s="101">
        <f t="shared" si="3"/>
        <v>72.408102067951006</v>
      </c>
    </row>
    <row r="17" spans="2:16" x14ac:dyDescent="0.3">
      <c r="B17" s="99" t="s">
        <v>285</v>
      </c>
      <c r="C17" s="99"/>
      <c r="D17" s="100">
        <f>'Raw FS'!D80</f>
        <v>16413.150000000001</v>
      </c>
      <c r="E17" s="100">
        <f>'Raw FS'!E80</f>
        <v>3.25</v>
      </c>
      <c r="F17" s="100">
        <f t="shared" si="0"/>
        <v>53342.737500000003</v>
      </c>
      <c r="G17" s="100">
        <f>'Raw FS'!M80</f>
        <v>-585.12</v>
      </c>
      <c r="H17" s="100">
        <f>'Raw FS'!H80</f>
        <v>52693.17</v>
      </c>
      <c r="I17" s="100"/>
      <c r="J17" s="100">
        <f>'Raw FS'!I80</f>
        <v>4205.7</v>
      </c>
      <c r="K17" s="100">
        <f>'Raw FS'!J80</f>
        <v>1566.49</v>
      </c>
      <c r="L17" s="100">
        <f>'Raw FS'!K80</f>
        <v>675.02</v>
      </c>
      <c r="M17" s="100"/>
      <c r="N17" s="101">
        <f t="shared" si="1"/>
        <v>12.528989228903631</v>
      </c>
      <c r="O17" s="101">
        <f t="shared" si="2"/>
        <v>33.637731488870017</v>
      </c>
      <c r="P17" s="101">
        <f t="shared" si="3"/>
        <v>79.023936327812521</v>
      </c>
    </row>
    <row r="18" spans="2:16" x14ac:dyDescent="0.3">
      <c r="B18" s="99" t="s">
        <v>286</v>
      </c>
      <c r="C18" s="99"/>
      <c r="D18" s="100">
        <f>'Raw FS'!D81</f>
        <v>751.65</v>
      </c>
      <c r="E18" s="100">
        <f>'Raw FS'!E81</f>
        <v>43.65</v>
      </c>
      <c r="F18" s="100">
        <f t="shared" si="0"/>
        <v>32809.522499999999</v>
      </c>
      <c r="G18" s="100">
        <f>'Raw FS'!M81</f>
        <v>-107.42999999999999</v>
      </c>
      <c r="H18" s="100">
        <f>'Raw FS'!H81</f>
        <v>32702.09</v>
      </c>
      <c r="I18" s="100"/>
      <c r="J18" s="100">
        <f>'Raw FS'!I81</f>
        <v>3658.5</v>
      </c>
      <c r="K18" s="100">
        <f>'Raw FS'!J81</f>
        <v>1188.32</v>
      </c>
      <c r="L18" s="100">
        <f>'Raw FS'!K81</f>
        <v>737.99</v>
      </c>
      <c r="M18" s="100"/>
      <c r="N18" s="101">
        <f t="shared" si="1"/>
        <v>8.9386606532731996</v>
      </c>
      <c r="O18" s="101">
        <f t="shared" si="2"/>
        <v>27.519599097886093</v>
      </c>
      <c r="P18" s="101">
        <f t="shared" si="3"/>
        <v>44.457949972221847</v>
      </c>
    </row>
    <row r="19" spans="2:16" x14ac:dyDescent="0.3">
      <c r="B19" s="99" t="s">
        <v>287</v>
      </c>
      <c r="C19" s="99"/>
      <c r="D19" s="100">
        <f>'Raw FS'!D82</f>
        <v>8490.5499999999993</v>
      </c>
      <c r="E19" s="100">
        <f>'Raw FS'!E82</f>
        <v>3.26</v>
      </c>
      <c r="F19" s="100">
        <f t="shared" si="0"/>
        <v>27679.192999999996</v>
      </c>
      <c r="G19" s="100">
        <f>'Raw FS'!M82</f>
        <v>-475.58</v>
      </c>
      <c r="H19" s="100">
        <f>'Raw FS'!H82</f>
        <v>27195.119999999999</v>
      </c>
      <c r="I19" s="100"/>
      <c r="J19" s="100">
        <f>'Raw FS'!I82</f>
        <v>2633.08</v>
      </c>
      <c r="K19" s="100">
        <f>'Raw FS'!J82</f>
        <v>847.9</v>
      </c>
      <c r="L19" s="100">
        <f>'Raw FS'!K82</f>
        <v>411.7</v>
      </c>
      <c r="M19" s="100"/>
      <c r="N19" s="101">
        <f t="shared" si="1"/>
        <v>10.32825436371094</v>
      </c>
      <c r="O19" s="101">
        <f t="shared" si="2"/>
        <v>32.073499233400163</v>
      </c>
      <c r="P19" s="101">
        <f t="shared" si="3"/>
        <v>67.231462229778955</v>
      </c>
    </row>
    <row r="20" spans="2:16" ht="3.6" customHeight="1" x14ac:dyDescent="0.3"/>
    <row r="21" spans="2:16" x14ac:dyDescent="0.3">
      <c r="B21" s="65" t="s">
        <v>303</v>
      </c>
      <c r="C21" s="65"/>
      <c r="D21" s="155"/>
      <c r="E21" s="155"/>
      <c r="F21" s="155"/>
      <c r="G21" s="155"/>
      <c r="H21" s="155"/>
      <c r="I21" s="155"/>
      <c r="J21" s="155"/>
      <c r="K21" s="155"/>
      <c r="L21" s="155"/>
      <c r="M21" s="65"/>
      <c r="N21" s="156">
        <f>MAX(N10:N19)</f>
        <v>17.267516989951243</v>
      </c>
      <c r="O21" s="156">
        <f t="shared" ref="O21:P21" si="4">MAX(O10:O19)</f>
        <v>53.415625891672136</v>
      </c>
      <c r="P21" s="156">
        <f t="shared" si="4"/>
        <v>81.597675422104132</v>
      </c>
    </row>
    <row r="22" spans="2:16" x14ac:dyDescent="0.3">
      <c r="B22" s="65" t="s">
        <v>304</v>
      </c>
      <c r="C22" s="65"/>
      <c r="D22" s="155"/>
      <c r="E22" s="155"/>
      <c r="F22" s="155"/>
      <c r="G22" s="155"/>
      <c r="H22" s="155"/>
      <c r="I22" s="155"/>
      <c r="J22" s="155"/>
      <c r="K22" s="155"/>
      <c r="L22" s="155"/>
      <c r="M22" s="65"/>
      <c r="N22" s="156">
        <f>QUARTILE(N10:N19,3)</f>
        <v>12.222566411301806</v>
      </c>
      <c r="O22" s="156">
        <f t="shared" ref="O22:P22" si="5">QUARTILE(O10:O19,3)</f>
        <v>38.583197066388962</v>
      </c>
      <c r="P22" s="156">
        <f t="shared" si="5"/>
        <v>77.369977762847142</v>
      </c>
    </row>
    <row r="23" spans="2:16" x14ac:dyDescent="0.3">
      <c r="B23" s="291" t="s">
        <v>305</v>
      </c>
      <c r="C23" s="291"/>
      <c r="D23" s="292"/>
      <c r="E23" s="292"/>
      <c r="F23" s="292"/>
      <c r="G23" s="292"/>
      <c r="H23" s="292"/>
      <c r="I23" s="292"/>
      <c r="J23" s="292"/>
      <c r="K23" s="292"/>
      <c r="L23" s="292"/>
      <c r="M23" s="291"/>
      <c r="N23" s="293">
        <f>AVERAGE(N10:N19)</f>
        <v>11.316236671986198</v>
      </c>
      <c r="O23" s="293">
        <f t="shared" ref="O23:P23" si="6">AVERAGE(O10:O19)</f>
        <v>36.094724411263016</v>
      </c>
      <c r="P23" s="293">
        <f t="shared" si="6"/>
        <v>29.07358771329924</v>
      </c>
    </row>
    <row r="24" spans="2:16" x14ac:dyDescent="0.3">
      <c r="B24" s="291" t="s">
        <v>158</v>
      </c>
      <c r="C24" s="291"/>
      <c r="D24" s="292"/>
      <c r="E24" s="292"/>
      <c r="F24" s="292"/>
      <c r="G24" s="292"/>
      <c r="H24" s="292"/>
      <c r="I24" s="292"/>
      <c r="J24" s="292"/>
      <c r="K24" s="292"/>
      <c r="L24" s="292"/>
      <c r="M24" s="291"/>
      <c r="N24" s="293">
        <f>MEDIAN(N10:N19)</f>
        <v>10.738355662432447</v>
      </c>
      <c r="O24" s="293">
        <f t="shared" ref="O24:P24" si="7">MEDIAN(O10:O19)</f>
        <v>33.12386617774812</v>
      </c>
      <c r="P24" s="293">
        <f t="shared" si="7"/>
        <v>68.286831222885951</v>
      </c>
    </row>
    <row r="25" spans="2:16" x14ac:dyDescent="0.3">
      <c r="B25" s="65" t="s">
        <v>306</v>
      </c>
      <c r="C25" s="65"/>
      <c r="D25" s="155"/>
      <c r="E25" s="155"/>
      <c r="F25" s="155"/>
      <c r="G25" s="155"/>
      <c r="H25" s="155"/>
      <c r="I25" s="155"/>
      <c r="J25" s="155"/>
      <c r="K25" s="155"/>
      <c r="L25" s="155"/>
      <c r="M25" s="65"/>
      <c r="N25" s="156">
        <f>QUARTILE(N10:N19,1)</f>
        <v>9.3115326735117527</v>
      </c>
      <c r="O25" s="156">
        <f t="shared" ref="O25:P25" si="8">QUARTILE(O10:O19,1)</f>
        <v>31.499880090943126</v>
      </c>
      <c r="P25" s="156">
        <f t="shared" si="8"/>
        <v>62.312282690567152</v>
      </c>
    </row>
    <row r="26" spans="2:16" x14ac:dyDescent="0.3">
      <c r="B26" s="65" t="s">
        <v>307</v>
      </c>
      <c r="C26" s="65"/>
      <c r="D26" s="155"/>
      <c r="E26" s="155"/>
      <c r="F26" s="155"/>
      <c r="G26" s="155"/>
      <c r="H26" s="155"/>
      <c r="I26" s="155"/>
      <c r="J26" s="155"/>
      <c r="K26" s="155"/>
      <c r="L26" s="155"/>
      <c r="M26" s="65"/>
      <c r="N26" s="156">
        <f>MIN(N10:N19)</f>
        <v>8.9386606532731996</v>
      </c>
      <c r="O26" s="156">
        <f t="shared" ref="O26:P26" si="9">MIN(O10:O19)</f>
        <v>27.519599097886093</v>
      </c>
      <c r="P26" s="156">
        <f t="shared" si="9"/>
        <v>-331.3466805850382</v>
      </c>
    </row>
    <row r="27" spans="2:16" ht="3.6" customHeight="1" x14ac:dyDescent="0.3"/>
    <row r="28" spans="2:16" x14ac:dyDescent="0.3">
      <c r="B28" s="236" t="s">
        <v>308</v>
      </c>
      <c r="C28" s="236"/>
      <c r="D28" s="236"/>
      <c r="E28" s="236"/>
      <c r="F28" s="236"/>
      <c r="G28" s="236"/>
      <c r="H28" s="236"/>
      <c r="I28" s="236"/>
      <c r="J28" s="236"/>
      <c r="K28" s="236"/>
      <c r="L28" s="236"/>
      <c r="M28" s="236"/>
      <c r="N28" s="238" t="s">
        <v>300</v>
      </c>
      <c r="O28" s="238" t="s">
        <v>301</v>
      </c>
      <c r="P28" s="238" t="s">
        <v>302</v>
      </c>
    </row>
    <row r="29" spans="2:16" ht="4.2" customHeight="1" x14ac:dyDescent="0.3"/>
    <row r="30" spans="2:16" x14ac:dyDescent="0.3">
      <c r="B30" s="65" t="s">
        <v>309</v>
      </c>
      <c r="C30" s="65"/>
      <c r="D30" s="65"/>
      <c r="E30" s="65"/>
      <c r="F30" s="65"/>
      <c r="G30" s="65"/>
      <c r="H30" s="65"/>
      <c r="I30" s="65"/>
      <c r="J30" s="65"/>
      <c r="K30" s="65"/>
      <c r="L30" s="65"/>
      <c r="M30" s="65"/>
      <c r="N30" s="103">
        <f>N24*H10</f>
        <v>1212210.4468435757</v>
      </c>
      <c r="O30" s="103">
        <f>O24*H10</f>
        <v>3739222.0822959212</v>
      </c>
      <c r="P30" s="103">
        <f>P31+P32</f>
        <v>126964.49527267726</v>
      </c>
    </row>
    <row r="31" spans="2:16" x14ac:dyDescent="0.3">
      <c r="B31" s="65" t="s">
        <v>269</v>
      </c>
      <c r="C31" s="65"/>
      <c r="D31" s="65"/>
      <c r="E31" s="65"/>
      <c r="F31" s="65"/>
      <c r="G31" s="65"/>
      <c r="H31" s="65"/>
      <c r="I31" s="65"/>
      <c r="J31" s="65"/>
      <c r="K31" s="65"/>
      <c r="L31" s="65"/>
      <c r="M31" s="65"/>
      <c r="N31" s="103">
        <f>$G$10</f>
        <v>698.7299999999999</v>
      </c>
      <c r="O31" s="103">
        <f t="shared" ref="O31:P31" si="10">$G$10</f>
        <v>698.7299999999999</v>
      </c>
      <c r="P31" s="103">
        <f t="shared" si="10"/>
        <v>698.7299999999999</v>
      </c>
    </row>
    <row r="32" spans="2:16" x14ac:dyDescent="0.3">
      <c r="B32" s="65" t="s">
        <v>310</v>
      </c>
      <c r="C32" s="65"/>
      <c r="D32" s="65"/>
      <c r="E32" s="65"/>
      <c r="F32" s="65"/>
      <c r="G32" s="65"/>
      <c r="H32" s="65"/>
      <c r="I32" s="65"/>
      <c r="J32" s="65"/>
      <c r="K32" s="65"/>
      <c r="L32" s="65"/>
      <c r="M32" s="65"/>
      <c r="N32" s="103">
        <f>N30-N31</f>
        <v>1211511.7168435757</v>
      </c>
      <c r="O32" s="103">
        <f t="shared" ref="O32" si="11">O30-O31</f>
        <v>3738523.3522959212</v>
      </c>
      <c r="P32" s="103">
        <f>P24*L10</f>
        <v>126265.76527267726</v>
      </c>
    </row>
    <row r="33" spans="2:16" x14ac:dyDescent="0.3">
      <c r="B33" s="66" t="s">
        <v>311</v>
      </c>
      <c r="C33" s="66"/>
      <c r="D33" s="66"/>
      <c r="E33" s="66"/>
      <c r="F33" s="66"/>
      <c r="G33" s="66"/>
      <c r="H33" s="66"/>
      <c r="I33" s="66"/>
      <c r="J33" s="66"/>
      <c r="K33" s="66"/>
      <c r="L33" s="66"/>
      <c r="M33" s="66"/>
      <c r="N33" s="104">
        <f>$E$10</f>
        <v>177.23</v>
      </c>
      <c r="O33" s="104">
        <f t="shared" ref="O33:P33" si="12">$E$10</f>
        <v>177.23</v>
      </c>
      <c r="P33" s="104">
        <f t="shared" si="12"/>
        <v>177.23</v>
      </c>
    </row>
    <row r="34" spans="2:16" x14ac:dyDescent="0.3">
      <c r="B34" s="289" t="s">
        <v>312</v>
      </c>
      <c r="C34" s="289"/>
      <c r="D34" s="289"/>
      <c r="E34" s="289"/>
      <c r="F34" s="289"/>
      <c r="G34" s="289"/>
      <c r="H34" s="289"/>
      <c r="I34" s="289"/>
      <c r="J34" s="289"/>
      <c r="K34" s="289"/>
      <c r="L34" s="289"/>
      <c r="M34" s="289"/>
      <c r="N34" s="290">
        <f>N32/N33</f>
        <v>6835.8162661150809</v>
      </c>
      <c r="O34" s="290">
        <f t="shared" ref="O34:P34" si="13">O32/O33</f>
        <v>21094.190330620782</v>
      </c>
      <c r="P34" s="290">
        <f t="shared" si="13"/>
        <v>712.44013582732759</v>
      </c>
    </row>
    <row r="35" spans="2:16" ht="3.6" customHeight="1" x14ac:dyDescent="0.3"/>
    <row r="36" spans="2:16" x14ac:dyDescent="0.3">
      <c r="N36" t="str">
        <f>IF(N34&gt;$D$10,"UnderValued","OverValued")</f>
        <v>UnderValued</v>
      </c>
      <c r="O36" t="str">
        <f t="shared" ref="O36:P36" si="14">IF(O34&gt;$D$10,"UnderValued","OverValued")</f>
        <v>UnderValued</v>
      </c>
      <c r="P36" t="str">
        <f t="shared" si="14"/>
        <v>UnderValued</v>
      </c>
    </row>
    <row r="38" spans="2:16" x14ac:dyDescent="0.3">
      <c r="B38" s="225"/>
      <c r="C38" s="225"/>
      <c r="D38" s="225"/>
      <c r="E38" s="225"/>
      <c r="F38" s="225"/>
      <c r="G38" s="225"/>
      <c r="H38" s="225"/>
      <c r="I38" s="225"/>
      <c r="J38" s="225"/>
      <c r="K38" s="225"/>
      <c r="L38" s="225"/>
      <c r="M38" s="225"/>
      <c r="N38" s="225"/>
      <c r="O38" s="225"/>
      <c r="P38" s="225"/>
    </row>
  </sheetData>
  <mergeCells count="3">
    <mergeCell ref="D7:H7"/>
    <mergeCell ref="J7:L7"/>
    <mergeCell ref="N7:P7"/>
  </mergeCells>
  <printOptions horizontalCentered="1" verticalCentered="1"/>
  <pageMargins left="0.15748031496062992" right="0.15748031496062992" top="0.47244094488188981" bottom="0.47244094488188981" header="0.31496062992125984" footer="0.31496062992125984"/>
  <pageSetup scale="81" fitToHeight="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A1505-320A-4F21-8496-B7529930741B}">
  <dimension ref="B3:O28"/>
  <sheetViews>
    <sheetView showGridLines="0" workbookViewId="0">
      <selection activeCell="Q21" sqref="Q21"/>
    </sheetView>
  </sheetViews>
  <sheetFormatPr defaultRowHeight="14.4" x14ac:dyDescent="0.3"/>
  <cols>
    <col min="1" max="1" width="1.88671875" customWidth="1"/>
    <col min="11" max="11" width="3.77734375" customWidth="1"/>
    <col min="13" max="13" width="9.6640625" customWidth="1"/>
    <col min="14" max="14" width="10.44140625" customWidth="1"/>
  </cols>
  <sheetData>
    <row r="3" spans="2:15" ht="30" customHeight="1" x14ac:dyDescent="0.3">
      <c r="B3" s="229" t="s">
        <v>63</v>
      </c>
      <c r="C3" s="225"/>
      <c r="D3" s="225"/>
      <c r="E3" s="225"/>
      <c r="F3" s="225"/>
      <c r="G3" s="225"/>
      <c r="H3" s="225"/>
      <c r="I3" s="225"/>
      <c r="J3" s="225"/>
      <c r="K3" s="225"/>
      <c r="L3" s="225"/>
      <c r="M3" s="225"/>
      <c r="N3" s="225"/>
      <c r="O3" s="225"/>
    </row>
    <row r="4" spans="2:15" ht="4.2" customHeight="1" x14ac:dyDescent="0.3">
      <c r="B4" s="225"/>
      <c r="C4" s="225"/>
      <c r="D4" s="225"/>
      <c r="E4" s="225"/>
      <c r="F4" s="225"/>
      <c r="G4" s="225"/>
      <c r="H4" s="225"/>
      <c r="I4" s="225"/>
      <c r="J4" s="225"/>
      <c r="K4" s="225"/>
      <c r="L4" s="225"/>
      <c r="M4" s="225"/>
      <c r="N4" s="225"/>
      <c r="O4" s="225"/>
    </row>
    <row r="5" spans="2:15" ht="15.6" x14ac:dyDescent="0.3">
      <c r="B5" s="230" t="s">
        <v>1593</v>
      </c>
      <c r="C5" s="225"/>
      <c r="D5" s="225"/>
      <c r="E5" s="225"/>
      <c r="F5" s="225"/>
      <c r="G5" s="225"/>
      <c r="H5" s="225"/>
      <c r="I5" s="225"/>
      <c r="J5" s="225"/>
      <c r="K5" s="225"/>
      <c r="L5" s="225"/>
      <c r="M5" s="225"/>
      <c r="N5" s="225"/>
      <c r="O5" s="225"/>
    </row>
    <row r="7" spans="2:15" x14ac:dyDescent="0.3">
      <c r="J7" s="312" t="s">
        <v>1601</v>
      </c>
      <c r="K7" s="312"/>
      <c r="L7" s="312"/>
      <c r="M7" s="312"/>
      <c r="N7" s="312"/>
      <c r="O7" s="312"/>
    </row>
    <row r="8" spans="2:15" x14ac:dyDescent="0.3">
      <c r="K8" s="2"/>
      <c r="L8" s="143" t="s">
        <v>1599</v>
      </c>
      <c r="M8" s="143" t="s">
        <v>307</v>
      </c>
      <c r="N8" s="143" t="s">
        <v>1600</v>
      </c>
      <c r="O8" s="143" t="s">
        <v>303</v>
      </c>
    </row>
    <row r="9" spans="2:15" ht="3.6" customHeight="1" x14ac:dyDescent="0.3">
      <c r="K9" s="2"/>
      <c r="L9" s="143"/>
      <c r="M9" s="143"/>
      <c r="N9" s="143"/>
      <c r="O9" s="143"/>
    </row>
    <row r="10" spans="2:15" x14ac:dyDescent="0.3">
      <c r="J10" s="210" t="s">
        <v>1594</v>
      </c>
      <c r="K10" s="168"/>
      <c r="L10" s="211">
        <v>608</v>
      </c>
      <c r="M10" s="211">
        <v>608</v>
      </c>
      <c r="N10" s="211">
        <v>959</v>
      </c>
      <c r="O10" s="211">
        <v>959</v>
      </c>
    </row>
    <row r="11" spans="2:15" x14ac:dyDescent="0.3">
      <c r="J11" s="68" t="s">
        <v>1595</v>
      </c>
      <c r="K11" s="65"/>
      <c r="L11" s="209">
        <f>DCF!$K$32</f>
        <v>98.306447943381372</v>
      </c>
      <c r="M11" s="209">
        <f>DCF!$K$32</f>
        <v>98.306447943381372</v>
      </c>
      <c r="N11" s="209">
        <f>DCF!$K$36</f>
        <v>149.76725540813192</v>
      </c>
      <c r="O11" s="209">
        <f>DCF!$K$36</f>
        <v>149.76725540813192</v>
      </c>
    </row>
    <row r="12" spans="2:15" x14ac:dyDescent="0.3">
      <c r="J12" s="68" t="s">
        <v>1596</v>
      </c>
      <c r="K12" s="65"/>
      <c r="L12" s="209">
        <f>DCF!$I$32</f>
        <v>138.00478513047466</v>
      </c>
      <c r="M12" s="209">
        <f>DCF!$I$32</f>
        <v>138.00478513047466</v>
      </c>
      <c r="N12" s="209">
        <f>DCF!$I$36</f>
        <v>385.01666096127724</v>
      </c>
      <c r="O12" s="209">
        <f>DCF!$I$36</f>
        <v>385.01666096127724</v>
      </c>
    </row>
    <row r="13" spans="2:15" x14ac:dyDescent="0.3">
      <c r="J13" s="68" t="s">
        <v>1597</v>
      </c>
      <c r="K13" s="65"/>
      <c r="L13" s="209">
        <f>DCF!$G$32</f>
        <v>158.16901989217283</v>
      </c>
      <c r="M13" s="209">
        <f>DCF!$G$32</f>
        <v>158.16901989217283</v>
      </c>
      <c r="N13" s="209">
        <f>DCF!$G$36</f>
        <v>788.30135619524162</v>
      </c>
      <c r="O13" s="209">
        <f>DCF!$G$36</f>
        <v>788.30135619524162</v>
      </c>
    </row>
    <row r="14" spans="2:15" x14ac:dyDescent="0.3">
      <c r="J14" s="68" t="s">
        <v>1598</v>
      </c>
      <c r="K14" s="65"/>
      <c r="L14" s="209">
        <v>489</v>
      </c>
      <c r="M14" s="209">
        <v>489</v>
      </c>
      <c r="N14" s="209">
        <v>672</v>
      </c>
      <c r="O14" s="209">
        <v>672</v>
      </c>
    </row>
    <row r="15" spans="2:15" x14ac:dyDescent="0.3">
      <c r="L15" s="142"/>
      <c r="M15" s="142"/>
      <c r="N15" s="142"/>
      <c r="O15" s="142"/>
    </row>
    <row r="28" spans="2:15" ht="14.4" customHeight="1" x14ac:dyDescent="0.3">
      <c r="B28" s="225"/>
      <c r="C28" s="225"/>
      <c r="D28" s="225"/>
      <c r="E28" s="225"/>
      <c r="F28" s="225"/>
      <c r="G28" s="225"/>
      <c r="H28" s="225"/>
      <c r="I28" s="225"/>
      <c r="J28" s="225"/>
      <c r="K28" s="225"/>
      <c r="L28" s="225"/>
      <c r="M28" s="225"/>
      <c r="N28" s="225"/>
      <c r="O28" s="225"/>
    </row>
  </sheetData>
  <mergeCells count="1">
    <mergeCell ref="J7:O7"/>
  </mergeCells>
  <printOptions horizontalCentered="1" verticalCentered="1"/>
  <pageMargins left="0.23622047244094491" right="0.23622047244094491" top="0.39370078740157483" bottom="0.39370078740157483" header="0.31496062992125984" footer="0.31496062992125984"/>
  <pageSetup scale="107" fitToHeight="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13D7-1B17-4EA9-8F7F-32A8009EF64D}">
  <sheetPr>
    <pageSetUpPr fitToPage="1"/>
  </sheetPr>
  <dimension ref="B2:T5006"/>
  <sheetViews>
    <sheetView showGridLines="0" topLeftCell="A15" zoomScale="63" workbookViewId="0">
      <selection activeCell="Q51" sqref="Q51"/>
    </sheetView>
  </sheetViews>
  <sheetFormatPr defaultRowHeight="14.4" x14ac:dyDescent="0.3"/>
  <cols>
    <col min="1" max="1" width="1.88671875" customWidth="1"/>
    <col min="2" max="2" width="11.21875" bestFit="1" customWidth="1"/>
    <col min="3" max="3" width="10.33203125" bestFit="1" customWidth="1"/>
    <col min="4" max="4" width="8.33203125" bestFit="1" customWidth="1"/>
    <col min="5" max="5" width="14.33203125" bestFit="1" customWidth="1"/>
    <col min="6" max="6" width="11.5546875" bestFit="1" customWidth="1"/>
    <col min="7" max="7" width="17.6640625" bestFit="1" customWidth="1"/>
    <col min="8" max="8" width="1.44140625" customWidth="1"/>
    <col min="9" max="9" width="10.44140625" customWidth="1"/>
    <col min="10" max="10" width="11.21875" bestFit="1" customWidth="1"/>
    <col min="11" max="11" width="7.21875" customWidth="1"/>
    <col min="12" max="12" width="10.33203125" customWidth="1"/>
    <col min="13" max="13" width="12.21875" customWidth="1"/>
  </cols>
  <sheetData>
    <row r="2" spans="2:19" ht="31.2" x14ac:dyDescent="0.3">
      <c r="B2" s="229" t="s">
        <v>63</v>
      </c>
      <c r="C2" s="225"/>
      <c r="D2" s="225"/>
      <c r="E2" s="225"/>
      <c r="F2" s="225"/>
      <c r="G2" s="225"/>
      <c r="H2" s="225"/>
      <c r="I2" s="225"/>
      <c r="J2" s="225"/>
      <c r="K2" s="225"/>
      <c r="L2" s="225"/>
      <c r="M2" s="225"/>
    </row>
    <row r="3" spans="2:19" ht="3.6" customHeight="1" x14ac:dyDescent="0.3">
      <c r="B3" s="225"/>
      <c r="C3" s="225"/>
      <c r="D3" s="225"/>
      <c r="E3" s="225"/>
      <c r="F3" s="225"/>
      <c r="G3" s="225"/>
      <c r="H3" s="225"/>
      <c r="I3" s="225"/>
      <c r="J3" s="225"/>
      <c r="K3" s="225"/>
      <c r="L3" s="225"/>
      <c r="M3" s="225"/>
    </row>
    <row r="4" spans="2:19" ht="15.6" x14ac:dyDescent="0.3">
      <c r="B4" s="230" t="s">
        <v>1593</v>
      </c>
      <c r="C4" s="225"/>
      <c r="D4" s="225"/>
      <c r="E4" s="225"/>
      <c r="F4" s="225"/>
      <c r="G4" s="225"/>
      <c r="H4" s="225"/>
      <c r="I4" s="225"/>
      <c r="J4" s="225"/>
      <c r="K4" s="225"/>
      <c r="L4" s="225"/>
      <c r="M4" s="225"/>
    </row>
    <row r="6" spans="2:19" ht="15" customHeight="1" x14ac:dyDescent="0.3">
      <c r="B6" s="231" t="s">
        <v>358</v>
      </c>
      <c r="C6" s="231" t="s">
        <v>359</v>
      </c>
      <c r="D6" s="231" t="s">
        <v>414</v>
      </c>
      <c r="E6" s="232" t="s">
        <v>415</v>
      </c>
      <c r="F6" s="232" t="s">
        <v>1587</v>
      </c>
      <c r="G6" s="232" t="s">
        <v>1588</v>
      </c>
      <c r="H6" s="233"/>
      <c r="I6" s="318" t="s">
        <v>1590</v>
      </c>
      <c r="J6" s="318"/>
      <c r="K6" s="318"/>
      <c r="L6" s="318"/>
      <c r="M6" s="318"/>
    </row>
    <row r="7" spans="2:19" x14ac:dyDescent="0.3">
      <c r="B7" s="118" t="s">
        <v>360</v>
      </c>
      <c r="C7" s="116">
        <v>633</v>
      </c>
      <c r="D7" s="116">
        <f>(C7-C8)/C8</f>
        <v>0</v>
      </c>
      <c r="E7" s="33">
        <v>0.13453590703554247</v>
      </c>
      <c r="F7" s="124">
        <v>1</v>
      </c>
      <c r="G7" s="33">
        <f ca="1">_xlfn.NORM.INV(RAND(),$M$9,$M$10)</f>
        <v>5.3929874898724653E-2</v>
      </c>
      <c r="Q7" s="120"/>
      <c r="R7" s="121"/>
      <c r="S7" s="121"/>
    </row>
    <row r="8" spans="2:19" x14ac:dyDescent="0.3">
      <c r="B8" s="118" t="s">
        <v>361</v>
      </c>
      <c r="C8" s="116">
        <v>633</v>
      </c>
      <c r="D8" s="119">
        <f t="shared" ref="D8:D38" si="0">(C8-C9)/C9</f>
        <v>-5.1756422739869606E-2</v>
      </c>
      <c r="E8" s="33">
        <v>0.12474667452743292</v>
      </c>
      <c r="F8" s="124">
        <v>2</v>
      </c>
      <c r="G8" s="33">
        <f t="shared" ref="G8:G71" ca="1" si="1">_xlfn.NORM.INV(RAND(),$M$9,$M$10)</f>
        <v>4.1075517738780563E-2</v>
      </c>
      <c r="I8" s="234" t="s">
        <v>1589</v>
      </c>
      <c r="J8" s="235"/>
      <c r="K8" s="235"/>
      <c r="L8" s="235"/>
      <c r="M8" s="235"/>
      <c r="Q8" s="118"/>
      <c r="R8" s="116"/>
      <c r="S8" s="123"/>
    </row>
    <row r="9" spans="2:19" x14ac:dyDescent="0.3">
      <c r="B9" s="118" t="s">
        <v>362</v>
      </c>
      <c r="C9" s="116">
        <v>667.55</v>
      </c>
      <c r="D9" s="119">
        <f t="shared" si="0"/>
        <v>1.0062036616734722E-2</v>
      </c>
      <c r="E9" s="33">
        <v>8.9178577730721728E-2</v>
      </c>
      <c r="F9" s="124">
        <v>3</v>
      </c>
      <c r="G9" s="33">
        <f t="shared" ca="1" si="1"/>
        <v>6.7246245242132624E-3</v>
      </c>
      <c r="I9" s="125" t="s">
        <v>157</v>
      </c>
      <c r="J9" s="125"/>
      <c r="K9" s="125"/>
      <c r="L9" s="125"/>
      <c r="M9" s="126">
        <f>AVERAGE(E7:E253)</f>
        <v>1.8408769496543508E-3</v>
      </c>
      <c r="Q9" s="118"/>
      <c r="R9" s="116"/>
      <c r="S9" s="123"/>
    </row>
    <row r="10" spans="2:19" x14ac:dyDescent="0.3">
      <c r="B10" s="118" t="s">
        <v>363</v>
      </c>
      <c r="C10" s="116">
        <v>660.9</v>
      </c>
      <c r="D10" s="119">
        <f t="shared" si="0"/>
        <v>2.5605214152700187E-2</v>
      </c>
      <c r="E10" s="33">
        <v>8.0488568744127839E-2</v>
      </c>
      <c r="F10" s="124">
        <v>4</v>
      </c>
      <c r="G10" s="33">
        <f t="shared" ca="1" si="1"/>
        <v>-1.0705745121056372E-2</v>
      </c>
      <c r="I10" s="125" t="s">
        <v>1583</v>
      </c>
      <c r="J10" s="125"/>
      <c r="K10" s="125"/>
      <c r="L10" s="125"/>
      <c r="M10" s="127">
        <f>_xlfn.STDEV.S(E7:E253)</f>
        <v>3.0151189733454195E-2</v>
      </c>
      <c r="Q10" s="118"/>
      <c r="R10" s="116"/>
      <c r="S10" s="123"/>
    </row>
    <row r="11" spans="2:19" x14ac:dyDescent="0.3">
      <c r="B11" s="118" t="s">
        <v>364</v>
      </c>
      <c r="C11" s="116">
        <v>644.4</v>
      </c>
      <c r="D11" s="119">
        <f t="shared" si="0"/>
        <v>1.1378796201836303E-2</v>
      </c>
      <c r="E11" s="33">
        <v>6.5645430318832812E-2</v>
      </c>
      <c r="F11" s="124">
        <v>5</v>
      </c>
      <c r="G11" s="33">
        <f t="shared" ca="1" si="1"/>
        <v>3.2254158053459367E-2</v>
      </c>
      <c r="I11" s="125" t="s">
        <v>416</v>
      </c>
      <c r="J11" s="125"/>
      <c r="K11" s="125"/>
      <c r="L11" s="125"/>
      <c r="M11" s="126">
        <f>MIN(E7:E253)</f>
        <v>-9.9794302811194974E-2</v>
      </c>
      <c r="N11" s="118"/>
      <c r="O11" s="116"/>
      <c r="P11" s="123"/>
    </row>
    <row r="12" spans="2:19" x14ac:dyDescent="0.3">
      <c r="B12" s="118" t="s">
        <v>365</v>
      </c>
      <c r="C12" s="116">
        <v>637.15</v>
      </c>
      <c r="D12" s="119">
        <f t="shared" si="0"/>
        <v>-9.4830936649825462E-3</v>
      </c>
      <c r="E12" s="33">
        <v>6.3854070722037415E-2</v>
      </c>
      <c r="F12" s="124">
        <v>6</v>
      </c>
      <c r="G12" s="33">
        <f t="shared" ca="1" si="1"/>
        <v>5.4158901514878757E-3</v>
      </c>
      <c r="I12" s="125" t="s">
        <v>417</v>
      </c>
      <c r="J12" s="125"/>
      <c r="K12" s="125"/>
      <c r="L12" s="125"/>
      <c r="M12" s="126">
        <f>MAX(E7:E253)</f>
        <v>0.13453590703554247</v>
      </c>
      <c r="N12" s="118"/>
      <c r="O12" s="118"/>
      <c r="P12" s="116"/>
      <c r="Q12" s="123"/>
    </row>
    <row r="13" spans="2:19" x14ac:dyDescent="0.3">
      <c r="B13" s="118" t="s">
        <v>366</v>
      </c>
      <c r="C13" s="116">
        <v>643.25</v>
      </c>
      <c r="D13" s="119">
        <f t="shared" si="0"/>
        <v>4.1531735751295297E-2</v>
      </c>
      <c r="E13" s="33">
        <v>6.2177676537585429E-2</v>
      </c>
      <c r="F13" s="124">
        <v>7</v>
      </c>
      <c r="G13" s="33">
        <f t="shared" ca="1" si="1"/>
        <v>3.0620830749102834E-3</v>
      </c>
      <c r="I13" s="125" t="s">
        <v>1581</v>
      </c>
      <c r="J13" s="125"/>
      <c r="K13" s="125"/>
      <c r="L13" s="125"/>
      <c r="M13" s="125">
        <f>'Data Sheet'!B8</f>
        <v>625.70000000000005</v>
      </c>
      <c r="O13" s="118"/>
      <c r="P13" s="116"/>
      <c r="Q13" s="123"/>
    </row>
    <row r="14" spans="2:19" x14ac:dyDescent="0.3">
      <c r="B14" s="118" t="s">
        <v>367</v>
      </c>
      <c r="C14" s="116">
        <v>617.6</v>
      </c>
      <c r="D14" s="119">
        <f t="shared" si="0"/>
        <v>-1.0177097523840087E-2</v>
      </c>
      <c r="E14" s="33">
        <v>5.6020013256644331E-2</v>
      </c>
      <c r="F14" s="124">
        <v>8</v>
      </c>
      <c r="G14" s="33">
        <f t="shared" ca="1" si="1"/>
        <v>2.9704438511171702E-2</v>
      </c>
      <c r="P14" s="116"/>
      <c r="Q14" s="123"/>
    </row>
    <row r="15" spans="2:19" ht="15" thickBot="1" x14ac:dyDescent="0.35">
      <c r="B15" s="118" t="s">
        <v>368</v>
      </c>
      <c r="C15" s="116">
        <v>623.95000000000005</v>
      </c>
      <c r="D15" s="119">
        <f t="shared" si="0"/>
        <v>-5.7365946936497637E-3</v>
      </c>
      <c r="E15" s="33">
        <v>5.337633609699264E-2</v>
      </c>
      <c r="F15" s="124">
        <v>9</v>
      </c>
      <c r="G15" s="33">
        <f t="shared" ca="1" si="1"/>
        <v>4.1740399555627562E-2</v>
      </c>
      <c r="O15" s="118"/>
      <c r="P15" s="116"/>
      <c r="Q15" s="123"/>
    </row>
    <row r="16" spans="2:19" ht="15" thickBot="1" x14ac:dyDescent="0.35">
      <c r="B16" s="118" t="s">
        <v>369</v>
      </c>
      <c r="C16" s="116">
        <v>627.54999999999995</v>
      </c>
      <c r="D16" s="119">
        <f t="shared" si="0"/>
        <v>-7.747648035417963E-3</v>
      </c>
      <c r="E16" s="33">
        <v>5.2709471766848981E-2</v>
      </c>
      <c r="F16" s="124">
        <v>10</v>
      </c>
      <c r="G16" s="33">
        <f t="shared" ca="1" si="1"/>
        <v>2.0856095439233696E-2</v>
      </c>
      <c r="I16" s="152" t="s">
        <v>1579</v>
      </c>
      <c r="J16" s="153" t="s">
        <v>1585</v>
      </c>
      <c r="K16" s="154" t="s">
        <v>1580</v>
      </c>
      <c r="L16" s="153" t="s">
        <v>1582</v>
      </c>
      <c r="M16" s="153" t="s">
        <v>1584</v>
      </c>
      <c r="N16" s="118"/>
      <c r="O16" s="116"/>
      <c r="P16" s="123"/>
    </row>
    <row r="17" spans="2:16" x14ac:dyDescent="0.3">
      <c r="B17" s="118" t="s">
        <v>370</v>
      </c>
      <c r="C17" s="116">
        <v>632.45000000000005</v>
      </c>
      <c r="D17" s="119">
        <f t="shared" si="0"/>
        <v>3.5702951443986036E-3</v>
      </c>
      <c r="E17" s="33">
        <v>5.1881112824521014E-2</v>
      </c>
      <c r="F17" s="124">
        <v>11</v>
      </c>
      <c r="G17" s="33">
        <f t="shared" ca="1" si="1"/>
        <v>6.3954257212612345E-3</v>
      </c>
      <c r="I17" s="149">
        <v>0.05</v>
      </c>
      <c r="J17" s="149">
        <f>100%-I17</f>
        <v>0.95</v>
      </c>
      <c r="K17" s="150">
        <f>_xlfn.PERCENTILE.INC($E$7:$E$253,I17)</f>
        <v>-3.9581866661866708E-2</v>
      </c>
      <c r="L17" s="151">
        <f>$M$13*(1-K17)</f>
        <v>650.4663739703301</v>
      </c>
      <c r="M17" s="151">
        <f>$M$13-L17</f>
        <v>-24.766373970330051</v>
      </c>
      <c r="N17" s="118"/>
      <c r="O17" s="116"/>
      <c r="P17" s="123"/>
    </row>
    <row r="18" spans="2:16" x14ac:dyDescent="0.3">
      <c r="B18" s="118" t="s">
        <v>371</v>
      </c>
      <c r="C18" s="116">
        <v>630.20000000000005</v>
      </c>
      <c r="D18" s="119">
        <f t="shared" si="0"/>
        <v>4.6069726291627748E-3</v>
      </c>
      <c r="E18" s="33">
        <v>5.0965164469999755E-2</v>
      </c>
      <c r="F18" s="124">
        <v>12</v>
      </c>
      <c r="G18" s="33">
        <f t="shared" ca="1" si="1"/>
        <v>-6.3566847385191041E-2</v>
      </c>
      <c r="I18" s="128">
        <v>0.01</v>
      </c>
      <c r="J18" s="128">
        <f t="shared" ref="J18:J19" si="2">100%-I18</f>
        <v>0.99</v>
      </c>
      <c r="K18" s="129">
        <f>_xlfn.PERCENTILE.INC($E$7:$E$253,I18)</f>
        <v>-7.7741785602736077E-2</v>
      </c>
      <c r="L18" s="135">
        <f t="shared" ref="L18:L19" si="3">$M$13*(1-K18)</f>
        <v>674.34303525163193</v>
      </c>
      <c r="M18" s="135">
        <f t="shared" ref="M18:M19" si="4">$M$13-L18</f>
        <v>-48.643035251631886</v>
      </c>
      <c r="N18" s="118"/>
      <c r="O18" s="116"/>
      <c r="P18" s="123"/>
    </row>
    <row r="19" spans="2:16" x14ac:dyDescent="0.3">
      <c r="B19" s="118" t="s">
        <v>372</v>
      </c>
      <c r="C19" s="116">
        <v>627.30999999999995</v>
      </c>
      <c r="D19" s="119">
        <f t="shared" si="0"/>
        <v>3.883350445467481E-2</v>
      </c>
      <c r="E19" s="33">
        <v>5.0528210512782015E-2</v>
      </c>
      <c r="F19" s="124">
        <v>13</v>
      </c>
      <c r="G19" s="33">
        <f t="shared" ca="1" si="1"/>
        <v>-1.871502990465029E-2</v>
      </c>
      <c r="I19" s="128">
        <v>5.0000000000000001E-3</v>
      </c>
      <c r="J19" s="128">
        <f t="shared" si="2"/>
        <v>0.995</v>
      </c>
      <c r="K19" s="129">
        <f>_xlfn.PERCENTILE.INC($E$7:$E$253,I19)</f>
        <v>-8.583834029515762E-2</v>
      </c>
      <c r="L19" s="135">
        <f t="shared" si="3"/>
        <v>679.40904952268022</v>
      </c>
      <c r="M19" s="135">
        <f t="shared" si="4"/>
        <v>-53.709049522680175</v>
      </c>
      <c r="N19" s="118"/>
      <c r="O19" s="116"/>
      <c r="P19" s="123"/>
    </row>
    <row r="20" spans="2:16" x14ac:dyDescent="0.3">
      <c r="B20" s="118" t="s">
        <v>373</v>
      </c>
      <c r="C20" s="116">
        <v>603.86</v>
      </c>
      <c r="D20" s="119">
        <f t="shared" si="0"/>
        <v>9.5629785668907407E-3</v>
      </c>
      <c r="E20" s="33">
        <v>4.8831562298113161E-2</v>
      </c>
      <c r="F20" s="124">
        <v>14</v>
      </c>
      <c r="G20" s="33">
        <f t="shared" ca="1" si="1"/>
        <v>4.5098194986473682E-2</v>
      </c>
      <c r="I20" s="297"/>
      <c r="J20" s="297"/>
      <c r="K20" s="41"/>
      <c r="L20" s="298"/>
      <c r="M20" s="298"/>
      <c r="N20" s="118"/>
      <c r="O20" s="116"/>
      <c r="P20" s="123"/>
    </row>
    <row r="21" spans="2:16" x14ac:dyDescent="0.3">
      <c r="B21" s="118" t="s">
        <v>374</v>
      </c>
      <c r="C21" s="116">
        <v>598.14</v>
      </c>
      <c r="D21" s="119">
        <f t="shared" si="0"/>
        <v>1.8231959552627609E-2</v>
      </c>
      <c r="E21" s="33">
        <v>4.6053594962659185E-2</v>
      </c>
      <c r="F21" s="124">
        <v>15</v>
      </c>
      <c r="G21" s="33">
        <f t="shared" ca="1" si="1"/>
        <v>4.4735375613443505E-2</v>
      </c>
      <c r="N21" s="118"/>
      <c r="O21" s="116"/>
      <c r="P21" s="123"/>
    </row>
    <row r="22" spans="2:16" x14ac:dyDescent="0.3">
      <c r="B22" s="118" t="s">
        <v>375</v>
      </c>
      <c r="C22" s="116">
        <v>587.42999999999995</v>
      </c>
      <c r="D22" s="119">
        <f t="shared" si="0"/>
        <v>-3.0723537661909092E-2</v>
      </c>
      <c r="E22" s="33">
        <v>4.5566999456073606E-2</v>
      </c>
      <c r="F22" s="124">
        <v>16</v>
      </c>
      <c r="G22" s="33">
        <f t="shared" ca="1" si="1"/>
        <v>-4.3662752616538042E-2</v>
      </c>
      <c r="I22" s="234" t="s">
        <v>1586</v>
      </c>
      <c r="J22" s="234"/>
      <c r="K22" s="234"/>
      <c r="L22" s="234"/>
      <c r="M22" s="234"/>
      <c r="N22" s="118"/>
      <c r="O22" s="116"/>
      <c r="P22" s="123"/>
    </row>
    <row r="23" spans="2:16" x14ac:dyDescent="0.3">
      <c r="B23" s="118" t="s">
        <v>376</v>
      </c>
      <c r="C23" s="116">
        <v>606.04999999999995</v>
      </c>
      <c r="D23" s="119">
        <f t="shared" si="0"/>
        <v>-7.2728464020705569E-3</v>
      </c>
      <c r="E23" s="33">
        <v>4.4689540871692746E-2</v>
      </c>
      <c r="F23" s="124">
        <v>17</v>
      </c>
      <c r="G23" s="33">
        <f t="shared" ca="1" si="1"/>
        <v>1.8308416295659335E-2</v>
      </c>
      <c r="I23" s="125" t="s">
        <v>157</v>
      </c>
      <c r="J23" s="125"/>
      <c r="K23" s="125"/>
      <c r="L23" s="125"/>
      <c r="M23" s="126">
        <f ca="1">AVERAGE(G7:G5006)</f>
        <v>1.4593454784709986E-3</v>
      </c>
      <c r="N23" s="118"/>
      <c r="O23" s="116"/>
      <c r="P23" s="123"/>
    </row>
    <row r="24" spans="2:16" x14ac:dyDescent="0.3">
      <c r="B24" s="118" t="s">
        <v>377</v>
      </c>
      <c r="C24" s="116">
        <v>610.49</v>
      </c>
      <c r="D24" s="119">
        <f t="shared" si="0"/>
        <v>0.12474667452743292</v>
      </c>
      <c r="E24" s="33">
        <v>4.4311587831897321E-2</v>
      </c>
      <c r="F24" s="124">
        <v>18</v>
      </c>
      <c r="G24" s="33">
        <f t="shared" ca="1" si="1"/>
        <v>3.513939378789098E-2</v>
      </c>
      <c r="I24" s="125" t="s">
        <v>1583</v>
      </c>
      <c r="J24" s="125"/>
      <c r="K24" s="125"/>
      <c r="L24" s="125"/>
      <c r="M24" s="126">
        <f ca="1">_xlfn.STDEV.S(G7:G5006)</f>
        <v>3.0112486271020551E-2</v>
      </c>
      <c r="N24" s="118"/>
      <c r="O24" s="116"/>
      <c r="P24" s="123"/>
    </row>
    <row r="25" spans="2:16" x14ac:dyDescent="0.3">
      <c r="B25" s="118" t="s">
        <v>378</v>
      </c>
      <c r="C25" s="116">
        <v>542.78</v>
      </c>
      <c r="D25" s="119">
        <f t="shared" si="0"/>
        <v>-2.3285107608148087E-2</v>
      </c>
      <c r="E25" s="33">
        <v>4.3582724461862649E-2</v>
      </c>
      <c r="F25" s="124">
        <v>19</v>
      </c>
      <c r="G25" s="33">
        <f t="shared" ca="1" si="1"/>
        <v>-4.9302386537836716E-2</v>
      </c>
      <c r="I25" s="125" t="s">
        <v>416</v>
      </c>
      <c r="J25" s="125"/>
      <c r="K25" s="125"/>
      <c r="L25" s="125"/>
      <c r="M25" s="126">
        <f ca="1">MIN(G7:G5006)</f>
        <v>-0.11915095538834125</v>
      </c>
      <c r="N25" s="118"/>
      <c r="O25" s="116"/>
      <c r="P25" s="123"/>
    </row>
    <row r="26" spans="2:16" x14ac:dyDescent="0.3">
      <c r="B26" s="118" t="s">
        <v>379</v>
      </c>
      <c r="C26" s="116">
        <v>555.72</v>
      </c>
      <c r="D26" s="119">
        <f t="shared" si="0"/>
        <v>3.3513111400409114E-2</v>
      </c>
      <c r="E26" s="33">
        <v>4.3038134523107979E-2</v>
      </c>
      <c r="F26" s="124">
        <v>20</v>
      </c>
      <c r="G26" s="33">
        <f t="shared" ca="1" si="1"/>
        <v>-4.6528753635891908E-4</v>
      </c>
      <c r="I26" s="125" t="s">
        <v>417</v>
      </c>
      <c r="J26" s="125"/>
      <c r="K26" s="125"/>
      <c r="L26" s="125"/>
      <c r="M26" s="126">
        <f ca="1">MAX(G7:G5006)</f>
        <v>0.11136468382969636</v>
      </c>
      <c r="N26" s="118"/>
      <c r="O26" s="116"/>
      <c r="P26" s="123"/>
    </row>
    <row r="27" spans="2:16" x14ac:dyDescent="0.3">
      <c r="B27" s="118" t="s">
        <v>380</v>
      </c>
      <c r="C27" s="116">
        <v>537.70000000000005</v>
      </c>
      <c r="D27" s="119">
        <f t="shared" si="0"/>
        <v>-1.9600692861701158E-2</v>
      </c>
      <c r="E27" s="33">
        <v>4.2346079599129269E-2</v>
      </c>
      <c r="F27" s="124">
        <v>21</v>
      </c>
      <c r="G27" s="33">
        <f t="shared" ca="1" si="1"/>
        <v>-4.6378200121599475E-3</v>
      </c>
      <c r="I27" s="125" t="s">
        <v>1581</v>
      </c>
      <c r="J27" s="125"/>
      <c r="K27" s="125"/>
      <c r="L27" s="125"/>
      <c r="M27" s="125">
        <f>M13</f>
        <v>625.70000000000005</v>
      </c>
      <c r="N27" s="118"/>
      <c r="O27" s="116"/>
      <c r="P27" s="123"/>
    </row>
    <row r="28" spans="2:16" x14ac:dyDescent="0.3">
      <c r="B28" s="118" t="s">
        <v>381</v>
      </c>
      <c r="C28" s="116">
        <v>548.45000000000005</v>
      </c>
      <c r="D28" s="119">
        <f t="shared" si="0"/>
        <v>3.582760444209418E-2</v>
      </c>
      <c r="E28" s="33">
        <v>4.1531735751295297E-2</v>
      </c>
      <c r="F28" s="124">
        <v>22</v>
      </c>
      <c r="G28" s="33">
        <f t="shared" ca="1" si="1"/>
        <v>-1.6701790915071107E-2</v>
      </c>
      <c r="N28" s="118"/>
      <c r="O28" s="116"/>
      <c r="P28" s="123"/>
    </row>
    <row r="29" spans="2:16" ht="15" thickBot="1" x14ac:dyDescent="0.35">
      <c r="B29" s="118" t="s">
        <v>382</v>
      </c>
      <c r="C29" s="116">
        <v>529.48</v>
      </c>
      <c r="D29" s="119">
        <f t="shared" si="0"/>
        <v>4.4689540871692746E-2</v>
      </c>
      <c r="E29" s="33">
        <v>4.1019997015370853E-2</v>
      </c>
      <c r="F29" s="124">
        <v>23</v>
      </c>
      <c r="G29" s="33">
        <f t="shared" ca="1" si="1"/>
        <v>1.6264428327994622E-2</v>
      </c>
      <c r="N29" s="118"/>
      <c r="O29" s="116"/>
      <c r="P29" s="123"/>
    </row>
    <row r="30" spans="2:16" ht="15" thickBot="1" x14ac:dyDescent="0.35">
      <c r="B30" s="118" t="s">
        <v>383</v>
      </c>
      <c r="C30" s="116">
        <v>506.83</v>
      </c>
      <c r="D30" s="119">
        <f t="shared" si="0"/>
        <v>9.5209640474055827E-3</v>
      </c>
      <c r="E30" s="33">
        <v>4.0567756785268964E-2</v>
      </c>
      <c r="F30" s="124">
        <v>24</v>
      </c>
      <c r="G30" s="33">
        <f t="shared" ca="1" si="1"/>
        <v>4.2101088517932608E-2</v>
      </c>
      <c r="I30" s="130" t="s">
        <v>1579</v>
      </c>
      <c r="J30" s="138" t="s">
        <v>1585</v>
      </c>
      <c r="K30" s="139" t="s">
        <v>1580</v>
      </c>
      <c r="L30" s="138" t="s">
        <v>1582</v>
      </c>
      <c r="M30" s="138" t="s">
        <v>1584</v>
      </c>
      <c r="N30" s="118"/>
      <c r="O30" s="116"/>
      <c r="P30" s="123"/>
    </row>
    <row r="31" spans="2:16" x14ac:dyDescent="0.3">
      <c r="B31" s="118" t="s">
        <v>384</v>
      </c>
      <c r="C31" s="116">
        <v>502.05</v>
      </c>
      <c r="D31" s="119">
        <f t="shared" si="0"/>
        <v>7.1819768491583925E-3</v>
      </c>
      <c r="E31" s="33">
        <v>4.0533233895777024E-2</v>
      </c>
      <c r="F31" s="124">
        <v>25</v>
      </c>
      <c r="G31" s="33">
        <f t="shared" ca="1" si="1"/>
        <v>5.9630188809789205E-3</v>
      </c>
      <c r="I31" s="131">
        <v>0.05</v>
      </c>
      <c r="J31" s="131">
        <f>100%-I31</f>
        <v>0.95</v>
      </c>
      <c r="K31" s="132">
        <f ca="1">_xlfn.PERCENTILE.INC($G$7:$G$5006,I31)</f>
        <v>-4.7508454331646861E-2</v>
      </c>
      <c r="L31" s="136">
        <f ca="1">$M$27*(1-K31)</f>
        <v>655.42603987531152</v>
      </c>
      <c r="M31" s="136">
        <f ca="1">$M$27-L31</f>
        <v>-29.726039875311471</v>
      </c>
      <c r="N31" s="118"/>
      <c r="O31" s="116"/>
      <c r="P31" s="123"/>
    </row>
    <row r="32" spans="2:16" x14ac:dyDescent="0.3">
      <c r="B32" s="118" t="s">
        <v>385</v>
      </c>
      <c r="C32" s="116">
        <v>498.47</v>
      </c>
      <c r="D32" s="119">
        <f t="shared" si="0"/>
        <v>-1.4355486128962076E-2</v>
      </c>
      <c r="E32" s="33">
        <v>3.9786129894637694E-2</v>
      </c>
      <c r="F32" s="124">
        <v>26</v>
      </c>
      <c r="G32" s="33">
        <f t="shared" ca="1" si="1"/>
        <v>1.5324933025933921E-2</v>
      </c>
      <c r="I32" s="133">
        <v>0.01</v>
      </c>
      <c r="J32" s="133">
        <f t="shared" ref="J32:J33" si="5">100%-I32</f>
        <v>0.99</v>
      </c>
      <c r="K32" s="134">
        <f t="shared" ref="K32:K33" ca="1" si="6">_xlfn.PERCENTILE.INC($G$7:$G$5006,I32)</f>
        <v>-6.623703710578549E-2</v>
      </c>
      <c r="L32" s="137">
        <f t="shared" ref="L32:L33" ca="1" si="7">$M$27*(1-K32)</f>
        <v>667.14451411709001</v>
      </c>
      <c r="M32" s="137">
        <f t="shared" ref="M32:M33" ca="1" si="8">$M$27-L32</f>
        <v>-41.444514117089966</v>
      </c>
      <c r="N32" s="118"/>
      <c r="O32" s="116"/>
      <c r="P32" s="123"/>
    </row>
    <row r="33" spans="2:16" x14ac:dyDescent="0.3">
      <c r="B33" s="118" t="s">
        <v>386</v>
      </c>
      <c r="C33" s="116">
        <v>505.73</v>
      </c>
      <c r="D33" s="119">
        <f t="shared" si="0"/>
        <v>-2.9159947784688518E-2</v>
      </c>
      <c r="E33" s="33">
        <v>3.906103286384973E-2</v>
      </c>
      <c r="F33" s="124">
        <v>27</v>
      </c>
      <c r="G33" s="33">
        <f t="shared" ca="1" si="1"/>
        <v>1.3058016958095154E-2</v>
      </c>
      <c r="I33" s="133">
        <v>5.0000000000000001E-3</v>
      </c>
      <c r="J33" s="133">
        <f t="shared" si="5"/>
        <v>0.995</v>
      </c>
      <c r="K33" s="134">
        <f t="shared" ca="1" si="6"/>
        <v>-7.3591729448941601E-2</v>
      </c>
      <c r="L33" s="137">
        <f t="shared" ca="1" si="7"/>
        <v>671.74634511620286</v>
      </c>
      <c r="M33" s="137">
        <f t="shared" ca="1" si="8"/>
        <v>-46.046345116202815</v>
      </c>
      <c r="N33" s="118"/>
      <c r="O33" s="116"/>
      <c r="P33" s="123"/>
    </row>
    <row r="34" spans="2:16" x14ac:dyDescent="0.3">
      <c r="B34" s="118" t="s">
        <v>387</v>
      </c>
      <c r="C34" s="116">
        <v>520.91999999999996</v>
      </c>
      <c r="D34" s="119">
        <f t="shared" si="0"/>
        <v>4.5123221103781823E-3</v>
      </c>
      <c r="E34" s="33">
        <v>3.8873485510273677E-2</v>
      </c>
      <c r="F34" s="124">
        <v>28</v>
      </c>
      <c r="G34" s="33">
        <f t="shared" ca="1" si="1"/>
        <v>5.6836079221835529E-3</v>
      </c>
      <c r="N34" s="118"/>
      <c r="O34" s="116"/>
      <c r="P34" s="123"/>
    </row>
    <row r="35" spans="2:16" x14ac:dyDescent="0.3">
      <c r="B35" s="118" t="s">
        <v>388</v>
      </c>
      <c r="C35" s="116">
        <v>518.58000000000004</v>
      </c>
      <c r="D35" s="119">
        <f t="shared" si="0"/>
        <v>-1.0909784474537314E-2</v>
      </c>
      <c r="E35" s="33">
        <v>3.883350445467481E-2</v>
      </c>
      <c r="F35" s="124">
        <v>29</v>
      </c>
      <c r="G35" s="33">
        <f t="shared" ca="1" si="1"/>
        <v>2.7332458400861962E-2</v>
      </c>
      <c r="N35" s="118"/>
      <c r="O35" s="116"/>
      <c r="P35" s="123"/>
    </row>
    <row r="36" spans="2:16" x14ac:dyDescent="0.3">
      <c r="B36" s="118" t="s">
        <v>389</v>
      </c>
      <c r="C36" s="116">
        <v>524.29999999999995</v>
      </c>
      <c r="D36" s="119">
        <f t="shared" si="0"/>
        <v>-1.6267332120006889E-2</v>
      </c>
      <c r="E36" s="33">
        <v>3.8191237299706804E-2</v>
      </c>
      <c r="F36" s="124">
        <v>30</v>
      </c>
      <c r="G36" s="33">
        <f t="shared" ca="1" si="1"/>
        <v>1.962503121580585E-2</v>
      </c>
      <c r="N36" s="118"/>
      <c r="O36" s="116"/>
      <c r="P36" s="123"/>
    </row>
    <row r="37" spans="2:16" x14ac:dyDescent="0.3">
      <c r="B37" s="118" t="s">
        <v>390</v>
      </c>
      <c r="C37" s="116">
        <v>532.97</v>
      </c>
      <c r="D37" s="119">
        <f t="shared" si="0"/>
        <v>-1.0801982219417467E-2</v>
      </c>
      <c r="E37" s="33">
        <v>3.8082065467957539E-2</v>
      </c>
      <c r="F37" s="124">
        <v>31</v>
      </c>
      <c r="G37" s="33">
        <f t="shared" ca="1" si="1"/>
        <v>2.0871604162854961E-2</v>
      </c>
      <c r="N37" s="118"/>
      <c r="O37" s="116"/>
      <c r="P37" s="123"/>
    </row>
    <row r="38" spans="2:16" x14ac:dyDescent="0.3">
      <c r="B38" s="118" t="s">
        <v>391</v>
      </c>
      <c r="C38" s="116">
        <v>538.79</v>
      </c>
      <c r="D38" s="119">
        <f t="shared" si="0"/>
        <v>1.0825109751979254E-2</v>
      </c>
      <c r="E38" s="33">
        <v>3.582760444209418E-2</v>
      </c>
      <c r="F38" s="124">
        <v>32</v>
      </c>
      <c r="G38" s="33">
        <f t="shared" ca="1" si="1"/>
        <v>-3.7664052188424113E-2</v>
      </c>
      <c r="N38" s="118"/>
      <c r="O38" s="116"/>
      <c r="P38" s="123"/>
    </row>
    <row r="39" spans="2:16" x14ac:dyDescent="0.3">
      <c r="B39" s="118" t="s">
        <v>392</v>
      </c>
      <c r="C39" s="116">
        <v>533.02</v>
      </c>
      <c r="D39" s="119">
        <f t="shared" ref="D39:D59" si="9">(C39-C40)/C40</f>
        <v>-1.6894758198384242E-2</v>
      </c>
      <c r="E39" s="33">
        <v>3.5006909258406216E-2</v>
      </c>
      <c r="F39" s="124">
        <v>33</v>
      </c>
      <c r="G39" s="33">
        <f t="shared" ca="1" si="1"/>
        <v>-9.0308609404871204E-3</v>
      </c>
      <c r="N39" s="118"/>
      <c r="O39" s="116"/>
      <c r="P39" s="123"/>
    </row>
    <row r="40" spans="2:16" x14ac:dyDescent="0.3">
      <c r="B40" s="118" t="s">
        <v>393</v>
      </c>
      <c r="C40" s="116">
        <v>542.17999999999995</v>
      </c>
      <c r="D40" s="119">
        <f t="shared" si="9"/>
        <v>9.834233563047072E-3</v>
      </c>
      <c r="E40" s="33">
        <v>3.4022394487510835E-2</v>
      </c>
      <c r="F40" s="124">
        <v>34</v>
      </c>
      <c r="G40" s="33">
        <f t="shared" ca="1" si="1"/>
        <v>4.2241192071206288E-2</v>
      </c>
      <c r="N40" s="118"/>
      <c r="O40" s="116"/>
      <c r="P40" s="123"/>
    </row>
    <row r="41" spans="2:16" x14ac:dyDescent="0.3">
      <c r="B41" s="118" t="s">
        <v>394</v>
      </c>
      <c r="C41" s="116">
        <v>536.9</v>
      </c>
      <c r="D41" s="119">
        <f t="shared" si="9"/>
        <v>-1.0012354101746286E-2</v>
      </c>
      <c r="E41" s="33">
        <v>3.3513111400409114E-2</v>
      </c>
      <c r="F41" s="124">
        <v>35</v>
      </c>
      <c r="G41" s="33">
        <f t="shared" ca="1" si="1"/>
        <v>-3.1817955302601654E-2</v>
      </c>
      <c r="N41" s="118"/>
      <c r="O41" s="116"/>
      <c r="P41" s="123"/>
    </row>
    <row r="42" spans="2:16" x14ac:dyDescent="0.3">
      <c r="B42" s="118" t="s">
        <v>395</v>
      </c>
      <c r="C42" s="116">
        <v>542.33000000000004</v>
      </c>
      <c r="D42" s="119">
        <f t="shared" si="9"/>
        <v>2.4559348610507622E-2</v>
      </c>
      <c r="E42" s="33">
        <v>3.2662799786087444E-2</v>
      </c>
      <c r="F42" s="124">
        <v>36</v>
      </c>
      <c r="G42" s="33">
        <f t="shared" ca="1" si="1"/>
        <v>1.3428277687851816E-2</v>
      </c>
      <c r="N42" s="118"/>
      <c r="O42" s="116"/>
      <c r="P42" s="123"/>
    </row>
    <row r="43" spans="2:16" x14ac:dyDescent="0.3">
      <c r="B43" s="118" t="s">
        <v>396</v>
      </c>
      <c r="C43" s="116">
        <v>529.33000000000004</v>
      </c>
      <c r="D43" s="119">
        <f t="shared" si="9"/>
        <v>-1.9741106316783583E-2</v>
      </c>
      <c r="E43" s="33">
        <v>3.0790124457777596E-2</v>
      </c>
      <c r="F43" s="124">
        <v>37</v>
      </c>
      <c r="G43" s="33">
        <f t="shared" ca="1" si="1"/>
        <v>-3.294605577186087E-3</v>
      </c>
      <c r="N43" s="118"/>
      <c r="O43" s="116"/>
      <c r="P43" s="123"/>
    </row>
    <row r="44" spans="2:16" x14ac:dyDescent="0.3">
      <c r="B44" s="118" t="s">
        <v>397</v>
      </c>
      <c r="C44" s="116">
        <v>539.99</v>
      </c>
      <c r="D44" s="119">
        <f t="shared" si="9"/>
        <v>-1.3464630225080394E-2</v>
      </c>
      <c r="E44" s="33">
        <v>2.9001561762248988E-2</v>
      </c>
      <c r="F44" s="124">
        <v>38</v>
      </c>
      <c r="G44" s="33">
        <f t="shared" ca="1" si="1"/>
        <v>4.7182432539162211E-2</v>
      </c>
      <c r="N44" s="118"/>
      <c r="O44" s="116"/>
      <c r="P44" s="123"/>
    </row>
    <row r="45" spans="2:16" x14ac:dyDescent="0.3">
      <c r="B45" s="118" t="s">
        <v>398</v>
      </c>
      <c r="C45" s="116">
        <v>547.36</v>
      </c>
      <c r="D45" s="119">
        <f t="shared" si="9"/>
        <v>-3.3991034555786934E-2</v>
      </c>
      <c r="E45" s="33">
        <v>2.7838581130381089E-2</v>
      </c>
      <c r="F45" s="124">
        <v>39</v>
      </c>
      <c r="G45" s="33">
        <f t="shared" ca="1" si="1"/>
        <v>4.1420033547522918E-2</v>
      </c>
      <c r="N45" s="118"/>
      <c r="O45" s="116"/>
      <c r="P45" s="123"/>
    </row>
    <row r="46" spans="2:16" x14ac:dyDescent="0.3">
      <c r="B46" s="118" t="s">
        <v>399</v>
      </c>
      <c r="C46" s="116">
        <v>566.62</v>
      </c>
      <c r="D46" s="119">
        <f t="shared" si="9"/>
        <v>2.1268159042572281E-2</v>
      </c>
      <c r="E46" s="33">
        <v>2.6722023023211867E-2</v>
      </c>
      <c r="F46" s="124">
        <v>40</v>
      </c>
      <c r="G46" s="33">
        <f t="shared" ca="1" si="1"/>
        <v>1.4970830778867052E-2</v>
      </c>
      <c r="N46" s="118"/>
      <c r="O46" s="116"/>
      <c r="P46" s="123"/>
    </row>
    <row r="47" spans="2:16" x14ac:dyDescent="0.3">
      <c r="B47" s="118" t="s">
        <v>400</v>
      </c>
      <c r="C47" s="116">
        <v>554.82000000000005</v>
      </c>
      <c r="D47" s="119">
        <f t="shared" si="9"/>
        <v>5.2709471766848981E-2</v>
      </c>
      <c r="E47" s="33">
        <v>2.6429417789649082E-2</v>
      </c>
      <c r="F47" s="124">
        <v>41</v>
      </c>
      <c r="G47" s="33">
        <f t="shared" ca="1" si="1"/>
        <v>1.6653532363386601E-2</v>
      </c>
      <c r="N47" s="118"/>
      <c r="O47" s="116"/>
      <c r="P47" s="123"/>
    </row>
    <row r="48" spans="2:16" x14ac:dyDescent="0.3">
      <c r="B48" s="118" t="s">
        <v>401</v>
      </c>
      <c r="C48" s="116">
        <v>527.04</v>
      </c>
      <c r="D48" s="119">
        <f t="shared" si="9"/>
        <v>-1.9278005210271704E-2</v>
      </c>
      <c r="E48" s="33">
        <v>2.5861751152073682E-2</v>
      </c>
      <c r="F48" s="124">
        <v>42</v>
      </c>
      <c r="G48" s="33">
        <f t="shared" ca="1" si="1"/>
        <v>-2.4655823334906884E-2</v>
      </c>
      <c r="N48" s="118"/>
      <c r="O48" s="116"/>
      <c r="P48" s="123"/>
    </row>
    <row r="49" spans="2:16" x14ac:dyDescent="0.3">
      <c r="B49" s="118" t="s">
        <v>402</v>
      </c>
      <c r="C49" s="116">
        <v>537.4</v>
      </c>
      <c r="D49" s="119">
        <f t="shared" si="9"/>
        <v>-1.4252435020268874E-2</v>
      </c>
      <c r="E49" s="33">
        <v>2.5751908991740742E-2</v>
      </c>
      <c r="F49" s="124">
        <v>43</v>
      </c>
      <c r="G49" s="33">
        <f t="shared" ca="1" si="1"/>
        <v>-4.1185669750302786E-2</v>
      </c>
      <c r="N49" s="118"/>
      <c r="O49" s="116"/>
      <c r="P49" s="123"/>
    </row>
    <row r="50" spans="2:16" x14ac:dyDescent="0.3">
      <c r="B50" s="118" t="s">
        <v>403</v>
      </c>
      <c r="C50" s="116">
        <v>545.16999999999996</v>
      </c>
      <c r="D50" s="119">
        <f t="shared" si="9"/>
        <v>1.1747457501298951E-2</v>
      </c>
      <c r="E50" s="33">
        <v>2.5605214152700187E-2</v>
      </c>
      <c r="F50" s="124">
        <v>44</v>
      </c>
      <c r="G50" s="33">
        <f t="shared" ca="1" si="1"/>
        <v>-2.1071438161083854E-3</v>
      </c>
      <c r="N50" s="118"/>
      <c r="O50" s="116"/>
      <c r="P50" s="123"/>
    </row>
    <row r="51" spans="2:16" x14ac:dyDescent="0.3">
      <c r="B51" s="118" t="s">
        <v>404</v>
      </c>
      <c r="C51" s="116">
        <v>538.84</v>
      </c>
      <c r="D51" s="119">
        <f t="shared" si="9"/>
        <v>7.0646282659890232E-3</v>
      </c>
      <c r="E51" s="33">
        <v>2.4992023822184451E-2</v>
      </c>
      <c r="F51" s="124">
        <v>45</v>
      </c>
      <c r="G51" s="33">
        <f t="shared" ca="1" si="1"/>
        <v>-2.9925665155141456E-2</v>
      </c>
      <c r="N51" s="118"/>
      <c r="O51" s="116"/>
      <c r="P51" s="123"/>
    </row>
    <row r="52" spans="2:16" x14ac:dyDescent="0.3">
      <c r="B52" s="118" t="s">
        <v>405</v>
      </c>
      <c r="C52" s="116">
        <v>535.05999999999995</v>
      </c>
      <c r="D52" s="119">
        <f t="shared" si="9"/>
        <v>-6.1851074499898609E-3</v>
      </c>
      <c r="E52" s="33">
        <v>2.484676007005255E-2</v>
      </c>
      <c r="F52" s="124">
        <v>46</v>
      </c>
      <c r="G52" s="33">
        <f t="shared" ca="1" si="1"/>
        <v>7.6007162060473515E-3</v>
      </c>
      <c r="N52" s="118"/>
      <c r="O52" s="116"/>
      <c r="P52" s="123"/>
    </row>
    <row r="53" spans="2:16" x14ac:dyDescent="0.3">
      <c r="B53" s="118" t="s">
        <v>406</v>
      </c>
      <c r="C53" s="116">
        <v>538.39</v>
      </c>
      <c r="D53" s="119">
        <f t="shared" si="9"/>
        <v>1.9021841995684508E-2</v>
      </c>
      <c r="E53" s="33">
        <v>2.4559348610507622E-2</v>
      </c>
      <c r="F53" s="124">
        <v>47</v>
      </c>
      <c r="G53" s="33">
        <f t="shared" ca="1" si="1"/>
        <v>1.6849035150475658E-2</v>
      </c>
      <c r="N53" s="118"/>
      <c r="O53" s="116"/>
      <c r="P53" s="123"/>
    </row>
    <row r="54" spans="2:16" x14ac:dyDescent="0.3">
      <c r="B54" s="118" t="s">
        <v>407</v>
      </c>
      <c r="C54" s="116">
        <v>528.34</v>
      </c>
      <c r="D54" s="119">
        <f t="shared" si="9"/>
        <v>-4.0153071804248973E-3</v>
      </c>
      <c r="E54" s="33">
        <v>2.4526934535791776E-2</v>
      </c>
      <c r="F54" s="124">
        <v>48</v>
      </c>
      <c r="G54" s="33">
        <f t="shared" ca="1" si="1"/>
        <v>-3.9037918676675602E-2</v>
      </c>
      <c r="N54" s="118"/>
      <c r="O54" s="116"/>
      <c r="P54" s="123"/>
    </row>
    <row r="55" spans="2:16" x14ac:dyDescent="0.3">
      <c r="B55" s="118" t="s">
        <v>408</v>
      </c>
      <c r="C55" s="116">
        <v>530.47</v>
      </c>
      <c r="D55" s="119">
        <f t="shared" si="9"/>
        <v>2.0860997248041937E-2</v>
      </c>
      <c r="E55" s="33">
        <v>2.4353293186380364E-2</v>
      </c>
      <c r="F55" s="124">
        <v>49</v>
      </c>
      <c r="G55" s="33">
        <f t="shared" ca="1" si="1"/>
        <v>3.7100929823859471E-2</v>
      </c>
      <c r="N55" s="118"/>
      <c r="O55" s="116"/>
      <c r="P55" s="123"/>
    </row>
    <row r="56" spans="2:16" x14ac:dyDescent="0.3">
      <c r="B56" s="118" t="s">
        <v>409</v>
      </c>
      <c r="C56" s="116">
        <v>519.63</v>
      </c>
      <c r="D56" s="119">
        <f t="shared" si="9"/>
        <v>-4.8088020312379783E-4</v>
      </c>
      <c r="E56" s="33">
        <v>2.3485613576506491E-2</v>
      </c>
      <c r="F56" s="124">
        <v>50</v>
      </c>
      <c r="G56" s="33">
        <f t="shared" ca="1" si="1"/>
        <v>-1.1309144935278539E-2</v>
      </c>
      <c r="N56" s="118"/>
      <c r="O56" s="116"/>
      <c r="P56" s="123"/>
    </row>
    <row r="57" spans="2:16" x14ac:dyDescent="0.3">
      <c r="B57" s="118" t="s">
        <v>410</v>
      </c>
      <c r="C57" s="116">
        <v>519.88</v>
      </c>
      <c r="D57" s="119">
        <f t="shared" si="9"/>
        <v>-2.6058937035163585E-2</v>
      </c>
      <c r="E57" s="33">
        <v>2.3201465749326893E-2</v>
      </c>
      <c r="F57" s="124">
        <v>51</v>
      </c>
      <c r="G57" s="33">
        <f t="shared" ca="1" si="1"/>
        <v>3.2427961639773475E-2</v>
      </c>
      <c r="N57" s="118"/>
      <c r="O57" s="116"/>
      <c r="P57" s="123"/>
    </row>
    <row r="58" spans="2:16" x14ac:dyDescent="0.3">
      <c r="B58" s="118" t="s">
        <v>411</v>
      </c>
      <c r="C58" s="116">
        <v>533.79</v>
      </c>
      <c r="D58" s="119">
        <f t="shared" si="9"/>
        <v>-1.5183941551972287E-2</v>
      </c>
      <c r="E58" s="33">
        <v>2.2893226649114497E-2</v>
      </c>
      <c r="F58" s="124">
        <v>52</v>
      </c>
      <c r="G58" s="33">
        <f t="shared" ca="1" si="1"/>
        <v>1.7707147893310418E-2</v>
      </c>
      <c r="N58" s="118"/>
      <c r="O58" s="116"/>
      <c r="P58" s="123"/>
    </row>
    <row r="59" spans="2:16" x14ac:dyDescent="0.3">
      <c r="B59" s="118" t="s">
        <v>412</v>
      </c>
      <c r="C59" s="116">
        <v>542.02</v>
      </c>
      <c r="D59" s="119">
        <f t="shared" si="9"/>
        <v>-8.0524138940741147E-3</v>
      </c>
      <c r="E59" s="33">
        <v>2.2153310252543502E-2</v>
      </c>
      <c r="F59" s="124">
        <v>53</v>
      </c>
      <c r="G59" s="33">
        <f t="shared" ca="1" si="1"/>
        <v>-2.5655200223725857E-2</v>
      </c>
      <c r="N59" s="118"/>
      <c r="O59" s="116"/>
      <c r="P59" s="123"/>
    </row>
    <row r="60" spans="2:16" x14ac:dyDescent="0.3">
      <c r="B60" s="118" t="s">
        <v>413</v>
      </c>
      <c r="C60" s="116">
        <v>546.41999999999996</v>
      </c>
      <c r="D60" s="119">
        <f t="shared" ref="D60:D123" si="10">(C60-C61)/C61</f>
        <v>-1.7283240112943573E-2</v>
      </c>
      <c r="E60" s="33">
        <v>2.1268159042572281E-2</v>
      </c>
      <c r="F60" s="124">
        <v>54</v>
      </c>
      <c r="G60" s="33">
        <f t="shared" ca="1" si="1"/>
        <v>-3.307903687381309E-3</v>
      </c>
      <c r="N60" s="118"/>
      <c r="O60" s="116"/>
      <c r="P60" s="123"/>
    </row>
    <row r="61" spans="2:16" x14ac:dyDescent="0.3">
      <c r="B61" s="118" t="s">
        <v>418</v>
      </c>
      <c r="C61" s="116">
        <v>556.03</v>
      </c>
      <c r="D61" s="119">
        <f t="shared" si="10"/>
        <v>-7.4260518752567546E-3</v>
      </c>
      <c r="E61" s="33">
        <v>2.1040124303080141E-2</v>
      </c>
      <c r="F61" s="124">
        <v>55</v>
      </c>
      <c r="G61" s="33">
        <f t="shared" ca="1" si="1"/>
        <v>-3.6194561344004665E-2</v>
      </c>
      <c r="N61" s="118"/>
      <c r="O61" s="116"/>
      <c r="P61" s="123"/>
    </row>
    <row r="62" spans="2:16" x14ac:dyDescent="0.3">
      <c r="B62" s="118" t="s">
        <v>419</v>
      </c>
      <c r="C62" s="116">
        <v>560.19000000000005</v>
      </c>
      <c r="D62" s="119">
        <f t="shared" si="10"/>
        <v>-2.8302894371460682E-3</v>
      </c>
      <c r="E62" s="33">
        <v>2.0860997248041937E-2</v>
      </c>
      <c r="F62" s="124">
        <v>56</v>
      </c>
      <c r="G62" s="33">
        <f t="shared" ca="1" si="1"/>
        <v>2.1868334439161981E-2</v>
      </c>
      <c r="N62" s="118"/>
      <c r="O62" s="116"/>
      <c r="P62" s="123"/>
    </row>
    <row r="63" spans="2:16" x14ac:dyDescent="0.3">
      <c r="B63" s="118" t="s">
        <v>420</v>
      </c>
      <c r="C63" s="116">
        <v>561.78</v>
      </c>
      <c r="D63" s="119">
        <f t="shared" si="10"/>
        <v>2.484676007005255E-2</v>
      </c>
      <c r="E63" s="33">
        <v>1.9021841995684508E-2</v>
      </c>
      <c r="F63" s="124">
        <v>57</v>
      </c>
      <c r="G63" s="33">
        <f t="shared" ca="1" si="1"/>
        <v>5.0975027356630481E-2</v>
      </c>
      <c r="N63" s="118"/>
      <c r="O63" s="116"/>
      <c r="P63" s="123"/>
    </row>
    <row r="64" spans="2:16" x14ac:dyDescent="0.3">
      <c r="B64" s="118" t="s">
        <v>421</v>
      </c>
      <c r="C64" s="116">
        <v>548.16</v>
      </c>
      <c r="D64" s="119">
        <f t="shared" si="10"/>
        <v>-8.4115699788353641E-3</v>
      </c>
      <c r="E64" s="33">
        <v>1.847378144095491E-2</v>
      </c>
      <c r="F64" s="124">
        <v>58</v>
      </c>
      <c r="G64" s="33">
        <f t="shared" ca="1" si="1"/>
        <v>6.7239348521408214E-3</v>
      </c>
      <c r="N64" s="118"/>
      <c r="O64" s="116"/>
      <c r="P64" s="123"/>
    </row>
    <row r="65" spans="2:16" x14ac:dyDescent="0.3">
      <c r="B65" s="118" t="s">
        <v>422</v>
      </c>
      <c r="C65" s="116">
        <v>552.80999999999995</v>
      </c>
      <c r="D65" s="119">
        <f t="shared" si="10"/>
        <v>-1.3174101644085235E-2</v>
      </c>
      <c r="E65" s="33">
        <v>1.8270944741533006E-2</v>
      </c>
      <c r="F65" s="124">
        <v>59</v>
      </c>
      <c r="G65" s="33">
        <f t="shared" ca="1" si="1"/>
        <v>-5.0708165096984718E-2</v>
      </c>
      <c r="N65" s="118"/>
      <c r="O65" s="116"/>
      <c r="P65" s="123"/>
    </row>
    <row r="66" spans="2:16" x14ac:dyDescent="0.3">
      <c r="B66" s="118" t="s">
        <v>423</v>
      </c>
      <c r="C66" s="116">
        <v>560.19000000000005</v>
      </c>
      <c r="D66" s="119">
        <f t="shared" si="10"/>
        <v>4.1586749601162454E-3</v>
      </c>
      <c r="E66" s="33">
        <v>1.8231959552627609E-2</v>
      </c>
      <c r="F66" s="124">
        <v>60</v>
      </c>
      <c r="G66" s="33">
        <f t="shared" ca="1" si="1"/>
        <v>-5.2573641203578986E-3</v>
      </c>
      <c r="N66" s="118"/>
      <c r="O66" s="116"/>
      <c r="P66" s="123"/>
    </row>
    <row r="67" spans="2:16" x14ac:dyDescent="0.3">
      <c r="B67" s="118" t="s">
        <v>424</v>
      </c>
      <c r="C67" s="116">
        <v>557.87</v>
      </c>
      <c r="D67" s="119">
        <f t="shared" si="10"/>
        <v>-1.1482236200939164E-2</v>
      </c>
      <c r="E67" s="33">
        <v>1.7892470106269213E-2</v>
      </c>
      <c r="F67" s="124">
        <v>61</v>
      </c>
      <c r="G67" s="33">
        <f t="shared" ca="1" si="1"/>
        <v>-3.4749097337908579E-3</v>
      </c>
      <c r="N67" s="118"/>
      <c r="O67" s="116"/>
      <c r="P67" s="123"/>
    </row>
    <row r="68" spans="2:16" x14ac:dyDescent="0.3">
      <c r="B68" s="118" t="s">
        <v>425</v>
      </c>
      <c r="C68" s="116">
        <v>564.35</v>
      </c>
      <c r="D68" s="119">
        <f t="shared" si="10"/>
        <v>-2.0633763709565434E-2</v>
      </c>
      <c r="E68" s="33">
        <v>1.7030929319842871E-2</v>
      </c>
      <c r="F68" s="124">
        <v>62</v>
      </c>
      <c r="G68" s="33">
        <f t="shared" ca="1" si="1"/>
        <v>-1.715918912622853E-3</v>
      </c>
      <c r="N68" s="118"/>
      <c r="O68" s="116"/>
      <c r="P68" s="123"/>
    </row>
    <row r="69" spans="2:16" x14ac:dyDescent="0.3">
      <c r="B69" s="118" t="s">
        <v>426</v>
      </c>
      <c r="C69" s="116">
        <v>576.24</v>
      </c>
      <c r="D69" s="119">
        <f t="shared" si="10"/>
        <v>3.4022394487510835E-2</v>
      </c>
      <c r="E69" s="33">
        <v>1.696756044582147E-2</v>
      </c>
      <c r="F69" s="124">
        <v>63</v>
      </c>
      <c r="G69" s="33">
        <f t="shared" ca="1" si="1"/>
        <v>1.5233029592911836E-2</v>
      </c>
      <c r="N69" s="118"/>
      <c r="O69" s="116"/>
      <c r="P69" s="123"/>
    </row>
    <row r="70" spans="2:16" x14ac:dyDescent="0.3">
      <c r="B70" s="118" t="s">
        <v>427</v>
      </c>
      <c r="C70" s="116">
        <v>557.28</v>
      </c>
      <c r="D70" s="119">
        <f t="shared" si="10"/>
        <v>-3.631458808881511E-2</v>
      </c>
      <c r="E70" s="33">
        <v>1.671282031280481E-2</v>
      </c>
      <c r="F70" s="124">
        <v>64</v>
      </c>
      <c r="G70" s="33">
        <f t="shared" ca="1" si="1"/>
        <v>5.9316074087408376E-2</v>
      </c>
      <c r="N70" s="118"/>
      <c r="O70" s="116"/>
      <c r="P70" s="123"/>
    </row>
    <row r="71" spans="2:16" x14ac:dyDescent="0.3">
      <c r="B71" s="118" t="s">
        <v>428</v>
      </c>
      <c r="C71" s="116">
        <v>578.28</v>
      </c>
      <c r="D71" s="119">
        <f t="shared" si="10"/>
        <v>2.4992023822184451E-2</v>
      </c>
      <c r="E71" s="33">
        <v>1.5844504528351823E-2</v>
      </c>
      <c r="F71" s="124">
        <v>65</v>
      </c>
      <c r="G71" s="33">
        <f t="shared" ca="1" si="1"/>
        <v>-1.8249374470017121E-2</v>
      </c>
      <c r="N71" s="118"/>
      <c r="O71" s="116"/>
      <c r="P71" s="123"/>
    </row>
    <row r="72" spans="2:16" x14ac:dyDescent="0.3">
      <c r="B72" s="118" t="s">
        <v>429</v>
      </c>
      <c r="C72" s="116">
        <v>564.17999999999995</v>
      </c>
      <c r="D72" s="119">
        <f t="shared" si="10"/>
        <v>-1.3099199886709785E-3</v>
      </c>
      <c r="E72" s="33">
        <v>1.5762087432108992E-2</v>
      </c>
      <c r="F72" s="124">
        <v>66</v>
      </c>
      <c r="G72" s="33">
        <f t="shared" ref="G72:G135" ca="1" si="11">_xlfn.NORM.INV(RAND(),$M$9,$M$10)</f>
        <v>-4.1319062616918784E-2</v>
      </c>
      <c r="N72" s="118"/>
      <c r="O72" s="116"/>
      <c r="P72" s="123"/>
    </row>
    <row r="73" spans="2:16" x14ac:dyDescent="0.3">
      <c r="B73" s="118" t="s">
        <v>430</v>
      </c>
      <c r="C73" s="116">
        <v>564.91999999999996</v>
      </c>
      <c r="D73" s="119">
        <f t="shared" si="10"/>
        <v>1.7030929319842871E-2</v>
      </c>
      <c r="E73" s="33">
        <v>1.520887147056213E-2</v>
      </c>
      <c r="F73" s="124">
        <v>67</v>
      </c>
      <c r="G73" s="33">
        <f t="shared" ca="1" si="11"/>
        <v>1.6398730096866529E-2</v>
      </c>
      <c r="N73" s="118"/>
      <c r="O73" s="116"/>
      <c r="P73" s="123"/>
    </row>
    <row r="74" spans="2:16" x14ac:dyDescent="0.3">
      <c r="B74" s="118" t="s">
        <v>431</v>
      </c>
      <c r="C74" s="116">
        <v>555.46</v>
      </c>
      <c r="D74" s="119">
        <f t="shared" si="10"/>
        <v>-1.3217267720731819E-2</v>
      </c>
      <c r="E74" s="33">
        <v>1.4774329361324265E-2</v>
      </c>
      <c r="F74" s="124">
        <v>68</v>
      </c>
      <c r="G74" s="33">
        <f t="shared" ca="1" si="11"/>
        <v>3.6513123043335753E-2</v>
      </c>
      <c r="N74" s="118"/>
      <c r="O74" s="116"/>
      <c r="P74" s="123"/>
    </row>
    <row r="75" spans="2:16" x14ac:dyDescent="0.3">
      <c r="B75" s="118" t="s">
        <v>432</v>
      </c>
      <c r="C75" s="116">
        <v>562.9</v>
      </c>
      <c r="D75" s="119">
        <f t="shared" si="10"/>
        <v>3.8082065467957539E-2</v>
      </c>
      <c r="E75" s="33">
        <v>1.4662919270736935E-2</v>
      </c>
      <c r="F75" s="124">
        <v>69</v>
      </c>
      <c r="G75" s="33">
        <f t="shared" ca="1" si="11"/>
        <v>-1.2621527436400923E-2</v>
      </c>
      <c r="N75" s="118"/>
      <c r="O75" s="116"/>
      <c r="P75" s="123"/>
    </row>
    <row r="76" spans="2:16" x14ac:dyDescent="0.3">
      <c r="B76" s="118" t="s">
        <v>433</v>
      </c>
      <c r="C76" s="116">
        <v>542.25</v>
      </c>
      <c r="D76" s="119">
        <f t="shared" si="10"/>
        <v>-1.299623218478674E-2</v>
      </c>
      <c r="E76" s="33">
        <v>1.4639639639639514E-2</v>
      </c>
      <c r="F76" s="124">
        <v>70</v>
      </c>
      <c r="G76" s="33">
        <f t="shared" ca="1" si="11"/>
        <v>-3.5634343120822365E-2</v>
      </c>
      <c r="N76" s="118"/>
      <c r="O76" s="116"/>
      <c r="P76" s="123"/>
    </row>
    <row r="77" spans="2:16" x14ac:dyDescent="0.3">
      <c r="B77" s="118" t="s">
        <v>434</v>
      </c>
      <c r="C77" s="116">
        <v>549.39</v>
      </c>
      <c r="D77" s="119">
        <f t="shared" si="10"/>
        <v>2.7838581130381089E-2</v>
      </c>
      <c r="E77" s="33">
        <v>1.4567040803922359E-2</v>
      </c>
      <c r="F77" s="124">
        <v>71</v>
      </c>
      <c r="G77" s="33">
        <f t="shared" ca="1" si="11"/>
        <v>-5.7983158526445401E-3</v>
      </c>
      <c r="N77" s="118"/>
      <c r="O77" s="116"/>
      <c r="P77" s="123"/>
    </row>
    <row r="78" spans="2:16" x14ac:dyDescent="0.3">
      <c r="B78" s="118" t="s">
        <v>435</v>
      </c>
      <c r="C78" s="116">
        <v>534.51</v>
      </c>
      <c r="D78" s="119">
        <f t="shared" si="10"/>
        <v>4.4311587831897321E-2</v>
      </c>
      <c r="E78" s="33">
        <v>1.4549069221037407E-2</v>
      </c>
      <c r="F78" s="124">
        <v>72</v>
      </c>
      <c r="G78" s="33">
        <f t="shared" ca="1" si="11"/>
        <v>1.725675048975225E-2</v>
      </c>
      <c r="N78" s="118"/>
      <c r="O78" s="116"/>
      <c r="P78" s="123"/>
    </row>
    <row r="79" spans="2:16" x14ac:dyDescent="0.3">
      <c r="B79" s="118" t="s">
        <v>436</v>
      </c>
      <c r="C79" s="116">
        <v>511.83</v>
      </c>
      <c r="D79" s="119">
        <f t="shared" si="10"/>
        <v>1.4478858909389915E-3</v>
      </c>
      <c r="E79" s="33">
        <v>1.3995421870607662E-2</v>
      </c>
      <c r="F79" s="124">
        <v>73</v>
      </c>
      <c r="G79" s="33">
        <f t="shared" ca="1" si="11"/>
        <v>-2.1602631291595856E-2</v>
      </c>
      <c r="N79" s="118"/>
      <c r="O79" s="116"/>
      <c r="P79" s="123"/>
    </row>
    <row r="80" spans="2:16" x14ac:dyDescent="0.3">
      <c r="B80" s="118" t="s">
        <v>437</v>
      </c>
      <c r="C80" s="116">
        <v>511.09</v>
      </c>
      <c r="D80" s="119">
        <f t="shared" si="10"/>
        <v>2.6429417789649082E-2</v>
      </c>
      <c r="E80" s="33">
        <v>1.349680784406704E-2</v>
      </c>
      <c r="F80" s="124">
        <v>74</v>
      </c>
      <c r="G80" s="33">
        <f t="shared" ca="1" si="11"/>
        <v>-1.5942014613686468E-3</v>
      </c>
      <c r="N80" s="118"/>
      <c r="O80" s="116"/>
      <c r="P80" s="123"/>
    </row>
    <row r="81" spans="2:16" x14ac:dyDescent="0.3">
      <c r="B81" s="118" t="s">
        <v>438</v>
      </c>
      <c r="C81" s="116">
        <v>497.93</v>
      </c>
      <c r="D81" s="119">
        <f t="shared" si="10"/>
        <v>-5.235612058465295E-2</v>
      </c>
      <c r="E81" s="33">
        <v>1.285020673563575E-2</v>
      </c>
      <c r="F81" s="124">
        <v>75</v>
      </c>
      <c r="G81" s="33">
        <f t="shared" ca="1" si="11"/>
        <v>8.3145833474274379E-3</v>
      </c>
      <c r="N81" s="118"/>
      <c r="O81" s="116"/>
      <c r="P81" s="123"/>
    </row>
    <row r="82" spans="2:16" x14ac:dyDescent="0.3">
      <c r="B82" s="118" t="s">
        <v>439</v>
      </c>
      <c r="C82" s="116">
        <v>525.44000000000005</v>
      </c>
      <c r="D82" s="119">
        <f t="shared" si="10"/>
        <v>1.4774329361324265E-2</v>
      </c>
      <c r="E82" s="33">
        <v>1.2847890157598385E-2</v>
      </c>
      <c r="F82" s="124">
        <v>76</v>
      </c>
      <c r="G82" s="33">
        <f t="shared" ca="1" si="11"/>
        <v>2.1550982376269574E-2</v>
      </c>
      <c r="N82" s="118"/>
      <c r="O82" s="116"/>
      <c r="P82" s="123"/>
    </row>
    <row r="83" spans="2:16" x14ac:dyDescent="0.3">
      <c r="B83" s="118" t="s">
        <v>440</v>
      </c>
      <c r="C83" s="116">
        <v>517.79</v>
      </c>
      <c r="D83" s="119">
        <f t="shared" si="10"/>
        <v>-3.8093772245416592E-3</v>
      </c>
      <c r="E83" s="33">
        <v>1.2423789255722812E-2</v>
      </c>
      <c r="F83" s="124">
        <v>77</v>
      </c>
      <c r="G83" s="33">
        <f t="shared" ca="1" si="11"/>
        <v>4.7237207079045614E-2</v>
      </c>
      <c r="N83" s="118"/>
      <c r="O83" s="116"/>
      <c r="P83" s="123"/>
    </row>
    <row r="84" spans="2:16" x14ac:dyDescent="0.3">
      <c r="B84" s="118" t="s">
        <v>441</v>
      </c>
      <c r="C84" s="116">
        <v>519.77</v>
      </c>
      <c r="D84" s="119">
        <f t="shared" si="10"/>
        <v>2.3913756195398706E-3</v>
      </c>
      <c r="E84" s="33">
        <v>1.1747457501298951E-2</v>
      </c>
      <c r="F84" s="124">
        <v>78</v>
      </c>
      <c r="G84" s="33">
        <f t="shared" ca="1" si="11"/>
        <v>-4.5340436111498697E-2</v>
      </c>
      <c r="N84" s="118"/>
      <c r="O84" s="116"/>
      <c r="P84" s="123"/>
    </row>
    <row r="85" spans="2:16" x14ac:dyDescent="0.3">
      <c r="B85" s="118" t="s">
        <v>442</v>
      </c>
      <c r="C85" s="116">
        <v>518.53</v>
      </c>
      <c r="D85" s="119">
        <f t="shared" si="10"/>
        <v>-3.4880041692259028E-2</v>
      </c>
      <c r="E85" s="33">
        <v>1.1702284995932932E-2</v>
      </c>
      <c r="F85" s="124">
        <v>79</v>
      </c>
      <c r="G85" s="33">
        <f t="shared" ca="1" si="11"/>
        <v>1.805016591687076E-2</v>
      </c>
      <c r="N85" s="118"/>
      <c r="O85" s="116"/>
      <c r="P85" s="123"/>
    </row>
    <row r="86" spans="2:16" x14ac:dyDescent="0.3">
      <c r="B86" s="118" t="s">
        <v>443</v>
      </c>
      <c r="C86" s="116">
        <v>537.27</v>
      </c>
      <c r="D86" s="119">
        <f t="shared" si="10"/>
        <v>1.5844504528351823E-2</v>
      </c>
      <c r="E86" s="33">
        <v>1.1693108529653827E-2</v>
      </c>
      <c r="F86" s="124">
        <v>80</v>
      </c>
      <c r="G86" s="33">
        <f t="shared" ca="1" si="11"/>
        <v>2.208453360890731E-2</v>
      </c>
      <c r="N86" s="118"/>
      <c r="O86" s="116"/>
      <c r="P86" s="123"/>
    </row>
    <row r="87" spans="2:16" x14ac:dyDescent="0.3">
      <c r="B87" s="118" t="s">
        <v>444</v>
      </c>
      <c r="C87" s="116">
        <v>528.89</v>
      </c>
      <c r="D87" s="119">
        <f t="shared" si="10"/>
        <v>4.7291162227602906E-4</v>
      </c>
      <c r="E87" s="33">
        <v>1.1378796201836303E-2</v>
      </c>
      <c r="F87" s="124">
        <v>81</v>
      </c>
      <c r="G87" s="33">
        <f t="shared" ca="1" si="11"/>
        <v>-7.4628011764106992E-3</v>
      </c>
      <c r="N87" s="118"/>
      <c r="O87" s="116"/>
      <c r="P87" s="123"/>
    </row>
    <row r="88" spans="2:16" x14ac:dyDescent="0.3">
      <c r="B88" s="118" t="s">
        <v>445</v>
      </c>
      <c r="C88" s="116">
        <v>528.64</v>
      </c>
      <c r="D88" s="119">
        <f t="shared" si="10"/>
        <v>1.1693108529653827E-2</v>
      </c>
      <c r="E88" s="33">
        <v>1.1334300395839885E-2</v>
      </c>
      <c r="F88" s="124">
        <v>82</v>
      </c>
      <c r="G88" s="33">
        <f t="shared" ca="1" si="11"/>
        <v>9.093690300097948E-2</v>
      </c>
      <c r="N88" s="118"/>
      <c r="O88" s="116"/>
      <c r="P88" s="123"/>
    </row>
    <row r="89" spans="2:16" x14ac:dyDescent="0.3">
      <c r="B89" s="118" t="s">
        <v>446</v>
      </c>
      <c r="C89" s="116">
        <v>522.53</v>
      </c>
      <c r="D89" s="119">
        <f t="shared" si="10"/>
        <v>-9.0648764483889418E-3</v>
      </c>
      <c r="E89" s="33">
        <v>1.1043632987776646E-2</v>
      </c>
      <c r="F89" s="124">
        <v>83</v>
      </c>
      <c r="G89" s="33">
        <f t="shared" ca="1" si="11"/>
        <v>-4.4744398985288938E-3</v>
      </c>
      <c r="N89" s="118"/>
      <c r="O89" s="116"/>
      <c r="P89" s="123"/>
    </row>
    <row r="90" spans="2:16" x14ac:dyDescent="0.3">
      <c r="B90" s="118" t="s">
        <v>447</v>
      </c>
      <c r="C90" s="116">
        <v>527.30999999999995</v>
      </c>
      <c r="D90" s="119">
        <f t="shared" si="10"/>
        <v>-1.8960580952204689E-4</v>
      </c>
      <c r="E90" s="33">
        <v>1.0825109751979254E-2</v>
      </c>
      <c r="F90" s="124">
        <v>84</v>
      </c>
      <c r="G90" s="33">
        <f t="shared" ca="1" si="11"/>
        <v>2.0100251130694271E-2</v>
      </c>
      <c r="N90" s="118"/>
      <c r="O90" s="116"/>
      <c r="P90" s="123"/>
    </row>
    <row r="91" spans="2:16" x14ac:dyDescent="0.3">
      <c r="B91" s="118" t="s">
        <v>448</v>
      </c>
      <c r="C91" s="116">
        <v>527.41</v>
      </c>
      <c r="D91" s="119">
        <f t="shared" si="10"/>
        <v>7.5899888047660817E-4</v>
      </c>
      <c r="E91" s="33">
        <v>1.0310526421985055E-2</v>
      </c>
      <c r="F91" s="124">
        <v>85</v>
      </c>
      <c r="G91" s="33">
        <f t="shared" ca="1" si="11"/>
        <v>3.9036028126371346E-3</v>
      </c>
      <c r="N91" s="118"/>
      <c r="O91" s="116"/>
      <c r="P91" s="123"/>
    </row>
    <row r="92" spans="2:16" x14ac:dyDescent="0.3">
      <c r="B92" s="118" t="s">
        <v>449</v>
      </c>
      <c r="C92" s="116">
        <v>527.01</v>
      </c>
      <c r="D92" s="119">
        <f t="shared" si="10"/>
        <v>3.9433078066063477E-3</v>
      </c>
      <c r="E92" s="33">
        <v>1.0203046714943452E-2</v>
      </c>
      <c r="F92" s="124">
        <v>86</v>
      </c>
      <c r="G92" s="33">
        <f t="shared" ca="1" si="11"/>
        <v>-2.0510816146693173E-2</v>
      </c>
      <c r="N92" s="118"/>
      <c r="O92" s="116"/>
      <c r="P92" s="123"/>
    </row>
    <row r="93" spans="2:16" x14ac:dyDescent="0.3">
      <c r="B93" s="118" t="s">
        <v>450</v>
      </c>
      <c r="C93" s="116">
        <v>524.94000000000005</v>
      </c>
      <c r="D93" s="119">
        <f t="shared" si="10"/>
        <v>-2.4324427045721801E-3</v>
      </c>
      <c r="E93" s="33">
        <v>1.0062036616734722E-2</v>
      </c>
      <c r="F93" s="124">
        <v>87</v>
      </c>
      <c r="G93" s="33">
        <f t="shared" ca="1" si="11"/>
        <v>1.9293459809193128E-2</v>
      </c>
      <c r="N93" s="118"/>
      <c r="O93" s="116"/>
      <c r="P93" s="123"/>
    </row>
    <row r="94" spans="2:16" x14ac:dyDescent="0.3">
      <c r="B94" s="118" t="s">
        <v>451</v>
      </c>
      <c r="C94" s="116">
        <v>526.22</v>
      </c>
      <c r="D94" s="119">
        <f t="shared" si="10"/>
        <v>-5.0452921433469133E-2</v>
      </c>
      <c r="E94" s="33">
        <v>9.834233563047072E-3</v>
      </c>
      <c r="F94" s="124">
        <v>88</v>
      </c>
      <c r="G94" s="33">
        <f t="shared" ca="1" si="11"/>
        <v>6.1392249264820373E-3</v>
      </c>
      <c r="N94" s="118"/>
      <c r="O94" s="116"/>
      <c r="P94" s="123"/>
    </row>
    <row r="95" spans="2:16" x14ac:dyDescent="0.3">
      <c r="B95" s="118" t="s">
        <v>452</v>
      </c>
      <c r="C95" s="116">
        <v>554.17999999999995</v>
      </c>
      <c r="D95" s="119">
        <f t="shared" si="10"/>
        <v>-6.9704517354455525E-3</v>
      </c>
      <c r="E95" s="33">
        <v>9.771149395731555E-3</v>
      </c>
      <c r="F95" s="124">
        <v>89</v>
      </c>
      <c r="G95" s="33">
        <f t="shared" ca="1" si="11"/>
        <v>3.9354929437553705E-2</v>
      </c>
      <c r="N95" s="118"/>
      <c r="O95" s="116"/>
      <c r="P95" s="123"/>
    </row>
    <row r="96" spans="2:16" x14ac:dyDescent="0.3">
      <c r="B96" s="118" t="s">
        <v>453</v>
      </c>
      <c r="C96" s="116">
        <v>558.07000000000005</v>
      </c>
      <c r="D96" s="119">
        <f t="shared" si="10"/>
        <v>4.1019997015370853E-2</v>
      </c>
      <c r="E96" s="33">
        <v>9.6339113680154152E-3</v>
      </c>
      <c r="F96" s="124">
        <v>90</v>
      </c>
      <c r="G96" s="33">
        <f t="shared" ca="1" si="11"/>
        <v>8.3673750072685259E-3</v>
      </c>
      <c r="N96" s="118"/>
      <c r="O96" s="116"/>
      <c r="P96" s="123"/>
    </row>
    <row r="97" spans="2:16" x14ac:dyDescent="0.3">
      <c r="B97" s="118" t="s">
        <v>454</v>
      </c>
      <c r="C97" s="116">
        <v>536.08000000000004</v>
      </c>
      <c r="D97" s="119">
        <f t="shared" si="10"/>
        <v>-1.6565463851332708E-2</v>
      </c>
      <c r="E97" s="33">
        <v>9.5629785668907407E-3</v>
      </c>
      <c r="F97" s="124">
        <v>91</v>
      </c>
      <c r="G97" s="33">
        <f t="shared" ca="1" si="11"/>
        <v>7.0509221222382406E-3</v>
      </c>
      <c r="N97" s="118"/>
      <c r="O97" s="116"/>
      <c r="P97" s="123"/>
    </row>
    <row r="98" spans="2:16" x14ac:dyDescent="0.3">
      <c r="B98" s="118" t="s">
        <v>455</v>
      </c>
      <c r="C98" s="116">
        <v>545.11</v>
      </c>
      <c r="D98" s="119">
        <f t="shared" si="10"/>
        <v>-1.5318195776657847E-2</v>
      </c>
      <c r="E98" s="33">
        <v>9.5286844902940804E-3</v>
      </c>
      <c r="F98" s="124">
        <v>92</v>
      </c>
      <c r="G98" s="33">
        <f t="shared" ca="1" si="11"/>
        <v>-2.4649957345678451E-3</v>
      </c>
      <c r="N98" s="118"/>
      <c r="O98" s="116"/>
      <c r="P98" s="123"/>
    </row>
    <row r="99" spans="2:16" x14ac:dyDescent="0.3">
      <c r="B99" s="118" t="s">
        <v>456</v>
      </c>
      <c r="C99" s="116">
        <v>553.59</v>
      </c>
      <c r="D99" s="119">
        <f t="shared" si="10"/>
        <v>-7.7609693145969452E-3</v>
      </c>
      <c r="E99" s="33">
        <v>9.5209640474055827E-3</v>
      </c>
      <c r="F99" s="124">
        <v>93</v>
      </c>
      <c r="G99" s="33">
        <f t="shared" ca="1" si="11"/>
        <v>-7.7278128865222286E-3</v>
      </c>
      <c r="N99" s="118"/>
      <c r="O99" s="116"/>
      <c r="P99" s="123"/>
    </row>
    <row r="100" spans="2:16" x14ac:dyDescent="0.3">
      <c r="B100" s="118" t="s">
        <v>457</v>
      </c>
      <c r="C100" s="116">
        <v>557.91999999999996</v>
      </c>
      <c r="D100" s="119">
        <f t="shared" si="10"/>
        <v>-2.3984045623917632E-2</v>
      </c>
      <c r="E100" s="33">
        <v>8.9725582272908947E-3</v>
      </c>
      <c r="F100" s="124">
        <v>94</v>
      </c>
      <c r="G100" s="33">
        <f t="shared" ca="1" si="11"/>
        <v>-6.068397743983143E-3</v>
      </c>
      <c r="N100" s="118"/>
      <c r="O100" s="116"/>
      <c r="P100" s="123"/>
    </row>
    <row r="101" spans="2:16" x14ac:dyDescent="0.3">
      <c r="B101" s="118" t="s">
        <v>458</v>
      </c>
      <c r="C101" s="116">
        <v>571.63</v>
      </c>
      <c r="D101" s="119">
        <f t="shared" si="10"/>
        <v>-3.1726404227928752E-2</v>
      </c>
      <c r="E101" s="33">
        <v>8.7317141457269008E-3</v>
      </c>
      <c r="F101" s="124">
        <v>95</v>
      </c>
      <c r="G101" s="33">
        <f t="shared" ca="1" si="11"/>
        <v>1.9750368148765737E-2</v>
      </c>
      <c r="N101" s="118"/>
      <c r="O101" s="116"/>
      <c r="P101" s="123"/>
    </row>
    <row r="102" spans="2:16" x14ac:dyDescent="0.3">
      <c r="B102" s="118" t="s">
        <v>459</v>
      </c>
      <c r="C102" s="116">
        <v>590.36</v>
      </c>
      <c r="D102" s="119">
        <f t="shared" si="10"/>
        <v>1.285020673563575E-2</v>
      </c>
      <c r="E102" s="33">
        <v>8.18731060962531E-3</v>
      </c>
      <c r="F102" s="124">
        <v>96</v>
      </c>
      <c r="G102" s="33">
        <f t="shared" ca="1" si="11"/>
        <v>1.016057307813573E-2</v>
      </c>
      <c r="N102" s="118"/>
      <c r="O102" s="116"/>
      <c r="P102" s="123"/>
    </row>
    <row r="103" spans="2:16" x14ac:dyDescent="0.3">
      <c r="B103" s="118" t="s">
        <v>460</v>
      </c>
      <c r="C103" s="116">
        <v>582.87</v>
      </c>
      <c r="D103" s="119">
        <f t="shared" si="10"/>
        <v>6.2177676537585429E-2</v>
      </c>
      <c r="E103" s="33">
        <v>7.74068698596989E-3</v>
      </c>
      <c r="F103" s="124">
        <v>97</v>
      </c>
      <c r="G103" s="33">
        <f t="shared" ca="1" si="11"/>
        <v>1.3549630282050133E-2</v>
      </c>
      <c r="N103" s="118"/>
      <c r="O103" s="116"/>
      <c r="P103" s="123"/>
    </row>
    <row r="104" spans="2:16" x14ac:dyDescent="0.3">
      <c r="B104" s="118" t="s">
        <v>461</v>
      </c>
      <c r="C104" s="116">
        <v>548.75</v>
      </c>
      <c r="D104" s="119">
        <f t="shared" si="10"/>
        <v>1.4662919270736935E-2</v>
      </c>
      <c r="E104" s="33">
        <v>7.372367011781498E-3</v>
      </c>
      <c r="F104" s="124">
        <v>98</v>
      </c>
      <c r="G104" s="33">
        <f t="shared" ca="1" si="11"/>
        <v>5.7603082736407261E-2</v>
      </c>
      <c r="N104" s="118"/>
      <c r="O104" s="116"/>
      <c r="P104" s="123"/>
    </row>
    <row r="105" spans="2:16" x14ac:dyDescent="0.3">
      <c r="B105" s="118" t="s">
        <v>462</v>
      </c>
      <c r="C105" s="116">
        <v>540.82000000000005</v>
      </c>
      <c r="D105" s="119">
        <f t="shared" si="10"/>
        <v>-8.3065920968185061E-3</v>
      </c>
      <c r="E105" s="33">
        <v>7.1819768491583925E-3</v>
      </c>
      <c r="F105" s="124">
        <v>99</v>
      </c>
      <c r="G105" s="33">
        <f t="shared" ca="1" si="11"/>
        <v>5.8357284819823465E-3</v>
      </c>
      <c r="N105" s="118"/>
      <c r="O105" s="116"/>
      <c r="P105" s="123"/>
    </row>
    <row r="106" spans="2:16" x14ac:dyDescent="0.3">
      <c r="B106" s="118" t="s">
        <v>463</v>
      </c>
      <c r="C106" s="116">
        <v>545.35</v>
      </c>
      <c r="D106" s="119">
        <f t="shared" si="10"/>
        <v>-3.4719049794426264E-3</v>
      </c>
      <c r="E106" s="33">
        <v>7.108131997642925E-3</v>
      </c>
      <c r="F106" s="124">
        <v>100</v>
      </c>
      <c r="G106" s="33">
        <f t="shared" ca="1" si="11"/>
        <v>-1.594363768451278E-2</v>
      </c>
      <c r="N106" s="118"/>
      <c r="O106" s="116"/>
      <c r="P106" s="123"/>
    </row>
    <row r="107" spans="2:16" x14ac:dyDescent="0.3">
      <c r="B107" s="118" t="s">
        <v>464</v>
      </c>
      <c r="C107" s="116">
        <v>547.25</v>
      </c>
      <c r="D107" s="119">
        <f t="shared" si="10"/>
        <v>1.1702284995932932E-2</v>
      </c>
      <c r="E107" s="33">
        <v>7.0646282659890232E-3</v>
      </c>
      <c r="F107" s="124">
        <v>101</v>
      </c>
      <c r="G107" s="33">
        <f t="shared" ca="1" si="11"/>
        <v>1.6447289767965244E-2</v>
      </c>
      <c r="N107" s="118"/>
      <c r="O107" s="116"/>
      <c r="P107" s="123"/>
    </row>
    <row r="108" spans="2:16" x14ac:dyDescent="0.3">
      <c r="B108" s="118" t="s">
        <v>465</v>
      </c>
      <c r="C108" s="116">
        <v>540.91999999999996</v>
      </c>
      <c r="D108" s="119">
        <f t="shared" si="10"/>
        <v>2.4353293186380364E-2</v>
      </c>
      <c r="E108" s="33">
        <v>5.2871948006323402E-3</v>
      </c>
      <c r="F108" s="124">
        <v>102</v>
      </c>
      <c r="G108" s="33">
        <f t="shared" ca="1" si="11"/>
        <v>4.3661208957960954E-2</v>
      </c>
      <c r="N108" s="118"/>
      <c r="O108" s="116"/>
      <c r="P108" s="123"/>
    </row>
    <row r="109" spans="2:16" x14ac:dyDescent="0.3">
      <c r="B109" s="118" t="s">
        <v>466</v>
      </c>
      <c r="C109" s="116">
        <v>528.05999999999995</v>
      </c>
      <c r="D109" s="119">
        <f t="shared" si="10"/>
        <v>1.2423789255722812E-2</v>
      </c>
      <c r="E109" s="33">
        <v>5.0898387195683027E-3</v>
      </c>
      <c r="F109" s="124">
        <v>103</v>
      </c>
      <c r="G109" s="33">
        <f t="shared" ca="1" si="11"/>
        <v>-1.1639564599602682E-2</v>
      </c>
      <c r="N109" s="118"/>
      <c r="O109" s="116"/>
      <c r="P109" s="123"/>
    </row>
    <row r="110" spans="2:16" x14ac:dyDescent="0.3">
      <c r="B110" s="118" t="s">
        <v>467</v>
      </c>
      <c r="C110" s="116">
        <v>521.58000000000004</v>
      </c>
      <c r="D110" s="119">
        <f t="shared" si="10"/>
        <v>-1.6295122779223691E-2</v>
      </c>
      <c r="E110" s="33">
        <v>5.0025839793281981E-3</v>
      </c>
      <c r="F110" s="124">
        <v>104</v>
      </c>
      <c r="G110" s="33">
        <f t="shared" ca="1" si="11"/>
        <v>7.9335757158260694E-4</v>
      </c>
      <c r="N110" s="118"/>
      <c r="O110" s="116"/>
      <c r="P110" s="123"/>
    </row>
    <row r="111" spans="2:16" x14ac:dyDescent="0.3">
      <c r="B111" s="118" t="s">
        <v>468</v>
      </c>
      <c r="C111" s="116">
        <v>530.22</v>
      </c>
      <c r="D111" s="119">
        <f t="shared" si="10"/>
        <v>-5.7235824398570334E-2</v>
      </c>
      <c r="E111" s="33">
        <v>4.6069726291627748E-3</v>
      </c>
      <c r="F111" s="124">
        <v>105</v>
      </c>
      <c r="G111" s="33">
        <f t="shared" ca="1" si="11"/>
        <v>3.2630473833466563E-3</v>
      </c>
      <c r="N111" s="118"/>
      <c r="O111" s="116"/>
      <c r="P111" s="123"/>
    </row>
    <row r="112" spans="2:16" x14ac:dyDescent="0.3">
      <c r="B112" s="118" t="s">
        <v>469</v>
      </c>
      <c r="C112" s="116">
        <v>562.41</v>
      </c>
      <c r="D112" s="119">
        <f t="shared" si="10"/>
        <v>7.74068698596989E-3</v>
      </c>
      <c r="E112" s="33">
        <v>4.5123221103781823E-3</v>
      </c>
      <c r="F112" s="124">
        <v>106</v>
      </c>
      <c r="G112" s="33">
        <f t="shared" ca="1" si="11"/>
        <v>2.0750409748066917E-3</v>
      </c>
      <c r="N112" s="118"/>
      <c r="O112" s="116"/>
      <c r="P112" s="123"/>
    </row>
    <row r="113" spans="2:16" x14ac:dyDescent="0.3">
      <c r="B113" s="118" t="s">
        <v>470</v>
      </c>
      <c r="C113" s="116">
        <v>558.09</v>
      </c>
      <c r="D113" s="119">
        <f t="shared" si="10"/>
        <v>4.0533233895777024E-2</v>
      </c>
      <c r="E113" s="33">
        <v>4.2216358839049731E-3</v>
      </c>
      <c r="F113" s="124">
        <v>107</v>
      </c>
      <c r="G113" s="33">
        <f t="shared" ca="1" si="11"/>
        <v>2.0286992570551946E-2</v>
      </c>
      <c r="N113" s="118"/>
      <c r="O113" s="116"/>
      <c r="P113" s="123"/>
    </row>
    <row r="114" spans="2:16" x14ac:dyDescent="0.3">
      <c r="B114" s="118" t="s">
        <v>471</v>
      </c>
      <c r="C114" s="116">
        <v>536.35</v>
      </c>
      <c r="D114" s="119">
        <f t="shared" si="10"/>
        <v>-4.9580918965853343E-2</v>
      </c>
      <c r="E114" s="33">
        <v>4.1586749601162454E-3</v>
      </c>
      <c r="F114" s="124">
        <v>108</v>
      </c>
      <c r="G114" s="33">
        <f t="shared" ca="1" si="11"/>
        <v>6.175361632826646E-3</v>
      </c>
      <c r="N114" s="118"/>
      <c r="O114" s="116"/>
      <c r="P114" s="123"/>
    </row>
    <row r="115" spans="2:16" x14ac:dyDescent="0.3">
      <c r="B115" s="118" t="s">
        <v>472</v>
      </c>
      <c r="C115" s="116">
        <v>564.33000000000004</v>
      </c>
      <c r="D115" s="119">
        <f t="shared" si="10"/>
        <v>7.372367011781498E-3</v>
      </c>
      <c r="E115" s="33">
        <v>3.9433078066063477E-3</v>
      </c>
      <c r="F115" s="124">
        <v>109</v>
      </c>
      <c r="G115" s="33">
        <f t="shared" ca="1" si="11"/>
        <v>1.3124805364604763E-3</v>
      </c>
      <c r="N115" s="118"/>
      <c r="O115" s="116"/>
      <c r="P115" s="123"/>
    </row>
    <row r="116" spans="2:16" x14ac:dyDescent="0.3">
      <c r="B116" s="118" t="s">
        <v>473</v>
      </c>
      <c r="C116" s="116">
        <v>560.20000000000005</v>
      </c>
      <c r="D116" s="119">
        <f t="shared" si="10"/>
        <v>-2.2796893923202476E-3</v>
      </c>
      <c r="E116" s="33">
        <v>3.5702951443986036E-3</v>
      </c>
      <c r="F116" s="124">
        <v>110</v>
      </c>
      <c r="G116" s="33">
        <f t="shared" ca="1" si="11"/>
        <v>6.3910744508054581E-3</v>
      </c>
      <c r="N116" s="118"/>
      <c r="O116" s="116"/>
      <c r="P116" s="123"/>
    </row>
    <row r="117" spans="2:16" x14ac:dyDescent="0.3">
      <c r="B117" s="118" t="s">
        <v>474</v>
      </c>
      <c r="C117" s="116">
        <v>561.48</v>
      </c>
      <c r="D117" s="119">
        <f t="shared" si="10"/>
        <v>-2.5884802220680014E-2</v>
      </c>
      <c r="E117" s="33">
        <v>3.2636823606657542E-3</v>
      </c>
      <c r="F117" s="124">
        <v>111</v>
      </c>
      <c r="G117" s="33">
        <f t="shared" ca="1" si="11"/>
        <v>-1.4559185562741168E-2</v>
      </c>
      <c r="N117" s="118"/>
      <c r="O117" s="116"/>
      <c r="P117" s="123"/>
    </row>
    <row r="118" spans="2:16" x14ac:dyDescent="0.3">
      <c r="B118" s="118" t="s">
        <v>475</v>
      </c>
      <c r="C118" s="116">
        <v>576.4</v>
      </c>
      <c r="D118" s="119">
        <f t="shared" si="10"/>
        <v>9.6339113680154152E-3</v>
      </c>
      <c r="E118" s="33">
        <v>2.9521036248619887E-3</v>
      </c>
      <c r="F118" s="124">
        <v>112</v>
      </c>
      <c r="G118" s="33">
        <f t="shared" ca="1" si="11"/>
        <v>6.4563013157262414E-2</v>
      </c>
      <c r="N118" s="118"/>
      <c r="O118" s="116"/>
      <c r="P118" s="123"/>
    </row>
    <row r="119" spans="2:16" x14ac:dyDescent="0.3">
      <c r="B119" s="118" t="s">
        <v>476</v>
      </c>
      <c r="C119" s="116">
        <v>570.9</v>
      </c>
      <c r="D119" s="119">
        <f t="shared" si="10"/>
        <v>4.2216358839049731E-3</v>
      </c>
      <c r="E119" s="33">
        <v>2.5659245223433038E-3</v>
      </c>
      <c r="F119" s="124">
        <v>113</v>
      </c>
      <c r="G119" s="33">
        <f t="shared" ca="1" si="11"/>
        <v>1.2701571607512462E-2</v>
      </c>
      <c r="N119" s="118"/>
      <c r="O119" s="116"/>
      <c r="P119" s="123"/>
    </row>
    <row r="120" spans="2:16" x14ac:dyDescent="0.3">
      <c r="B120" s="118" t="s">
        <v>477</v>
      </c>
      <c r="C120" s="116">
        <v>568.5</v>
      </c>
      <c r="D120" s="119">
        <f t="shared" si="10"/>
        <v>-8.4763499372122464E-3</v>
      </c>
      <c r="E120" s="33">
        <v>2.3913756195398706E-3</v>
      </c>
      <c r="F120" s="124">
        <v>114</v>
      </c>
      <c r="G120" s="33">
        <f t="shared" ca="1" si="11"/>
        <v>-4.5358956452421946E-2</v>
      </c>
      <c r="N120" s="118"/>
      <c r="O120" s="116"/>
      <c r="P120" s="123"/>
    </row>
    <row r="121" spans="2:16" x14ac:dyDescent="0.3">
      <c r="B121" s="118" t="s">
        <v>478</v>
      </c>
      <c r="C121" s="116">
        <v>573.36</v>
      </c>
      <c r="D121" s="119">
        <f t="shared" si="10"/>
        <v>1.847378144095491E-2</v>
      </c>
      <c r="E121" s="33">
        <v>1.4478858909389915E-3</v>
      </c>
      <c r="F121" s="124">
        <v>115</v>
      </c>
      <c r="G121" s="33">
        <f t="shared" ca="1" si="11"/>
        <v>-1.6921451387259919E-2</v>
      </c>
      <c r="N121" s="118"/>
      <c r="O121" s="116"/>
      <c r="P121" s="123"/>
    </row>
    <row r="122" spans="2:16" x14ac:dyDescent="0.3">
      <c r="B122" s="118" t="s">
        <v>479</v>
      </c>
      <c r="C122" s="116">
        <v>562.96</v>
      </c>
      <c r="D122" s="119">
        <f t="shared" si="10"/>
        <v>5.0965164469999755E-2</v>
      </c>
      <c r="E122" s="33">
        <v>1.2051649928263902E-3</v>
      </c>
      <c r="F122" s="124">
        <v>116</v>
      </c>
      <c r="G122" s="33">
        <f t="shared" ca="1" si="11"/>
        <v>-3.7731035075821581E-2</v>
      </c>
      <c r="N122" s="118"/>
      <c r="O122" s="116"/>
      <c r="P122" s="123"/>
    </row>
    <row r="123" spans="2:16" x14ac:dyDescent="0.3">
      <c r="B123" s="118" t="s">
        <v>480</v>
      </c>
      <c r="C123" s="116">
        <v>535.66</v>
      </c>
      <c r="D123" s="119">
        <f t="shared" si="10"/>
        <v>8.18731060962531E-3</v>
      </c>
      <c r="E123" s="33">
        <v>7.5899888047660817E-4</v>
      </c>
      <c r="F123" s="124">
        <v>117</v>
      </c>
      <c r="G123" s="33">
        <f t="shared" ca="1" si="11"/>
        <v>-5.3289808661173589E-3</v>
      </c>
      <c r="N123" s="118"/>
      <c r="O123" s="116"/>
      <c r="P123" s="123"/>
    </row>
    <row r="124" spans="2:16" x14ac:dyDescent="0.3">
      <c r="B124" s="118" t="s">
        <v>481</v>
      </c>
      <c r="C124" s="116">
        <v>531.30999999999995</v>
      </c>
      <c r="D124" s="119">
        <f t="shared" ref="D124:D187" si="12">(C124-C125)/C125</f>
        <v>6.3854070722037415E-2</v>
      </c>
      <c r="E124" s="33">
        <v>7.53725141565236E-4</v>
      </c>
      <c r="F124" s="124">
        <v>118</v>
      </c>
      <c r="G124" s="33">
        <f t="shared" ca="1" si="11"/>
        <v>-1.5548393474060906E-2</v>
      </c>
      <c r="N124" s="118"/>
      <c r="O124" s="116"/>
      <c r="P124" s="123"/>
    </row>
    <row r="125" spans="2:16" x14ac:dyDescent="0.3">
      <c r="B125" s="118" t="s">
        <v>482</v>
      </c>
      <c r="C125" s="116">
        <v>499.42</v>
      </c>
      <c r="D125" s="119">
        <f t="shared" si="12"/>
        <v>2.9521036248619887E-3</v>
      </c>
      <c r="E125" s="33">
        <v>4.7291162227602906E-4</v>
      </c>
      <c r="F125" s="124">
        <v>119</v>
      </c>
      <c r="G125" s="33">
        <f t="shared" ca="1" si="11"/>
        <v>-2.6054179143994303E-2</v>
      </c>
      <c r="N125" s="118"/>
      <c r="O125" s="116"/>
      <c r="P125" s="123"/>
    </row>
    <row r="126" spans="2:16" x14ac:dyDescent="0.3">
      <c r="B126" s="118" t="s">
        <v>483</v>
      </c>
      <c r="C126" s="116">
        <v>497.95</v>
      </c>
      <c r="D126" s="119">
        <f t="shared" si="12"/>
        <v>5.1881112824521014E-2</v>
      </c>
      <c r="E126" s="33">
        <v>4.0795512493623382E-4</v>
      </c>
      <c r="F126" s="124">
        <v>120</v>
      </c>
      <c r="G126" s="33">
        <f t="shared" ca="1" si="11"/>
        <v>4.9014393400400244E-3</v>
      </c>
      <c r="N126" s="118"/>
      <c r="O126" s="116"/>
      <c r="P126" s="123"/>
    </row>
    <row r="127" spans="2:16" x14ac:dyDescent="0.3">
      <c r="B127" s="118" t="s">
        <v>484</v>
      </c>
      <c r="C127" s="116">
        <v>473.39</v>
      </c>
      <c r="D127" s="119">
        <f t="shared" si="12"/>
        <v>-3.5138495403868514E-2</v>
      </c>
      <c r="E127" s="33">
        <v>1.0274746727495504E-4</v>
      </c>
      <c r="F127" s="124">
        <v>121</v>
      </c>
      <c r="G127" s="33">
        <f t="shared" ca="1" si="11"/>
        <v>-1.7630313376646421E-2</v>
      </c>
      <c r="N127" s="118"/>
      <c r="O127" s="116"/>
      <c r="P127" s="123"/>
    </row>
    <row r="128" spans="2:16" x14ac:dyDescent="0.3">
      <c r="B128" s="118" t="s">
        <v>485</v>
      </c>
      <c r="C128" s="116">
        <v>490.63</v>
      </c>
      <c r="D128" s="119">
        <f t="shared" si="12"/>
        <v>-2.2766203242640334E-2</v>
      </c>
      <c r="E128" s="33">
        <v>0</v>
      </c>
      <c r="F128" s="124">
        <v>122</v>
      </c>
      <c r="G128" s="33">
        <f t="shared" ca="1" si="11"/>
        <v>-2.8982241953466586E-2</v>
      </c>
      <c r="N128" s="118"/>
      <c r="O128" s="116"/>
      <c r="P128" s="123"/>
    </row>
    <row r="129" spans="2:16" x14ac:dyDescent="0.3">
      <c r="B129" s="118" t="s">
        <v>486</v>
      </c>
      <c r="C129" s="116">
        <v>502.06</v>
      </c>
      <c r="D129" s="119">
        <f t="shared" si="12"/>
        <v>3.2662799786087444E-2</v>
      </c>
      <c r="E129" s="33">
        <v>-1.8960580952204689E-4</v>
      </c>
      <c r="F129" s="124">
        <v>123</v>
      </c>
      <c r="G129" s="33">
        <f t="shared" ca="1" si="11"/>
        <v>-3.2555693710029511E-2</v>
      </c>
      <c r="N129" s="118"/>
      <c r="O129" s="116"/>
      <c r="P129" s="123"/>
    </row>
    <row r="130" spans="2:16" x14ac:dyDescent="0.3">
      <c r="B130" s="118" t="s">
        <v>487</v>
      </c>
      <c r="C130" s="116">
        <v>486.18</v>
      </c>
      <c r="D130" s="119">
        <f t="shared" si="12"/>
        <v>-1.122635753508233E-2</v>
      </c>
      <c r="E130" s="33">
        <v>-4.8088020312379783E-4</v>
      </c>
      <c r="F130" s="124">
        <v>124</v>
      </c>
      <c r="G130" s="33">
        <f t="shared" ca="1" si="11"/>
        <v>5.4128436314837346E-2</v>
      </c>
      <c r="N130" s="118"/>
      <c r="O130" s="116"/>
      <c r="P130" s="123"/>
    </row>
    <row r="131" spans="2:16" x14ac:dyDescent="0.3">
      <c r="B131" s="118" t="s">
        <v>488</v>
      </c>
      <c r="C131" s="116">
        <v>491.7</v>
      </c>
      <c r="D131" s="119">
        <f t="shared" si="12"/>
        <v>5.0898387195683027E-3</v>
      </c>
      <c r="E131" s="33">
        <v>-1.3099199886709785E-3</v>
      </c>
      <c r="F131" s="124">
        <v>125</v>
      </c>
      <c r="G131" s="33">
        <f t="shared" ca="1" si="11"/>
        <v>3.6507378548041848E-2</v>
      </c>
      <c r="N131" s="118"/>
      <c r="O131" s="116"/>
      <c r="P131" s="123"/>
    </row>
    <row r="132" spans="2:16" x14ac:dyDescent="0.3">
      <c r="B132" s="118" t="s">
        <v>489</v>
      </c>
      <c r="C132" s="116">
        <v>489.21</v>
      </c>
      <c r="D132" s="119">
        <f t="shared" si="12"/>
        <v>-1.9579943083891216E-2</v>
      </c>
      <c r="E132" s="33">
        <v>-1.8125935849949088E-3</v>
      </c>
      <c r="F132" s="124">
        <v>126</v>
      </c>
      <c r="G132" s="33">
        <f t="shared" ca="1" si="11"/>
        <v>-9.0675279251266894E-3</v>
      </c>
      <c r="N132" s="118"/>
      <c r="O132" s="116"/>
      <c r="P132" s="123"/>
    </row>
    <row r="133" spans="2:16" x14ac:dyDescent="0.3">
      <c r="B133" s="118" t="s">
        <v>490</v>
      </c>
      <c r="C133" s="116">
        <v>498.98</v>
      </c>
      <c r="D133" s="119">
        <f t="shared" si="12"/>
        <v>-8.2453753080063308E-2</v>
      </c>
      <c r="E133" s="33">
        <v>-1.8488979118329138E-3</v>
      </c>
      <c r="F133" s="124">
        <v>127</v>
      </c>
      <c r="G133" s="33">
        <f t="shared" ca="1" si="11"/>
        <v>1.6857022713956449E-2</v>
      </c>
      <c r="N133" s="118"/>
      <c r="O133" s="116"/>
      <c r="P133" s="123"/>
    </row>
    <row r="134" spans="2:16" x14ac:dyDescent="0.3">
      <c r="B134" s="118" t="s">
        <v>491</v>
      </c>
      <c r="C134" s="116">
        <v>543.82000000000005</v>
      </c>
      <c r="D134" s="119">
        <f t="shared" si="12"/>
        <v>-5.6317425489119171E-3</v>
      </c>
      <c r="E134" s="33">
        <v>-1.8747932213358488E-3</v>
      </c>
      <c r="F134" s="124">
        <v>128</v>
      </c>
      <c r="G134" s="33">
        <f t="shared" ca="1" si="11"/>
        <v>-5.1456574427279607E-3</v>
      </c>
      <c r="N134" s="118"/>
      <c r="O134" s="116"/>
      <c r="P134" s="123"/>
    </row>
    <row r="135" spans="2:16" x14ac:dyDescent="0.3">
      <c r="B135" s="118" t="s">
        <v>492</v>
      </c>
      <c r="C135" s="116">
        <v>546.9</v>
      </c>
      <c r="D135" s="119">
        <f t="shared" si="12"/>
        <v>7.108131997642925E-3</v>
      </c>
      <c r="E135" s="33">
        <v>-2.2796893923202476E-3</v>
      </c>
      <c r="F135" s="124">
        <v>129</v>
      </c>
      <c r="G135" s="33">
        <f t="shared" ca="1" si="11"/>
        <v>-4.6756203936481729E-2</v>
      </c>
      <c r="N135" s="118"/>
      <c r="O135" s="116"/>
      <c r="P135" s="123"/>
    </row>
    <row r="136" spans="2:16" x14ac:dyDescent="0.3">
      <c r="B136" s="118" t="s">
        <v>493</v>
      </c>
      <c r="C136" s="116">
        <v>543.04</v>
      </c>
      <c r="D136" s="119">
        <f t="shared" si="12"/>
        <v>-1.8747932213358488E-3</v>
      </c>
      <c r="E136" s="33">
        <v>-2.4301828712611543E-3</v>
      </c>
      <c r="F136" s="124">
        <v>130</v>
      </c>
      <c r="G136" s="33">
        <f t="shared" ref="G136:G199" ca="1" si="13">_xlfn.NORM.INV(RAND(),$M$9,$M$10)</f>
        <v>-1.8547426970609494E-2</v>
      </c>
      <c r="N136" s="118"/>
      <c r="O136" s="116"/>
      <c r="P136" s="123"/>
    </row>
    <row r="137" spans="2:16" x14ac:dyDescent="0.3">
      <c r="B137" s="118" t="s">
        <v>494</v>
      </c>
      <c r="C137" s="116">
        <v>544.05999999999995</v>
      </c>
      <c r="D137" s="119">
        <f t="shared" si="12"/>
        <v>2.6722023023211867E-2</v>
      </c>
      <c r="E137" s="33">
        <v>-2.4324427045721801E-3</v>
      </c>
      <c r="F137" s="124">
        <v>131</v>
      </c>
      <c r="G137" s="33">
        <f t="shared" ca="1" si="13"/>
        <v>1.1193137289378648E-2</v>
      </c>
      <c r="N137" s="118"/>
      <c r="O137" s="116"/>
      <c r="P137" s="123"/>
    </row>
    <row r="138" spans="2:16" x14ac:dyDescent="0.3">
      <c r="B138" s="118" t="s">
        <v>495</v>
      </c>
      <c r="C138" s="116">
        <v>529.9</v>
      </c>
      <c r="D138" s="119">
        <f t="shared" si="12"/>
        <v>4.3582724461862649E-2</v>
      </c>
      <c r="E138" s="33">
        <v>-2.8302894371460682E-3</v>
      </c>
      <c r="F138" s="124">
        <v>132</v>
      </c>
      <c r="G138" s="33">
        <f t="shared" ca="1" si="13"/>
        <v>-1.6350811227747945E-2</v>
      </c>
      <c r="N138" s="118"/>
      <c r="O138" s="116"/>
      <c r="P138" s="123"/>
    </row>
    <row r="139" spans="2:16" x14ac:dyDescent="0.3">
      <c r="B139" s="118" t="s">
        <v>496</v>
      </c>
      <c r="C139" s="116">
        <v>507.77</v>
      </c>
      <c r="D139" s="119">
        <f t="shared" si="12"/>
        <v>-7.2210345520656291E-2</v>
      </c>
      <c r="E139" s="33">
        <v>-3.1280455217075286E-3</v>
      </c>
      <c r="F139" s="124">
        <v>133</v>
      </c>
      <c r="G139" s="33">
        <f t="shared" ca="1" si="13"/>
        <v>-3.0687203295052218E-2</v>
      </c>
      <c r="N139" s="118"/>
      <c r="O139" s="116"/>
      <c r="P139" s="123"/>
    </row>
    <row r="140" spans="2:16" x14ac:dyDescent="0.3">
      <c r="B140" s="118" t="s">
        <v>497</v>
      </c>
      <c r="C140" s="116">
        <v>547.29</v>
      </c>
      <c r="D140" s="119">
        <f t="shared" si="12"/>
        <v>2.3201465749326893E-2</v>
      </c>
      <c r="E140" s="33">
        <v>-3.4719049794426264E-3</v>
      </c>
      <c r="F140" s="124">
        <v>134</v>
      </c>
      <c r="G140" s="33">
        <f t="shared" ca="1" si="13"/>
        <v>-7.8433564864929431E-2</v>
      </c>
      <c r="N140" s="118"/>
      <c r="O140" s="116"/>
      <c r="P140" s="123"/>
    </row>
    <row r="141" spans="2:16" x14ac:dyDescent="0.3">
      <c r="B141" s="118" t="s">
        <v>498</v>
      </c>
      <c r="C141" s="116">
        <v>534.88</v>
      </c>
      <c r="D141" s="119">
        <f t="shared" si="12"/>
        <v>1.5762087432108992E-2</v>
      </c>
      <c r="E141" s="33">
        <v>-3.8093772245416592E-3</v>
      </c>
      <c r="F141" s="124">
        <v>135</v>
      </c>
      <c r="G141" s="33">
        <f t="shared" ca="1" si="13"/>
        <v>5.7965259619474623E-2</v>
      </c>
      <c r="N141" s="118"/>
      <c r="O141" s="116"/>
      <c r="P141" s="123"/>
    </row>
    <row r="142" spans="2:16" x14ac:dyDescent="0.3">
      <c r="B142" s="118" t="s">
        <v>499</v>
      </c>
      <c r="C142" s="116">
        <v>526.58000000000004</v>
      </c>
      <c r="D142" s="119">
        <f t="shared" si="12"/>
        <v>-1.0634300315647017E-2</v>
      </c>
      <c r="E142" s="33">
        <v>-4.0153071804248973E-3</v>
      </c>
      <c r="F142" s="124">
        <v>136</v>
      </c>
      <c r="G142" s="33">
        <f t="shared" ca="1" si="13"/>
        <v>1.9029383177049269E-3</v>
      </c>
      <c r="N142" s="118"/>
      <c r="O142" s="116"/>
      <c r="P142" s="123"/>
    </row>
    <row r="143" spans="2:16" x14ac:dyDescent="0.3">
      <c r="B143" s="118" t="s">
        <v>500</v>
      </c>
      <c r="C143" s="116">
        <v>532.24</v>
      </c>
      <c r="D143" s="119">
        <f t="shared" si="12"/>
        <v>-5.3819703991627964E-3</v>
      </c>
      <c r="E143" s="33">
        <v>-4.6006860953480243E-3</v>
      </c>
      <c r="F143" s="124">
        <v>137</v>
      </c>
      <c r="G143" s="33">
        <f t="shared" ca="1" si="13"/>
        <v>-3.6139834123406704E-2</v>
      </c>
      <c r="N143" s="118"/>
      <c r="O143" s="116"/>
      <c r="P143" s="123"/>
    </row>
    <row r="144" spans="2:16" x14ac:dyDescent="0.3">
      <c r="B144" s="118" t="s">
        <v>501</v>
      </c>
      <c r="C144" s="116">
        <v>535.12</v>
      </c>
      <c r="D144" s="119">
        <f t="shared" si="12"/>
        <v>-2.3271944074324202E-2</v>
      </c>
      <c r="E144" s="33">
        <v>-4.8228809571822353E-3</v>
      </c>
      <c r="F144" s="124">
        <v>138</v>
      </c>
      <c r="G144" s="33">
        <f t="shared" ca="1" si="13"/>
        <v>-2.6188056127162265E-2</v>
      </c>
      <c r="N144" s="118"/>
      <c r="O144" s="116"/>
      <c r="P144" s="123"/>
    </row>
    <row r="145" spans="2:16" x14ac:dyDescent="0.3">
      <c r="B145" s="118" t="s">
        <v>502</v>
      </c>
      <c r="C145" s="116">
        <v>547.87</v>
      </c>
      <c r="D145" s="119">
        <f t="shared" si="12"/>
        <v>-1.432092546282143E-2</v>
      </c>
      <c r="E145" s="33">
        <v>-5.3819703991627964E-3</v>
      </c>
      <c r="F145" s="124">
        <v>139</v>
      </c>
      <c r="G145" s="33">
        <f t="shared" ca="1" si="13"/>
        <v>-1.0105112334619446E-2</v>
      </c>
      <c r="N145" s="118"/>
      <c r="O145" s="116"/>
      <c r="P145" s="123"/>
    </row>
    <row r="146" spans="2:16" x14ac:dyDescent="0.3">
      <c r="B146" s="118" t="s">
        <v>503</v>
      </c>
      <c r="C146" s="116">
        <v>555.83000000000004</v>
      </c>
      <c r="D146" s="119">
        <f t="shared" si="12"/>
        <v>6.5645430318832812E-2</v>
      </c>
      <c r="E146" s="33">
        <v>-5.6317425489119171E-3</v>
      </c>
      <c r="F146" s="124">
        <v>140</v>
      </c>
      <c r="G146" s="33">
        <f t="shared" ca="1" si="13"/>
        <v>-4.3378761414827119E-2</v>
      </c>
      <c r="N146" s="118"/>
      <c r="O146" s="116"/>
      <c r="P146" s="123"/>
    </row>
    <row r="147" spans="2:16" x14ac:dyDescent="0.3">
      <c r="B147" s="118" t="s">
        <v>504</v>
      </c>
      <c r="C147" s="116">
        <v>521.59</v>
      </c>
      <c r="D147" s="119">
        <f t="shared" si="12"/>
        <v>-3.1923383878691015E-2</v>
      </c>
      <c r="E147" s="33">
        <v>-5.7365946936497637E-3</v>
      </c>
      <c r="F147" s="124">
        <v>141</v>
      </c>
      <c r="G147" s="33">
        <f t="shared" ca="1" si="13"/>
        <v>4.695057524072458E-3</v>
      </c>
      <c r="N147" s="118"/>
      <c r="O147" s="116"/>
      <c r="P147" s="123"/>
    </row>
    <row r="148" spans="2:16" x14ac:dyDescent="0.3">
      <c r="B148" s="118" t="s">
        <v>505</v>
      </c>
      <c r="C148" s="116">
        <v>538.79</v>
      </c>
      <c r="D148" s="119">
        <f t="shared" si="12"/>
        <v>-4.2117053050775233E-2</v>
      </c>
      <c r="E148" s="33">
        <v>-5.7952078899121242E-3</v>
      </c>
      <c r="F148" s="124">
        <v>142</v>
      </c>
      <c r="G148" s="33">
        <f t="shared" ca="1" si="13"/>
        <v>2.1027558184420158E-2</v>
      </c>
      <c r="N148" s="118"/>
      <c r="O148" s="116"/>
      <c r="P148" s="123"/>
    </row>
    <row r="149" spans="2:16" x14ac:dyDescent="0.3">
      <c r="B149" s="118" t="s">
        <v>506</v>
      </c>
      <c r="C149" s="116">
        <v>562.48</v>
      </c>
      <c r="D149" s="119">
        <f t="shared" si="12"/>
        <v>-1.9916014706138508E-2</v>
      </c>
      <c r="E149" s="33">
        <v>-6.1102306744145575E-3</v>
      </c>
      <c r="F149" s="124">
        <v>143</v>
      </c>
      <c r="G149" s="33">
        <f t="shared" ca="1" si="13"/>
        <v>-4.8356652005498983E-2</v>
      </c>
      <c r="N149" s="118"/>
      <c r="O149" s="116"/>
      <c r="P149" s="123"/>
    </row>
    <row r="150" spans="2:16" x14ac:dyDescent="0.3">
      <c r="B150" s="118" t="s">
        <v>507</v>
      </c>
      <c r="C150" s="116">
        <v>573.91</v>
      </c>
      <c r="D150" s="119">
        <f t="shared" si="12"/>
        <v>1.2847890157598385E-2</v>
      </c>
      <c r="E150" s="33">
        <v>-6.1851074499898609E-3</v>
      </c>
      <c r="F150" s="124">
        <v>144</v>
      </c>
      <c r="G150" s="33">
        <f t="shared" ca="1" si="13"/>
        <v>-8.6855719185400214E-3</v>
      </c>
      <c r="N150" s="118"/>
      <c r="O150" s="116"/>
      <c r="P150" s="123"/>
    </row>
    <row r="151" spans="2:16" x14ac:dyDescent="0.3">
      <c r="B151" s="118" t="s">
        <v>508</v>
      </c>
      <c r="C151" s="116">
        <v>566.63</v>
      </c>
      <c r="D151" s="119">
        <f t="shared" si="12"/>
        <v>2.9001561762248988E-2</v>
      </c>
      <c r="E151" s="33">
        <v>-6.4135798913148448E-3</v>
      </c>
      <c r="F151" s="124">
        <v>145</v>
      </c>
      <c r="G151" s="33">
        <f t="shared" ca="1" si="13"/>
        <v>6.7536181798780884E-3</v>
      </c>
      <c r="N151" s="118"/>
      <c r="O151" s="116"/>
      <c r="P151" s="123"/>
    </row>
    <row r="152" spans="2:16" x14ac:dyDescent="0.3">
      <c r="B152" s="118" t="s">
        <v>509</v>
      </c>
      <c r="C152" s="116">
        <v>550.66</v>
      </c>
      <c r="D152" s="119">
        <f t="shared" si="12"/>
        <v>-1.8488979118329138E-3</v>
      </c>
      <c r="E152" s="33">
        <v>-6.4942622378436734E-3</v>
      </c>
      <c r="F152" s="124">
        <v>146</v>
      </c>
      <c r="G152" s="33">
        <f t="shared" ca="1" si="13"/>
        <v>1.1569227002567763E-2</v>
      </c>
      <c r="N152" s="118"/>
      <c r="O152" s="116"/>
      <c r="P152" s="123"/>
    </row>
    <row r="153" spans="2:16" x14ac:dyDescent="0.3">
      <c r="B153" s="118" t="s">
        <v>510</v>
      </c>
      <c r="C153" s="116">
        <v>551.67999999999995</v>
      </c>
      <c r="D153" s="119">
        <f t="shared" si="12"/>
        <v>-2.2589160746239571E-2</v>
      </c>
      <c r="E153" s="33">
        <v>-6.9704517354455525E-3</v>
      </c>
      <c r="F153" s="124">
        <v>147</v>
      </c>
      <c r="G153" s="33">
        <f t="shared" ca="1" si="13"/>
        <v>3.0401041514170217E-2</v>
      </c>
      <c r="N153" s="118"/>
      <c r="O153" s="116"/>
      <c r="P153" s="123"/>
    </row>
    <row r="154" spans="2:16" x14ac:dyDescent="0.3">
      <c r="B154" s="118" t="s">
        <v>511</v>
      </c>
      <c r="C154" s="116">
        <v>564.42999999999995</v>
      </c>
      <c r="D154" s="119">
        <f t="shared" si="12"/>
        <v>-6.1102306744145575E-3</v>
      </c>
      <c r="E154" s="33">
        <v>-7.1971044207796604E-3</v>
      </c>
      <c r="F154" s="124">
        <v>148</v>
      </c>
      <c r="G154" s="33">
        <f t="shared" ca="1" si="13"/>
        <v>2.9886507807338664E-2</v>
      </c>
      <c r="N154" s="118"/>
      <c r="O154" s="116"/>
      <c r="P154" s="123"/>
    </row>
    <row r="155" spans="2:16" x14ac:dyDescent="0.3">
      <c r="B155" s="118" t="s">
        <v>512</v>
      </c>
      <c r="C155" s="116">
        <v>567.9</v>
      </c>
      <c r="D155" s="119">
        <f t="shared" si="12"/>
        <v>-3.4298637917254869E-2</v>
      </c>
      <c r="E155" s="33">
        <v>-7.2728464020705569E-3</v>
      </c>
      <c r="F155" s="124">
        <v>149</v>
      </c>
      <c r="G155" s="33">
        <f t="shared" ca="1" si="13"/>
        <v>9.0312675809722841E-4</v>
      </c>
      <c r="N155" s="118"/>
      <c r="O155" s="116"/>
      <c r="P155" s="123"/>
    </row>
    <row r="156" spans="2:16" x14ac:dyDescent="0.3">
      <c r="B156" s="118" t="s">
        <v>513</v>
      </c>
      <c r="C156" s="116">
        <v>588.07000000000005</v>
      </c>
      <c r="D156" s="119">
        <f t="shared" si="12"/>
        <v>-1.1081962802273431E-2</v>
      </c>
      <c r="E156" s="33">
        <v>-7.4260518752567546E-3</v>
      </c>
      <c r="F156" s="124">
        <v>150</v>
      </c>
      <c r="G156" s="33">
        <f t="shared" ca="1" si="13"/>
        <v>4.0704828875781598E-2</v>
      </c>
      <c r="N156" s="118"/>
      <c r="O156" s="116"/>
      <c r="P156" s="123"/>
    </row>
    <row r="157" spans="2:16" x14ac:dyDescent="0.3">
      <c r="B157" s="118" t="s">
        <v>514</v>
      </c>
      <c r="C157" s="116">
        <v>594.66</v>
      </c>
      <c r="D157" s="119">
        <f t="shared" si="12"/>
        <v>1.4639639639639514E-2</v>
      </c>
      <c r="E157" s="33">
        <v>-7.7146042363433216E-3</v>
      </c>
      <c r="F157" s="124">
        <v>151</v>
      </c>
      <c r="G157" s="33">
        <f t="shared" ca="1" si="13"/>
        <v>-4.4205553082882459E-2</v>
      </c>
      <c r="N157" s="118"/>
      <c r="O157" s="116"/>
      <c r="P157" s="123"/>
    </row>
    <row r="158" spans="2:16" x14ac:dyDescent="0.3">
      <c r="B158" s="118" t="s">
        <v>515</v>
      </c>
      <c r="C158" s="116">
        <v>586.08000000000004</v>
      </c>
      <c r="D158" s="119">
        <f t="shared" si="12"/>
        <v>-1.6479275046148576E-2</v>
      </c>
      <c r="E158" s="33">
        <v>-7.747648035417963E-3</v>
      </c>
      <c r="F158" s="124">
        <v>152</v>
      </c>
      <c r="G158" s="33">
        <f t="shared" ca="1" si="13"/>
        <v>-2.4920291379669193E-2</v>
      </c>
      <c r="N158" s="118"/>
      <c r="O158" s="116"/>
      <c r="P158" s="123"/>
    </row>
    <row r="159" spans="2:16" x14ac:dyDescent="0.3">
      <c r="B159" s="118" t="s">
        <v>516</v>
      </c>
      <c r="C159" s="116">
        <v>595.9</v>
      </c>
      <c r="D159" s="119">
        <f t="shared" si="12"/>
        <v>4.5566999456073606E-2</v>
      </c>
      <c r="E159" s="33">
        <v>-7.7609693145969452E-3</v>
      </c>
      <c r="F159" s="124">
        <v>153</v>
      </c>
      <c r="G159" s="33">
        <f t="shared" ca="1" si="13"/>
        <v>-2.7146106321757129E-3</v>
      </c>
      <c r="N159" s="118"/>
      <c r="O159" s="116"/>
      <c r="P159" s="123"/>
    </row>
    <row r="160" spans="2:16" x14ac:dyDescent="0.3">
      <c r="B160" s="118" t="s">
        <v>517</v>
      </c>
      <c r="C160" s="116">
        <v>569.92999999999995</v>
      </c>
      <c r="D160" s="119">
        <f t="shared" si="12"/>
        <v>-8.2999825996173567E-3</v>
      </c>
      <c r="E160" s="33">
        <v>-8.0524138940741147E-3</v>
      </c>
      <c r="F160" s="124">
        <v>154</v>
      </c>
      <c r="G160" s="33">
        <f t="shared" ca="1" si="13"/>
        <v>1.3627955642183581E-2</v>
      </c>
      <c r="N160" s="118"/>
      <c r="O160" s="116"/>
      <c r="P160" s="123"/>
    </row>
    <row r="161" spans="2:16" x14ac:dyDescent="0.3">
      <c r="B161" s="118" t="s">
        <v>518</v>
      </c>
      <c r="C161" s="116">
        <v>574.70000000000005</v>
      </c>
      <c r="D161" s="119">
        <f t="shared" si="12"/>
        <v>-3.9733992781713627E-2</v>
      </c>
      <c r="E161" s="33">
        <v>-8.2999825996173567E-3</v>
      </c>
      <c r="F161" s="124">
        <v>155</v>
      </c>
      <c r="G161" s="33">
        <f t="shared" ca="1" si="13"/>
        <v>-2.2654614676041289E-2</v>
      </c>
      <c r="N161" s="118"/>
      <c r="O161" s="116"/>
      <c r="P161" s="123"/>
    </row>
    <row r="162" spans="2:16" x14ac:dyDescent="0.3">
      <c r="B162" s="118" t="s">
        <v>519</v>
      </c>
      <c r="C162" s="116">
        <v>598.48</v>
      </c>
      <c r="D162" s="119">
        <f t="shared" si="12"/>
        <v>1.349680784406704E-2</v>
      </c>
      <c r="E162" s="33">
        <v>-8.3065920968185061E-3</v>
      </c>
      <c r="F162" s="124">
        <v>156</v>
      </c>
      <c r="G162" s="33">
        <f t="shared" ca="1" si="13"/>
        <v>-2.8565586989817759E-2</v>
      </c>
      <c r="N162" s="118"/>
      <c r="O162" s="116"/>
      <c r="P162" s="123"/>
    </row>
    <row r="163" spans="2:16" x14ac:dyDescent="0.3">
      <c r="B163" s="118" t="s">
        <v>520</v>
      </c>
      <c r="C163" s="116">
        <v>590.51</v>
      </c>
      <c r="D163" s="119">
        <f t="shared" si="12"/>
        <v>-1.7715749550868284E-2</v>
      </c>
      <c r="E163" s="33">
        <v>-8.4115699788353641E-3</v>
      </c>
      <c r="F163" s="124">
        <v>157</v>
      </c>
      <c r="G163" s="33">
        <f t="shared" ca="1" si="13"/>
        <v>-2.4368740872566814E-2</v>
      </c>
      <c r="N163" s="118"/>
      <c r="O163" s="116"/>
      <c r="P163" s="123"/>
    </row>
    <row r="164" spans="2:16" x14ac:dyDescent="0.3">
      <c r="B164" s="118" t="s">
        <v>521</v>
      </c>
      <c r="C164" s="116">
        <v>601.16</v>
      </c>
      <c r="D164" s="119">
        <f t="shared" si="12"/>
        <v>-5.2082183572746472E-2</v>
      </c>
      <c r="E164" s="33">
        <v>-8.4763499372122464E-3</v>
      </c>
      <c r="F164" s="124">
        <v>158</v>
      </c>
      <c r="G164" s="33">
        <f t="shared" ca="1" si="13"/>
        <v>1.1828672051403182E-2</v>
      </c>
      <c r="N164" s="118"/>
      <c r="O164" s="116"/>
      <c r="P164" s="123"/>
    </row>
    <row r="165" spans="2:16" x14ac:dyDescent="0.3">
      <c r="B165" s="118" t="s">
        <v>522</v>
      </c>
      <c r="C165" s="116">
        <v>634.19000000000005</v>
      </c>
      <c r="D165" s="119">
        <f t="shared" si="12"/>
        <v>-3.1280455217075286E-3</v>
      </c>
      <c r="E165" s="33">
        <v>-8.6668007239091138E-3</v>
      </c>
      <c r="F165" s="124">
        <v>159</v>
      </c>
      <c r="G165" s="33">
        <f t="shared" ca="1" si="13"/>
        <v>5.9978400006716033E-3</v>
      </c>
      <c r="N165" s="118"/>
      <c r="O165" s="116"/>
      <c r="P165" s="123"/>
    </row>
    <row r="166" spans="2:16" x14ac:dyDescent="0.3">
      <c r="B166" s="118" t="s">
        <v>523</v>
      </c>
      <c r="C166" s="116">
        <v>636.17999999999995</v>
      </c>
      <c r="D166" s="119">
        <f t="shared" si="12"/>
        <v>2.4526934535791776E-2</v>
      </c>
      <c r="E166" s="33">
        <v>-9.0648764483889418E-3</v>
      </c>
      <c r="F166" s="124">
        <v>160</v>
      </c>
      <c r="G166" s="33">
        <f t="shared" ca="1" si="13"/>
        <v>4.9634503776829902E-3</v>
      </c>
      <c r="N166" s="118"/>
      <c r="O166" s="116"/>
      <c r="P166" s="123"/>
    </row>
    <row r="167" spans="2:16" x14ac:dyDescent="0.3">
      <c r="B167" s="118" t="s">
        <v>524</v>
      </c>
      <c r="C167" s="116">
        <v>620.95000000000005</v>
      </c>
      <c r="D167" s="119">
        <f t="shared" si="12"/>
        <v>-4.6006860953480243E-3</v>
      </c>
      <c r="E167" s="33">
        <v>-9.4830936649825462E-3</v>
      </c>
      <c r="F167" s="124">
        <v>161</v>
      </c>
      <c r="G167" s="33">
        <f t="shared" ca="1" si="13"/>
        <v>1.3353911099643955E-3</v>
      </c>
      <c r="N167" s="118"/>
      <c r="O167" s="116"/>
      <c r="P167" s="123"/>
    </row>
    <row r="168" spans="2:16" x14ac:dyDescent="0.3">
      <c r="B168" s="118" t="s">
        <v>525</v>
      </c>
      <c r="C168" s="116">
        <v>623.82000000000005</v>
      </c>
      <c r="D168" s="119">
        <f t="shared" si="12"/>
        <v>5.337633609699264E-2</v>
      </c>
      <c r="E168" s="33">
        <v>-1.0012354101746286E-2</v>
      </c>
      <c r="F168" s="124">
        <v>162</v>
      </c>
      <c r="G168" s="33">
        <f t="shared" ca="1" si="13"/>
        <v>3.9096554177108944E-2</v>
      </c>
      <c r="N168" s="118"/>
      <c r="O168" s="116"/>
      <c r="P168" s="123"/>
    </row>
    <row r="169" spans="2:16" x14ac:dyDescent="0.3">
      <c r="B169" s="118" t="s">
        <v>526</v>
      </c>
      <c r="C169" s="116">
        <v>592.21</v>
      </c>
      <c r="D169" s="119">
        <f t="shared" si="12"/>
        <v>-4.8228809571822353E-3</v>
      </c>
      <c r="E169" s="33">
        <v>-1.0177097523840087E-2</v>
      </c>
      <c r="F169" s="124">
        <v>163</v>
      </c>
      <c r="G169" s="33">
        <f t="shared" ca="1" si="13"/>
        <v>-2.8334950048637082E-2</v>
      </c>
      <c r="N169" s="118"/>
      <c r="O169" s="116"/>
      <c r="P169" s="123"/>
    </row>
    <row r="170" spans="2:16" x14ac:dyDescent="0.3">
      <c r="B170" s="118" t="s">
        <v>527</v>
      </c>
      <c r="C170" s="116">
        <v>595.08000000000004</v>
      </c>
      <c r="D170" s="119">
        <f t="shared" si="12"/>
        <v>3.9786129894637694E-2</v>
      </c>
      <c r="E170" s="33">
        <v>-1.0634300315647017E-2</v>
      </c>
      <c r="F170" s="124">
        <v>164</v>
      </c>
      <c r="G170" s="33">
        <f t="shared" ca="1" si="13"/>
        <v>-1.7790570435106217E-2</v>
      </c>
      <c r="N170" s="118"/>
      <c r="O170" s="116"/>
      <c r="P170" s="123"/>
    </row>
    <row r="171" spans="2:16" x14ac:dyDescent="0.3">
      <c r="B171" s="118" t="s">
        <v>528</v>
      </c>
      <c r="C171" s="116">
        <v>572.30999999999995</v>
      </c>
      <c r="D171" s="119">
        <f t="shared" si="12"/>
        <v>5.2871948006323402E-3</v>
      </c>
      <c r="E171" s="33">
        <v>-1.0801982219417467E-2</v>
      </c>
      <c r="F171" s="124">
        <v>165</v>
      </c>
      <c r="G171" s="33">
        <f t="shared" ca="1" si="13"/>
        <v>-1.5922921761611128E-2</v>
      </c>
      <c r="N171" s="118"/>
      <c r="O171" s="116"/>
      <c r="P171" s="123"/>
    </row>
    <row r="172" spans="2:16" x14ac:dyDescent="0.3">
      <c r="B172" s="118" t="s">
        <v>529</v>
      </c>
      <c r="C172" s="116">
        <v>569.29999999999995</v>
      </c>
      <c r="D172" s="119">
        <f t="shared" si="12"/>
        <v>-2.0828675117387067E-2</v>
      </c>
      <c r="E172" s="33">
        <v>-1.0831319682902957E-2</v>
      </c>
      <c r="F172" s="124">
        <v>166</v>
      </c>
      <c r="G172" s="33">
        <f t="shared" ca="1" si="13"/>
        <v>4.3810330740477285E-2</v>
      </c>
      <c r="N172" s="118"/>
      <c r="O172" s="116"/>
      <c r="P172" s="123"/>
    </row>
    <row r="173" spans="2:16" x14ac:dyDescent="0.3">
      <c r="B173" s="118" t="s">
        <v>530</v>
      </c>
      <c r="C173" s="116">
        <v>581.41</v>
      </c>
      <c r="D173" s="119">
        <f t="shared" si="12"/>
        <v>1.7892470106269213E-2</v>
      </c>
      <c r="E173" s="33">
        <v>-1.0909784474537314E-2</v>
      </c>
      <c r="F173" s="124">
        <v>167</v>
      </c>
      <c r="G173" s="33">
        <f t="shared" ca="1" si="13"/>
        <v>-9.3610299404693689E-3</v>
      </c>
      <c r="N173" s="118"/>
      <c r="O173" s="116"/>
      <c r="P173" s="123"/>
    </row>
    <row r="174" spans="2:16" x14ac:dyDescent="0.3">
      <c r="B174" s="118" t="s">
        <v>531</v>
      </c>
      <c r="C174" s="116">
        <v>571.19000000000005</v>
      </c>
      <c r="D174" s="119">
        <f t="shared" si="12"/>
        <v>1.696756044582147E-2</v>
      </c>
      <c r="E174" s="33">
        <v>-1.1081962802273431E-2</v>
      </c>
      <c r="F174" s="124">
        <v>168</v>
      </c>
      <c r="G174" s="33">
        <f t="shared" ca="1" si="13"/>
        <v>3.2417438999539916E-3</v>
      </c>
      <c r="N174" s="118"/>
      <c r="O174" s="116"/>
      <c r="P174" s="123"/>
    </row>
    <row r="175" spans="2:16" x14ac:dyDescent="0.3">
      <c r="B175" s="118" t="s">
        <v>532</v>
      </c>
      <c r="C175" s="116">
        <v>561.66</v>
      </c>
      <c r="D175" s="119">
        <f t="shared" si="12"/>
        <v>-2.5690842541676164E-2</v>
      </c>
      <c r="E175" s="33">
        <v>-1.122635753508233E-2</v>
      </c>
      <c r="F175" s="124">
        <v>169</v>
      </c>
      <c r="G175" s="33">
        <f t="shared" ca="1" si="13"/>
        <v>-7.5959573115983751E-3</v>
      </c>
      <c r="N175" s="118"/>
      <c r="O175" s="116"/>
      <c r="P175" s="123"/>
    </row>
    <row r="176" spans="2:16" x14ac:dyDescent="0.3">
      <c r="B176" s="118" t="s">
        <v>533</v>
      </c>
      <c r="C176" s="116">
        <v>576.47</v>
      </c>
      <c r="D176" s="119">
        <f t="shared" si="12"/>
        <v>8.7317141457269008E-3</v>
      </c>
      <c r="E176" s="33">
        <v>-1.1482236200939164E-2</v>
      </c>
      <c r="F176" s="124">
        <v>170</v>
      </c>
      <c r="G176" s="33">
        <f t="shared" ca="1" si="13"/>
        <v>-3.7034946742090444E-2</v>
      </c>
      <c r="N176" s="118"/>
      <c r="O176" s="116"/>
      <c r="P176" s="123"/>
    </row>
    <row r="177" spans="2:16" x14ac:dyDescent="0.3">
      <c r="B177" s="118" t="s">
        <v>534</v>
      </c>
      <c r="C177" s="116">
        <v>571.48</v>
      </c>
      <c r="D177" s="119">
        <f t="shared" si="12"/>
        <v>4.6053594962659185E-2</v>
      </c>
      <c r="E177" s="33">
        <v>-1.1838078189062727E-2</v>
      </c>
      <c r="F177" s="124">
        <v>171</v>
      </c>
      <c r="G177" s="33">
        <f t="shared" ca="1" si="13"/>
        <v>-5.0095020176496349E-2</v>
      </c>
      <c r="N177" s="118"/>
      <c r="O177" s="116"/>
      <c r="P177" s="123"/>
    </row>
    <row r="178" spans="2:16" x14ac:dyDescent="0.3">
      <c r="B178" s="118" t="s">
        <v>535</v>
      </c>
      <c r="C178" s="116">
        <v>546.32000000000005</v>
      </c>
      <c r="D178" s="119">
        <f t="shared" si="12"/>
        <v>-2.1913491836149913E-2</v>
      </c>
      <c r="E178" s="33">
        <v>-1.299623218478674E-2</v>
      </c>
      <c r="F178" s="124">
        <v>172</v>
      </c>
      <c r="G178" s="33">
        <f t="shared" ca="1" si="13"/>
        <v>2.4768488160258277E-2</v>
      </c>
      <c r="N178" s="118"/>
      <c r="O178" s="116"/>
      <c r="P178" s="123"/>
    </row>
    <row r="179" spans="2:16" x14ac:dyDescent="0.3">
      <c r="B179" s="118" t="s">
        <v>536</v>
      </c>
      <c r="C179" s="116">
        <v>558.55999999999995</v>
      </c>
      <c r="D179" s="119">
        <f t="shared" si="12"/>
        <v>2.1040124303080141E-2</v>
      </c>
      <c r="E179" s="33">
        <v>-1.3174101644085235E-2</v>
      </c>
      <c r="F179" s="124">
        <v>173</v>
      </c>
      <c r="G179" s="33">
        <f t="shared" ca="1" si="13"/>
        <v>-4.6871690004145483E-2</v>
      </c>
      <c r="N179" s="118"/>
      <c r="O179" s="116"/>
      <c r="P179" s="123"/>
    </row>
    <row r="180" spans="2:16" x14ac:dyDescent="0.3">
      <c r="B180" s="118" t="s">
        <v>537</v>
      </c>
      <c r="C180" s="116">
        <v>547.04999999999995</v>
      </c>
      <c r="D180" s="119">
        <f t="shared" si="12"/>
        <v>3.8873485510273677E-2</v>
      </c>
      <c r="E180" s="33">
        <v>-1.3217267720731819E-2</v>
      </c>
      <c r="F180" s="124">
        <v>174</v>
      </c>
      <c r="G180" s="33">
        <f t="shared" ca="1" si="13"/>
        <v>5.8300936280879012E-2</v>
      </c>
      <c r="N180" s="118"/>
      <c r="O180" s="116"/>
      <c r="P180" s="123"/>
    </row>
    <row r="181" spans="2:16" x14ac:dyDescent="0.3">
      <c r="B181" s="118" t="s">
        <v>538</v>
      </c>
      <c r="C181" s="116">
        <v>526.58000000000004</v>
      </c>
      <c r="D181" s="119">
        <f t="shared" si="12"/>
        <v>2.5751908991740742E-2</v>
      </c>
      <c r="E181" s="33">
        <v>-1.3464630225080394E-2</v>
      </c>
      <c r="F181" s="124">
        <v>175</v>
      </c>
      <c r="G181" s="33">
        <f t="shared" ca="1" si="13"/>
        <v>-1.6098981737009389E-2</v>
      </c>
      <c r="N181" s="118"/>
      <c r="O181" s="116"/>
      <c r="P181" s="123"/>
    </row>
    <row r="182" spans="2:16" x14ac:dyDescent="0.3">
      <c r="B182" s="118" t="s">
        <v>539</v>
      </c>
      <c r="C182" s="116">
        <v>513.36</v>
      </c>
      <c r="D182" s="119">
        <f t="shared" si="12"/>
        <v>-1.1838078189062727E-2</v>
      </c>
      <c r="E182" s="33">
        <v>-1.3571485847165388E-2</v>
      </c>
      <c r="F182" s="124">
        <v>176</v>
      </c>
      <c r="G182" s="33">
        <f t="shared" ca="1" si="13"/>
        <v>2.4682789151954068E-2</v>
      </c>
      <c r="N182" s="118"/>
      <c r="O182" s="116"/>
      <c r="P182" s="123"/>
    </row>
    <row r="183" spans="2:16" x14ac:dyDescent="0.3">
      <c r="B183" s="118" t="s">
        <v>540</v>
      </c>
      <c r="C183" s="116">
        <v>519.51</v>
      </c>
      <c r="D183" s="119">
        <f t="shared" si="12"/>
        <v>3.2636823606657542E-3</v>
      </c>
      <c r="E183" s="33">
        <v>-1.3871578267091332E-2</v>
      </c>
      <c r="F183" s="124">
        <v>177</v>
      </c>
      <c r="G183" s="33">
        <f t="shared" ca="1" si="13"/>
        <v>1.7786995305802158E-2</v>
      </c>
      <c r="N183" s="118"/>
      <c r="O183" s="116"/>
      <c r="P183" s="123"/>
    </row>
    <row r="184" spans="2:16" x14ac:dyDescent="0.3">
      <c r="B184" s="118" t="s">
        <v>541</v>
      </c>
      <c r="C184" s="116">
        <v>517.82000000000005</v>
      </c>
      <c r="D184" s="119">
        <f t="shared" si="12"/>
        <v>7.53725141565236E-4</v>
      </c>
      <c r="E184" s="33">
        <v>-1.4252435020268874E-2</v>
      </c>
      <c r="F184" s="124">
        <v>178</v>
      </c>
      <c r="G184" s="33">
        <f t="shared" ca="1" si="13"/>
        <v>-2.8122023355964025E-2</v>
      </c>
      <c r="N184" s="118"/>
      <c r="O184" s="116"/>
      <c r="P184" s="123"/>
    </row>
    <row r="185" spans="2:16" x14ac:dyDescent="0.3">
      <c r="B185" s="118" t="s">
        <v>542</v>
      </c>
      <c r="C185" s="116">
        <v>517.42999999999995</v>
      </c>
      <c r="D185" s="119">
        <f t="shared" si="12"/>
        <v>-6.4135798913148448E-3</v>
      </c>
      <c r="E185" s="33">
        <v>-1.4259466368429547E-2</v>
      </c>
      <c r="F185" s="124">
        <v>179</v>
      </c>
      <c r="G185" s="33">
        <f t="shared" ca="1" si="13"/>
        <v>2.1064171931398541E-2</v>
      </c>
      <c r="N185" s="118"/>
      <c r="O185" s="116"/>
      <c r="P185" s="123"/>
    </row>
    <row r="186" spans="2:16" x14ac:dyDescent="0.3">
      <c r="B186" s="118" t="s">
        <v>543</v>
      </c>
      <c r="C186" s="116">
        <v>520.77</v>
      </c>
      <c r="D186" s="119">
        <f t="shared" si="12"/>
        <v>-3.9098826481659264E-2</v>
      </c>
      <c r="E186" s="33">
        <v>-1.432092546282143E-2</v>
      </c>
      <c r="F186" s="124">
        <v>180</v>
      </c>
      <c r="G186" s="33">
        <f t="shared" ca="1" si="13"/>
        <v>2.0077866110697031E-2</v>
      </c>
      <c r="N186" s="118"/>
      <c r="O186" s="116"/>
      <c r="P186" s="123"/>
    </row>
    <row r="187" spans="2:16" x14ac:dyDescent="0.3">
      <c r="B187" s="118" t="s">
        <v>544</v>
      </c>
      <c r="C187" s="116">
        <v>541.96</v>
      </c>
      <c r="D187" s="119">
        <f t="shared" si="12"/>
        <v>-2.6180080139435319E-2</v>
      </c>
      <c r="E187" s="33">
        <v>-1.4355486128962076E-2</v>
      </c>
      <c r="F187" s="124">
        <v>181</v>
      </c>
      <c r="G187" s="33">
        <f t="shared" ca="1" si="13"/>
        <v>5.1528140910197036E-2</v>
      </c>
      <c r="N187" s="118"/>
      <c r="O187" s="116"/>
      <c r="P187" s="123"/>
    </row>
    <row r="188" spans="2:16" x14ac:dyDescent="0.3">
      <c r="B188" s="118" t="s">
        <v>545</v>
      </c>
      <c r="C188" s="116">
        <v>556.53</v>
      </c>
      <c r="D188" s="119">
        <f t="shared" ref="D188:D251" si="14">(C188-C189)/C189</f>
        <v>2.5861751152073682E-2</v>
      </c>
      <c r="E188" s="33">
        <v>-1.4425465245137289E-2</v>
      </c>
      <c r="F188" s="124">
        <v>182</v>
      </c>
      <c r="G188" s="33">
        <f t="shared" ca="1" si="13"/>
        <v>-1.1983769413402668E-2</v>
      </c>
      <c r="N188" s="118"/>
      <c r="O188" s="116"/>
      <c r="P188" s="123"/>
    </row>
    <row r="189" spans="2:16" x14ac:dyDescent="0.3">
      <c r="B189" s="118" t="s">
        <v>546</v>
      </c>
      <c r="C189" s="116">
        <v>542.5</v>
      </c>
      <c r="D189" s="119">
        <f t="shared" si="14"/>
        <v>4.0567756785268964E-2</v>
      </c>
      <c r="E189" s="33">
        <v>-1.4699629472149651E-2</v>
      </c>
      <c r="F189" s="124">
        <v>183</v>
      </c>
      <c r="G189" s="33">
        <f t="shared" ca="1" si="13"/>
        <v>7.1490233521128266E-2</v>
      </c>
      <c r="N189" s="118"/>
      <c r="O189" s="116"/>
      <c r="P189" s="123"/>
    </row>
    <row r="190" spans="2:16" x14ac:dyDescent="0.3">
      <c r="B190" s="118" t="s">
        <v>547</v>
      </c>
      <c r="C190" s="116">
        <v>521.35</v>
      </c>
      <c r="D190" s="119">
        <f t="shared" si="14"/>
        <v>1.671282031280481E-2</v>
      </c>
      <c r="E190" s="33">
        <v>-1.4837150787786822E-2</v>
      </c>
      <c r="F190" s="124">
        <v>184</v>
      </c>
      <c r="G190" s="33">
        <f t="shared" ca="1" si="13"/>
        <v>-2.8208229436141759E-2</v>
      </c>
      <c r="N190" s="118"/>
      <c r="O190" s="116"/>
      <c r="P190" s="123"/>
    </row>
    <row r="191" spans="2:16" x14ac:dyDescent="0.3">
      <c r="B191" s="118" t="s">
        <v>548</v>
      </c>
      <c r="C191" s="116">
        <v>512.78</v>
      </c>
      <c r="D191" s="119">
        <f t="shared" si="14"/>
        <v>9.5286844902940804E-3</v>
      </c>
      <c r="E191" s="33">
        <v>-1.5183941551972287E-2</v>
      </c>
      <c r="F191" s="124">
        <v>185</v>
      </c>
      <c r="G191" s="33">
        <f t="shared" ca="1" si="13"/>
        <v>3.1923400316300711E-3</v>
      </c>
      <c r="N191" s="118"/>
      <c r="O191" s="116"/>
      <c r="P191" s="123"/>
    </row>
    <row r="192" spans="2:16" x14ac:dyDescent="0.3">
      <c r="B192" s="118" t="s">
        <v>549</v>
      </c>
      <c r="C192" s="116">
        <v>507.94</v>
      </c>
      <c r="D192" s="119">
        <f t="shared" si="14"/>
        <v>2.5659245223433038E-3</v>
      </c>
      <c r="E192" s="33">
        <v>-1.5318195776657847E-2</v>
      </c>
      <c r="F192" s="124">
        <v>186</v>
      </c>
      <c r="G192" s="33">
        <f t="shared" ca="1" si="13"/>
        <v>-9.3177236346061211E-3</v>
      </c>
      <c r="N192" s="118"/>
      <c r="O192" s="116"/>
      <c r="P192" s="123"/>
    </row>
    <row r="193" spans="2:16" x14ac:dyDescent="0.3">
      <c r="B193" s="118" t="s">
        <v>550</v>
      </c>
      <c r="C193" s="116">
        <v>506.64</v>
      </c>
      <c r="D193" s="119">
        <f t="shared" si="14"/>
        <v>-1.8125935849949088E-3</v>
      </c>
      <c r="E193" s="33">
        <v>-1.554916412007913E-2</v>
      </c>
      <c r="F193" s="124">
        <v>187</v>
      </c>
      <c r="G193" s="33">
        <f t="shared" ca="1" si="13"/>
        <v>1.1788810027822096E-2</v>
      </c>
      <c r="N193" s="118"/>
      <c r="O193" s="116"/>
      <c r="P193" s="123"/>
    </row>
    <row r="194" spans="2:16" x14ac:dyDescent="0.3">
      <c r="B194" s="118" t="s">
        <v>551</v>
      </c>
      <c r="C194" s="116">
        <v>507.56</v>
      </c>
      <c r="D194" s="119">
        <f t="shared" si="14"/>
        <v>4.2346079599129269E-2</v>
      </c>
      <c r="E194" s="33">
        <v>-1.6267332120006889E-2</v>
      </c>
      <c r="F194" s="124">
        <v>188</v>
      </c>
      <c r="G194" s="33">
        <f t="shared" ca="1" si="13"/>
        <v>1.7270771909609125E-2</v>
      </c>
      <c r="N194" s="118"/>
      <c r="O194" s="116"/>
      <c r="P194" s="123"/>
    </row>
    <row r="195" spans="2:16" x14ac:dyDescent="0.3">
      <c r="B195" s="118" t="s">
        <v>552</v>
      </c>
      <c r="C195" s="116">
        <v>486.94</v>
      </c>
      <c r="D195" s="119">
        <f t="shared" si="14"/>
        <v>-2.0162588538312907E-2</v>
      </c>
      <c r="E195" s="33">
        <v>-1.6295122779223691E-2</v>
      </c>
      <c r="F195" s="124">
        <v>189</v>
      </c>
      <c r="G195" s="33">
        <f t="shared" ca="1" si="13"/>
        <v>-2.1204466931255668E-2</v>
      </c>
      <c r="N195" s="118"/>
      <c r="O195" s="116"/>
      <c r="P195" s="123"/>
    </row>
    <row r="196" spans="2:16" x14ac:dyDescent="0.3">
      <c r="B196" s="118" t="s">
        <v>553</v>
      </c>
      <c r="C196" s="116">
        <v>496.96</v>
      </c>
      <c r="D196" s="119">
        <f t="shared" si="14"/>
        <v>-3.848311889329601E-2</v>
      </c>
      <c r="E196" s="33">
        <v>-1.6479275046148576E-2</v>
      </c>
      <c r="F196" s="124">
        <v>190</v>
      </c>
      <c r="G196" s="33">
        <f t="shared" ca="1" si="13"/>
        <v>1.4197245183643358E-2</v>
      </c>
      <c r="N196" s="118"/>
      <c r="O196" s="116"/>
      <c r="P196" s="123"/>
    </row>
    <row r="197" spans="2:16" x14ac:dyDescent="0.3">
      <c r="B197" s="118" t="s">
        <v>554</v>
      </c>
      <c r="C197" s="116">
        <v>516.85</v>
      </c>
      <c r="D197" s="119">
        <f t="shared" si="14"/>
        <v>2.3485613576506491E-2</v>
      </c>
      <c r="E197" s="33">
        <v>-1.6565463851332708E-2</v>
      </c>
      <c r="F197" s="124">
        <v>191</v>
      </c>
      <c r="G197" s="33">
        <f t="shared" ca="1" si="13"/>
        <v>-3.6081274739061753E-2</v>
      </c>
      <c r="N197" s="118"/>
      <c r="O197" s="116"/>
      <c r="P197" s="123"/>
    </row>
    <row r="198" spans="2:16" x14ac:dyDescent="0.3">
      <c r="B198" s="118" t="s">
        <v>555</v>
      </c>
      <c r="C198" s="116">
        <v>504.99</v>
      </c>
      <c r="D198" s="119">
        <f t="shared" si="14"/>
        <v>1.3995421870607662E-2</v>
      </c>
      <c r="E198" s="33">
        <v>-1.6894758198384242E-2</v>
      </c>
      <c r="F198" s="124">
        <v>192</v>
      </c>
      <c r="G198" s="33">
        <f t="shared" ca="1" si="13"/>
        <v>4.3763647911883106E-2</v>
      </c>
      <c r="N198" s="118"/>
      <c r="O198" s="116"/>
      <c r="P198" s="123"/>
    </row>
    <row r="199" spans="2:16" x14ac:dyDescent="0.3">
      <c r="B199" s="118" t="s">
        <v>556</v>
      </c>
      <c r="C199" s="116">
        <v>498.02</v>
      </c>
      <c r="D199" s="119">
        <f t="shared" si="14"/>
        <v>-3.4526879010526833E-2</v>
      </c>
      <c r="E199" s="33">
        <v>-1.6908163472676638E-2</v>
      </c>
      <c r="F199" s="124">
        <v>193</v>
      </c>
      <c r="G199" s="33">
        <f t="shared" ca="1" si="13"/>
        <v>1.7453659601734756E-2</v>
      </c>
      <c r="N199" s="118"/>
      <c r="O199" s="116"/>
      <c r="P199" s="123"/>
    </row>
    <row r="200" spans="2:16" x14ac:dyDescent="0.3">
      <c r="B200" s="118" t="s">
        <v>557</v>
      </c>
      <c r="C200" s="116">
        <v>515.83000000000004</v>
      </c>
      <c r="D200" s="119">
        <f t="shared" si="14"/>
        <v>-1.4425465245137289E-2</v>
      </c>
      <c r="E200" s="33">
        <v>-1.7283240112943573E-2</v>
      </c>
      <c r="F200" s="124">
        <v>194</v>
      </c>
      <c r="G200" s="33">
        <f t="shared" ref="G200:G263" ca="1" si="15">_xlfn.NORM.INV(RAND(),$M$9,$M$10)</f>
        <v>3.0756399698992878E-2</v>
      </c>
      <c r="N200" s="118"/>
      <c r="O200" s="116"/>
      <c r="P200" s="123"/>
    </row>
    <row r="201" spans="2:16" x14ac:dyDescent="0.3">
      <c r="B201" s="118" t="s">
        <v>558</v>
      </c>
      <c r="C201" s="116">
        <v>523.38</v>
      </c>
      <c r="D201" s="119">
        <f t="shared" si="14"/>
        <v>1.2051649928263902E-3</v>
      </c>
      <c r="E201" s="33">
        <v>-1.7715749550868284E-2</v>
      </c>
      <c r="F201" s="124">
        <v>195</v>
      </c>
      <c r="G201" s="33">
        <f t="shared" ca="1" si="15"/>
        <v>-1.4362267104074456E-3</v>
      </c>
      <c r="N201" s="118"/>
      <c r="O201" s="116"/>
      <c r="P201" s="123"/>
    </row>
    <row r="202" spans="2:16" x14ac:dyDescent="0.3">
      <c r="B202" s="118" t="s">
        <v>559</v>
      </c>
      <c r="C202" s="116">
        <v>522.75</v>
      </c>
      <c r="D202" s="119">
        <f t="shared" si="14"/>
        <v>1.1043632987776646E-2</v>
      </c>
      <c r="E202" s="33">
        <v>-1.9054923013391536E-2</v>
      </c>
      <c r="F202" s="124">
        <v>196</v>
      </c>
      <c r="G202" s="33">
        <f t="shared" ca="1" si="15"/>
        <v>4.884550096781929E-2</v>
      </c>
      <c r="N202" s="118"/>
      <c r="O202" s="116"/>
      <c r="P202" s="123"/>
    </row>
    <row r="203" spans="2:16" x14ac:dyDescent="0.3">
      <c r="B203" s="118" t="s">
        <v>560</v>
      </c>
      <c r="C203" s="116">
        <v>517.04</v>
      </c>
      <c r="D203" s="119">
        <f t="shared" si="14"/>
        <v>3.8191237299706804E-2</v>
      </c>
      <c r="E203" s="33">
        <v>-1.9278005210271704E-2</v>
      </c>
      <c r="F203" s="124">
        <v>197</v>
      </c>
      <c r="G203" s="33">
        <f t="shared" ca="1" si="15"/>
        <v>-1.471236363999362E-2</v>
      </c>
      <c r="N203" s="118"/>
      <c r="O203" s="116"/>
      <c r="P203" s="123"/>
    </row>
    <row r="204" spans="2:16" x14ac:dyDescent="0.3">
      <c r="B204" s="118" t="s">
        <v>561</v>
      </c>
      <c r="C204" s="116">
        <v>498.02</v>
      </c>
      <c r="D204" s="119">
        <f t="shared" si="14"/>
        <v>1.0203046714943452E-2</v>
      </c>
      <c r="E204" s="33">
        <v>-1.9547775346462425E-2</v>
      </c>
      <c r="F204" s="124">
        <v>198</v>
      </c>
      <c r="G204" s="33">
        <f t="shared" ca="1" si="15"/>
        <v>-3.8936432693094008E-3</v>
      </c>
      <c r="N204" s="118"/>
      <c r="O204" s="116"/>
      <c r="P204" s="123"/>
    </row>
    <row r="205" spans="2:16" x14ac:dyDescent="0.3">
      <c r="B205" s="118" t="s">
        <v>562</v>
      </c>
      <c r="C205" s="116">
        <v>492.99</v>
      </c>
      <c r="D205" s="119">
        <f t="shared" si="14"/>
        <v>-8.6668007239091138E-3</v>
      </c>
      <c r="E205" s="33">
        <v>-1.9579943083891216E-2</v>
      </c>
      <c r="F205" s="124">
        <v>199</v>
      </c>
      <c r="G205" s="33">
        <f t="shared" ca="1" si="15"/>
        <v>1.9166524852185458E-2</v>
      </c>
      <c r="N205" s="118"/>
      <c r="O205" s="116"/>
      <c r="P205" s="123"/>
    </row>
    <row r="206" spans="2:16" x14ac:dyDescent="0.3">
      <c r="B206" s="118" t="s">
        <v>563</v>
      </c>
      <c r="C206" s="116">
        <v>497.3</v>
      </c>
      <c r="D206" s="119">
        <f t="shared" si="14"/>
        <v>2.2893226649114497E-2</v>
      </c>
      <c r="E206" s="33">
        <v>-1.9600692861701158E-2</v>
      </c>
      <c r="F206" s="124">
        <v>200</v>
      </c>
      <c r="G206" s="33">
        <f t="shared" ca="1" si="15"/>
        <v>-3.8791996648249394E-2</v>
      </c>
      <c r="N206" s="118"/>
      <c r="O206" s="116"/>
      <c r="P206" s="123"/>
    </row>
    <row r="207" spans="2:16" x14ac:dyDescent="0.3">
      <c r="B207" s="118" t="s">
        <v>564</v>
      </c>
      <c r="C207" s="116">
        <v>486.17</v>
      </c>
      <c r="D207" s="119">
        <f t="shared" si="14"/>
        <v>5.0025839793281981E-3</v>
      </c>
      <c r="E207" s="33">
        <v>-1.9741106316783583E-2</v>
      </c>
      <c r="F207" s="124">
        <v>201</v>
      </c>
      <c r="G207" s="33">
        <f t="shared" ca="1" si="15"/>
        <v>2.849262877671058E-2</v>
      </c>
      <c r="N207" s="118"/>
      <c r="O207" s="116"/>
      <c r="P207" s="123"/>
    </row>
    <row r="208" spans="2:16" x14ac:dyDescent="0.3">
      <c r="B208" s="118" t="s">
        <v>565</v>
      </c>
      <c r="C208" s="116">
        <v>483.75</v>
      </c>
      <c r="D208" s="119">
        <f t="shared" si="14"/>
        <v>-1.6908163472676638E-2</v>
      </c>
      <c r="E208" s="33">
        <v>-1.9869318648804174E-2</v>
      </c>
      <c r="F208" s="124">
        <v>202</v>
      </c>
      <c r="G208" s="33">
        <f t="shared" ca="1" si="15"/>
        <v>-3.7610154651215692E-2</v>
      </c>
      <c r="N208" s="118"/>
      <c r="O208" s="116"/>
      <c r="P208" s="123"/>
    </row>
    <row r="209" spans="2:16" x14ac:dyDescent="0.3">
      <c r="B209" s="118" t="s">
        <v>566</v>
      </c>
      <c r="C209" s="116">
        <v>492.07</v>
      </c>
      <c r="D209" s="119">
        <f t="shared" si="14"/>
        <v>-1.3571485847165388E-2</v>
      </c>
      <c r="E209" s="33">
        <v>-1.9916014706138508E-2</v>
      </c>
      <c r="F209" s="124">
        <v>203</v>
      </c>
      <c r="G209" s="33">
        <f t="shared" ca="1" si="15"/>
        <v>-4.2134738975045709E-2</v>
      </c>
      <c r="N209" s="118"/>
      <c r="O209" s="116"/>
      <c r="P209" s="123"/>
    </row>
    <row r="210" spans="2:16" x14ac:dyDescent="0.3">
      <c r="B210" s="118" t="s">
        <v>567</v>
      </c>
      <c r="C210" s="116">
        <v>498.84</v>
      </c>
      <c r="D210" s="119">
        <f t="shared" si="14"/>
        <v>-1.9054923013391536E-2</v>
      </c>
      <c r="E210" s="33">
        <v>-2.0162588538312907E-2</v>
      </c>
      <c r="F210" s="124">
        <v>204</v>
      </c>
      <c r="G210" s="33">
        <f t="shared" ca="1" si="15"/>
        <v>2.0832865064209032E-3</v>
      </c>
      <c r="N210" s="118"/>
      <c r="O210" s="116"/>
      <c r="P210" s="123"/>
    </row>
    <row r="211" spans="2:16" x14ac:dyDescent="0.3">
      <c r="B211" s="118" t="s">
        <v>568</v>
      </c>
      <c r="C211" s="116">
        <v>508.53</v>
      </c>
      <c r="D211" s="119">
        <f t="shared" si="14"/>
        <v>3.0790124457777596E-2</v>
      </c>
      <c r="E211" s="33">
        <v>-2.0633763709565434E-2</v>
      </c>
      <c r="F211" s="124">
        <v>205</v>
      </c>
      <c r="G211" s="33">
        <f t="shared" ca="1" si="15"/>
        <v>3.4921518628689731E-2</v>
      </c>
      <c r="N211" s="118"/>
      <c r="O211" s="116"/>
      <c r="P211" s="123"/>
    </row>
    <row r="212" spans="2:16" x14ac:dyDescent="0.3">
      <c r="B212" s="118" t="s">
        <v>569</v>
      </c>
      <c r="C212" s="116">
        <v>493.34</v>
      </c>
      <c r="D212" s="119">
        <f t="shared" si="14"/>
        <v>-1.4837150787786822E-2</v>
      </c>
      <c r="E212" s="33">
        <v>-2.0828675117387067E-2</v>
      </c>
      <c r="F212" s="124">
        <v>206</v>
      </c>
      <c r="G212" s="33">
        <f t="shared" ca="1" si="15"/>
        <v>-1.9017531516626048E-2</v>
      </c>
      <c r="N212" s="118"/>
      <c r="O212" s="116"/>
      <c r="P212" s="123"/>
    </row>
    <row r="213" spans="2:16" x14ac:dyDescent="0.3">
      <c r="B213" s="118" t="s">
        <v>570</v>
      </c>
      <c r="C213" s="116">
        <v>500.77</v>
      </c>
      <c r="D213" s="119">
        <f t="shared" si="14"/>
        <v>1.4567040803922359E-2</v>
      </c>
      <c r="E213" s="33">
        <v>-2.1913491836149913E-2</v>
      </c>
      <c r="F213" s="124">
        <v>207</v>
      </c>
      <c r="G213" s="33">
        <f t="shared" ca="1" si="15"/>
        <v>-1.7060133406070631E-3</v>
      </c>
      <c r="N213" s="118"/>
      <c r="O213" s="116"/>
      <c r="P213" s="123"/>
    </row>
    <row r="214" spans="2:16" x14ac:dyDescent="0.3">
      <c r="B214" s="118" t="s">
        <v>571</v>
      </c>
      <c r="C214" s="116">
        <v>493.58</v>
      </c>
      <c r="D214" s="119">
        <f t="shared" si="14"/>
        <v>-1.4259466368429547E-2</v>
      </c>
      <c r="E214" s="33">
        <v>-2.2589160746239571E-2</v>
      </c>
      <c r="F214" s="124">
        <v>208</v>
      </c>
      <c r="G214" s="33">
        <f t="shared" ca="1" si="15"/>
        <v>-3.2576295266341114E-2</v>
      </c>
      <c r="N214" s="118"/>
      <c r="O214" s="116"/>
      <c r="P214" s="123"/>
    </row>
    <row r="215" spans="2:16" x14ac:dyDescent="0.3">
      <c r="B215" s="118" t="s">
        <v>572</v>
      </c>
      <c r="C215" s="116">
        <v>500.72</v>
      </c>
      <c r="D215" s="119">
        <f t="shared" si="14"/>
        <v>1.0310526421985055E-2</v>
      </c>
      <c r="E215" s="33">
        <v>-2.2766203242640334E-2</v>
      </c>
      <c r="F215" s="124">
        <v>209</v>
      </c>
      <c r="G215" s="33">
        <f t="shared" ca="1" si="15"/>
        <v>2.4164419184449629E-2</v>
      </c>
      <c r="N215" s="118"/>
      <c r="O215" s="116"/>
      <c r="P215" s="123"/>
    </row>
    <row r="216" spans="2:16" x14ac:dyDescent="0.3">
      <c r="B216" s="118" t="s">
        <v>573</v>
      </c>
      <c r="C216" s="116">
        <v>495.61</v>
      </c>
      <c r="D216" s="119">
        <f t="shared" si="14"/>
        <v>4.3038134523107979E-2</v>
      </c>
      <c r="E216" s="33">
        <v>-2.3271944074324202E-2</v>
      </c>
      <c r="F216" s="124">
        <v>210</v>
      </c>
      <c r="G216" s="33">
        <f t="shared" ca="1" si="15"/>
        <v>-8.8272813738630926E-3</v>
      </c>
      <c r="N216" s="118"/>
      <c r="O216" s="116"/>
      <c r="P216" s="123"/>
    </row>
    <row r="217" spans="2:16" x14ac:dyDescent="0.3">
      <c r="B217" s="118" t="s">
        <v>574</v>
      </c>
      <c r="C217" s="116">
        <v>475.16</v>
      </c>
      <c r="D217" s="119">
        <f t="shared" si="14"/>
        <v>-3.1175451116321671E-2</v>
      </c>
      <c r="E217" s="33">
        <v>-2.3285107608148087E-2</v>
      </c>
      <c r="F217" s="124">
        <v>211</v>
      </c>
      <c r="G217" s="33">
        <f t="shared" ca="1" si="15"/>
        <v>1.9406511559043452E-2</v>
      </c>
      <c r="N217" s="118"/>
      <c r="O217" s="116"/>
      <c r="P217" s="123"/>
    </row>
    <row r="218" spans="2:16" x14ac:dyDescent="0.3">
      <c r="B218" s="118" t="s">
        <v>575</v>
      </c>
      <c r="C218" s="116">
        <v>490.45</v>
      </c>
      <c r="D218" s="119">
        <f t="shared" si="14"/>
        <v>4.0795512493623382E-4</v>
      </c>
      <c r="E218" s="33">
        <v>-2.3984045623917632E-2</v>
      </c>
      <c r="F218" s="124">
        <v>212</v>
      </c>
      <c r="G218" s="33">
        <f t="shared" ca="1" si="15"/>
        <v>2.6368217905887125E-2</v>
      </c>
      <c r="N218" s="118"/>
      <c r="O218" s="116"/>
      <c r="P218" s="123"/>
    </row>
    <row r="219" spans="2:16" x14ac:dyDescent="0.3">
      <c r="B219" s="118" t="s">
        <v>576</v>
      </c>
      <c r="C219" s="116">
        <v>490.25</v>
      </c>
      <c r="D219" s="119">
        <f t="shared" si="14"/>
        <v>5.0528210512782015E-2</v>
      </c>
      <c r="E219" s="33">
        <v>-2.5690842541676164E-2</v>
      </c>
      <c r="F219" s="124">
        <v>213</v>
      </c>
      <c r="G219" s="33">
        <f t="shared" ca="1" si="15"/>
        <v>7.6319587325216019E-3</v>
      </c>
      <c r="N219" s="118"/>
      <c r="O219" s="116"/>
      <c r="P219" s="123"/>
    </row>
    <row r="220" spans="2:16" x14ac:dyDescent="0.3">
      <c r="B220" s="118" t="s">
        <v>577</v>
      </c>
      <c r="C220" s="116">
        <v>466.67</v>
      </c>
      <c r="D220" s="119">
        <f t="shared" si="14"/>
        <v>-1.0831319682902957E-2</v>
      </c>
      <c r="E220" s="33">
        <v>-2.5884802220680014E-2</v>
      </c>
      <c r="F220" s="124">
        <v>214</v>
      </c>
      <c r="G220" s="33">
        <f t="shared" ca="1" si="15"/>
        <v>7.9952676041928662E-3</v>
      </c>
      <c r="N220" s="118"/>
      <c r="O220" s="116"/>
      <c r="P220" s="123"/>
    </row>
    <row r="221" spans="2:16" x14ac:dyDescent="0.3">
      <c r="B221" s="118" t="s">
        <v>578</v>
      </c>
      <c r="C221" s="116">
        <v>471.78</v>
      </c>
      <c r="D221" s="119">
        <f t="shared" si="14"/>
        <v>-5.7952078899121242E-3</v>
      </c>
      <c r="E221" s="33">
        <v>-2.6058937035163585E-2</v>
      </c>
      <c r="F221" s="124">
        <v>215</v>
      </c>
      <c r="G221" s="33">
        <f t="shared" ca="1" si="15"/>
        <v>-1.2086453886392553E-3</v>
      </c>
      <c r="N221" s="118"/>
      <c r="O221" s="116"/>
      <c r="P221" s="123"/>
    </row>
    <row r="222" spans="2:16" x14ac:dyDescent="0.3">
      <c r="B222" s="118" t="s">
        <v>579</v>
      </c>
      <c r="C222" s="116">
        <v>474.53</v>
      </c>
      <c r="D222" s="119">
        <f t="shared" si="14"/>
        <v>-7.1971044207796604E-3</v>
      </c>
      <c r="E222" s="33">
        <v>-2.6180080139435319E-2</v>
      </c>
      <c r="F222" s="124">
        <v>216</v>
      </c>
      <c r="G222" s="33">
        <f t="shared" ca="1" si="15"/>
        <v>-4.0685413336919891E-2</v>
      </c>
      <c r="N222" s="118"/>
      <c r="O222" s="116"/>
      <c r="P222" s="123"/>
    </row>
    <row r="223" spans="2:16" x14ac:dyDescent="0.3">
      <c r="B223" s="118" t="s">
        <v>580</v>
      </c>
      <c r="C223" s="116">
        <v>477.97</v>
      </c>
      <c r="D223" s="119">
        <f t="shared" si="14"/>
        <v>-2.9679855457885766E-2</v>
      </c>
      <c r="E223" s="33">
        <v>-2.7482311044468438E-2</v>
      </c>
      <c r="F223" s="124">
        <v>217</v>
      </c>
      <c r="G223" s="33">
        <f t="shared" ca="1" si="15"/>
        <v>-1.2454654138810223E-2</v>
      </c>
      <c r="N223" s="118"/>
      <c r="O223" s="116"/>
      <c r="P223" s="123"/>
    </row>
    <row r="224" spans="2:16" x14ac:dyDescent="0.3">
      <c r="B224" s="118" t="s">
        <v>581</v>
      </c>
      <c r="C224" s="116">
        <v>492.59</v>
      </c>
      <c r="D224" s="119">
        <f t="shared" si="14"/>
        <v>-2.4301828712611543E-3</v>
      </c>
      <c r="E224" s="33">
        <v>-2.7663653793481249E-2</v>
      </c>
      <c r="F224" s="124">
        <v>218</v>
      </c>
      <c r="G224" s="33">
        <f t="shared" ca="1" si="15"/>
        <v>-4.5799653433553494E-2</v>
      </c>
      <c r="N224" s="118"/>
      <c r="O224" s="116"/>
      <c r="P224" s="123"/>
    </row>
    <row r="225" spans="2:16" x14ac:dyDescent="0.3">
      <c r="B225" s="118" t="s">
        <v>582</v>
      </c>
      <c r="C225" s="116">
        <v>493.79</v>
      </c>
      <c r="D225" s="119">
        <f t="shared" si="14"/>
        <v>8.9178577730721728E-2</v>
      </c>
      <c r="E225" s="33">
        <v>-2.8156429224503388E-2</v>
      </c>
      <c r="F225" s="124">
        <v>219</v>
      </c>
      <c r="G225" s="33">
        <f t="shared" ca="1" si="15"/>
        <v>5.7121464230718538E-2</v>
      </c>
      <c r="N225" s="118"/>
      <c r="O225" s="116"/>
      <c r="P225" s="123"/>
    </row>
    <row r="226" spans="2:16" x14ac:dyDescent="0.3">
      <c r="B226" s="118" t="s">
        <v>583</v>
      </c>
      <c r="C226" s="116">
        <v>453.36</v>
      </c>
      <c r="D226" s="119">
        <f t="shared" si="14"/>
        <v>-3.9226905715557231E-2</v>
      </c>
      <c r="E226" s="33">
        <v>-2.9159947784688518E-2</v>
      </c>
      <c r="F226" s="124">
        <v>220</v>
      </c>
      <c r="G226" s="33">
        <f t="shared" ca="1" si="15"/>
        <v>-9.5437318892958173E-3</v>
      </c>
      <c r="N226" s="118"/>
      <c r="O226" s="116"/>
      <c r="P226" s="123"/>
    </row>
    <row r="227" spans="2:16" x14ac:dyDescent="0.3">
      <c r="B227" s="118" t="s">
        <v>584</v>
      </c>
      <c r="C227" s="116">
        <v>471.87</v>
      </c>
      <c r="D227" s="119">
        <f t="shared" si="14"/>
        <v>3.5006909258406216E-2</v>
      </c>
      <c r="E227" s="33">
        <v>-2.9679855457885766E-2</v>
      </c>
      <c r="F227" s="124">
        <v>221</v>
      </c>
      <c r="G227" s="33">
        <f t="shared" ca="1" si="15"/>
        <v>-3.2461688790255967E-2</v>
      </c>
      <c r="N227" s="118"/>
      <c r="O227" s="116"/>
      <c r="P227" s="123"/>
    </row>
    <row r="228" spans="2:16" x14ac:dyDescent="0.3">
      <c r="B228" s="118" t="s">
        <v>585</v>
      </c>
      <c r="C228" s="116">
        <v>455.91</v>
      </c>
      <c r="D228" s="119">
        <f t="shared" si="14"/>
        <v>1.520887147056213E-2</v>
      </c>
      <c r="E228" s="33">
        <v>-3.0723537661909092E-2</v>
      </c>
      <c r="F228" s="124">
        <v>222</v>
      </c>
      <c r="G228" s="33">
        <f t="shared" ca="1" si="15"/>
        <v>-3.1371638676104312E-2</v>
      </c>
      <c r="N228" s="118"/>
      <c r="O228" s="116"/>
      <c r="P228" s="123"/>
    </row>
    <row r="229" spans="2:16" x14ac:dyDescent="0.3">
      <c r="B229" s="118" t="s">
        <v>586</v>
      </c>
      <c r="C229" s="116">
        <v>449.08</v>
      </c>
      <c r="D229" s="119">
        <f t="shared" si="14"/>
        <v>1.4549069221037407E-2</v>
      </c>
      <c r="E229" s="33">
        <v>-3.1175451116321671E-2</v>
      </c>
      <c r="F229" s="124">
        <v>223</v>
      </c>
      <c r="G229" s="33">
        <f t="shared" ca="1" si="15"/>
        <v>1.0585401095598861E-3</v>
      </c>
      <c r="N229" s="118"/>
      <c r="O229" s="116"/>
      <c r="P229" s="123"/>
    </row>
    <row r="230" spans="2:16" x14ac:dyDescent="0.3">
      <c r="B230" s="118" t="s">
        <v>587</v>
      </c>
      <c r="C230" s="116">
        <v>442.64</v>
      </c>
      <c r="D230" s="119">
        <f t="shared" si="14"/>
        <v>3.906103286384973E-2</v>
      </c>
      <c r="E230" s="33">
        <v>-3.1726404227928752E-2</v>
      </c>
      <c r="F230" s="124">
        <v>224</v>
      </c>
      <c r="G230" s="33">
        <f t="shared" ca="1" si="15"/>
        <v>3.0010788451519579E-2</v>
      </c>
      <c r="N230" s="118"/>
      <c r="O230" s="116"/>
      <c r="P230" s="123"/>
    </row>
    <row r="231" spans="2:16" x14ac:dyDescent="0.3">
      <c r="B231" s="118" t="s">
        <v>588</v>
      </c>
      <c r="C231" s="116">
        <v>426</v>
      </c>
      <c r="D231" s="119">
        <f t="shared" si="14"/>
        <v>-2.7663653793481249E-2</v>
      </c>
      <c r="E231" s="33">
        <v>-3.1923383878691015E-2</v>
      </c>
      <c r="F231" s="124">
        <v>225</v>
      </c>
      <c r="G231" s="33">
        <f t="shared" ca="1" si="15"/>
        <v>-0.11915095538834125</v>
      </c>
      <c r="N231" s="118"/>
      <c r="O231" s="116"/>
      <c r="P231" s="123"/>
    </row>
    <row r="232" spans="2:16" x14ac:dyDescent="0.3">
      <c r="B232" s="118" t="s">
        <v>589</v>
      </c>
      <c r="C232" s="116">
        <v>438.12</v>
      </c>
      <c r="D232" s="119">
        <f t="shared" si="14"/>
        <v>-1.554916412007913E-2</v>
      </c>
      <c r="E232" s="33">
        <v>-3.3991034555786934E-2</v>
      </c>
      <c r="F232" s="124">
        <v>226</v>
      </c>
      <c r="G232" s="33">
        <f t="shared" ca="1" si="15"/>
        <v>-9.1018438036303551E-3</v>
      </c>
      <c r="N232" s="118"/>
      <c r="O232" s="116"/>
      <c r="P232" s="123"/>
    </row>
    <row r="233" spans="2:16" x14ac:dyDescent="0.3">
      <c r="B233" s="118" t="s">
        <v>590</v>
      </c>
      <c r="C233" s="116">
        <v>445.04</v>
      </c>
      <c r="D233" s="119">
        <f t="shared" si="14"/>
        <v>-7.7146042363433216E-3</v>
      </c>
      <c r="E233" s="33">
        <v>-3.4298637917254869E-2</v>
      </c>
      <c r="F233" s="124">
        <v>227</v>
      </c>
      <c r="G233" s="33">
        <f t="shared" ca="1" si="15"/>
        <v>2.5426451659903279E-3</v>
      </c>
      <c r="N233" s="118"/>
      <c r="O233" s="116"/>
      <c r="P233" s="123"/>
    </row>
    <row r="234" spans="2:16" x14ac:dyDescent="0.3">
      <c r="B234" s="118" t="s">
        <v>591</v>
      </c>
      <c r="C234" s="116">
        <v>448.5</v>
      </c>
      <c r="D234" s="119">
        <f t="shared" si="14"/>
        <v>8.0488568744127839E-2</v>
      </c>
      <c r="E234" s="33">
        <v>-3.4526879010526833E-2</v>
      </c>
      <c r="F234" s="124">
        <v>228</v>
      </c>
      <c r="G234" s="33">
        <f t="shared" ca="1" si="15"/>
        <v>-2.9863973562167826E-3</v>
      </c>
      <c r="N234" s="118"/>
      <c r="O234" s="116"/>
      <c r="P234" s="123"/>
    </row>
    <row r="235" spans="2:16" x14ac:dyDescent="0.3">
      <c r="B235" s="118" t="s">
        <v>592</v>
      </c>
      <c r="C235" s="116">
        <v>415.09</v>
      </c>
      <c r="D235" s="119">
        <f t="shared" si="14"/>
        <v>-2.7482311044468438E-2</v>
      </c>
      <c r="E235" s="33">
        <v>-3.4880041692259028E-2</v>
      </c>
      <c r="F235" s="124">
        <v>229</v>
      </c>
      <c r="G235" s="33">
        <f t="shared" ca="1" si="15"/>
        <v>2.5180144239188223E-2</v>
      </c>
      <c r="N235" s="118"/>
      <c r="O235" s="116"/>
      <c r="P235" s="123"/>
    </row>
    <row r="236" spans="2:16" x14ac:dyDescent="0.3">
      <c r="B236" s="118" t="s">
        <v>593</v>
      </c>
      <c r="C236" s="116">
        <v>426.82</v>
      </c>
      <c r="D236" s="119">
        <f t="shared" si="14"/>
        <v>-6.4942622378436734E-3</v>
      </c>
      <c r="E236" s="33">
        <v>-3.5138495403868514E-2</v>
      </c>
      <c r="F236" s="124">
        <v>230</v>
      </c>
      <c r="G236" s="33">
        <f t="shared" ca="1" si="15"/>
        <v>1.9656926473703919E-3</v>
      </c>
      <c r="N236" s="118"/>
      <c r="O236" s="116"/>
      <c r="P236" s="123"/>
    </row>
    <row r="237" spans="2:16" x14ac:dyDescent="0.3">
      <c r="B237" s="118" t="s">
        <v>594</v>
      </c>
      <c r="C237" s="116">
        <v>429.61</v>
      </c>
      <c r="D237" s="119">
        <f t="shared" si="14"/>
        <v>-8.684932089187411E-2</v>
      </c>
      <c r="E237" s="33">
        <v>-3.631458808881511E-2</v>
      </c>
      <c r="F237" s="124">
        <v>231</v>
      </c>
      <c r="G237" s="33">
        <f t="shared" ca="1" si="15"/>
        <v>2.6209482904338659E-3</v>
      </c>
      <c r="N237" s="118"/>
      <c r="O237" s="116"/>
      <c r="P237" s="123"/>
    </row>
    <row r="238" spans="2:16" x14ac:dyDescent="0.3">
      <c r="B238" s="118" t="s">
        <v>595</v>
      </c>
      <c r="C238" s="116">
        <v>470.47</v>
      </c>
      <c r="D238" s="119">
        <f t="shared" si="14"/>
        <v>-1.9547775346462425E-2</v>
      </c>
      <c r="E238" s="33">
        <v>-3.848311889329601E-2</v>
      </c>
      <c r="F238" s="124">
        <v>232</v>
      </c>
      <c r="G238" s="33">
        <f t="shared" ca="1" si="15"/>
        <v>-6.2440693541767185E-2</v>
      </c>
      <c r="N238" s="118"/>
      <c r="O238" s="116"/>
      <c r="P238" s="123"/>
    </row>
    <row r="239" spans="2:16" x14ac:dyDescent="0.3">
      <c r="B239" s="118" t="s">
        <v>596</v>
      </c>
      <c r="C239" s="116">
        <v>479.85</v>
      </c>
      <c r="D239" s="119">
        <f t="shared" si="14"/>
        <v>1.8270944741533006E-2</v>
      </c>
      <c r="E239" s="33">
        <v>-3.9098826481659264E-2</v>
      </c>
      <c r="F239" s="124">
        <v>233</v>
      </c>
      <c r="G239" s="33">
        <f t="shared" ca="1" si="15"/>
        <v>2.942425146713476E-2</v>
      </c>
      <c r="N239" s="118"/>
      <c r="O239" s="116"/>
      <c r="P239" s="123"/>
    </row>
    <row r="240" spans="2:16" x14ac:dyDescent="0.3">
      <c r="B240" s="118" t="s">
        <v>597</v>
      </c>
      <c r="C240" s="116">
        <v>471.24</v>
      </c>
      <c r="D240" s="119">
        <f t="shared" si="14"/>
        <v>9.771149395731555E-3</v>
      </c>
      <c r="E240" s="33">
        <v>-3.9226905715557231E-2</v>
      </c>
      <c r="F240" s="124">
        <v>234</v>
      </c>
      <c r="G240" s="33">
        <f t="shared" ca="1" si="15"/>
        <v>1.078152554561472E-2</v>
      </c>
      <c r="N240" s="118"/>
      <c r="O240" s="116"/>
      <c r="P240" s="123"/>
    </row>
    <row r="241" spans="2:20" x14ac:dyDescent="0.3">
      <c r="B241" s="118" t="s">
        <v>598</v>
      </c>
      <c r="C241" s="116">
        <v>466.68</v>
      </c>
      <c r="D241" s="119">
        <f t="shared" si="14"/>
        <v>0.13453590703554247</v>
      </c>
      <c r="E241" s="33">
        <v>-3.9733992781713627E-2</v>
      </c>
      <c r="F241" s="124">
        <v>235</v>
      </c>
      <c r="G241" s="33">
        <f t="shared" ca="1" si="15"/>
        <v>3.6386321585612093E-2</v>
      </c>
      <c r="N241" s="118"/>
      <c r="O241" s="116"/>
      <c r="P241" s="123"/>
    </row>
    <row r="242" spans="2:20" x14ac:dyDescent="0.3">
      <c r="B242" s="118" t="s">
        <v>599</v>
      </c>
      <c r="C242" s="116">
        <v>411.34</v>
      </c>
      <c r="D242" s="119">
        <f t="shared" si="14"/>
        <v>1.1334300395839885E-2</v>
      </c>
      <c r="E242" s="33">
        <v>-4.2117053050775233E-2</v>
      </c>
      <c r="F242" s="124">
        <v>236</v>
      </c>
      <c r="G242" s="33">
        <f t="shared" ca="1" si="15"/>
        <v>-1.5594881237999958E-2</v>
      </c>
      <c r="N242" s="118"/>
      <c r="O242" s="116"/>
      <c r="P242" s="123"/>
    </row>
    <row r="243" spans="2:20" x14ac:dyDescent="0.3">
      <c r="B243" s="118" t="s">
        <v>600</v>
      </c>
      <c r="C243" s="116">
        <v>406.73</v>
      </c>
      <c r="D243" s="119">
        <f t="shared" si="14"/>
        <v>-4.8028086600351037E-2</v>
      </c>
      <c r="E243" s="33">
        <v>-4.8028086600351037E-2</v>
      </c>
      <c r="F243" s="124">
        <v>237</v>
      </c>
      <c r="G243" s="33">
        <f t="shared" ca="1" si="15"/>
        <v>-1.9930983846089108E-2</v>
      </c>
      <c r="N243" s="118"/>
      <c r="O243" s="116"/>
      <c r="P243" s="123"/>
    </row>
    <row r="244" spans="2:20" x14ac:dyDescent="0.3">
      <c r="B244" s="118" t="s">
        <v>601</v>
      </c>
      <c r="C244" s="116">
        <v>427.25</v>
      </c>
      <c r="D244" s="119">
        <f t="shared" si="14"/>
        <v>-1.3871578267091332E-2</v>
      </c>
      <c r="E244" s="33">
        <v>-4.9580918965853343E-2</v>
      </c>
      <c r="F244" s="124">
        <v>238</v>
      </c>
      <c r="G244" s="33">
        <f t="shared" ca="1" si="15"/>
        <v>1.5691668694301133E-2</v>
      </c>
      <c r="N244" s="118"/>
      <c r="O244" s="116"/>
      <c r="P244" s="123"/>
    </row>
    <row r="245" spans="2:20" x14ac:dyDescent="0.3">
      <c r="B245" s="118" t="s">
        <v>602</v>
      </c>
      <c r="C245" s="116">
        <v>433.26</v>
      </c>
      <c r="D245" s="119">
        <f t="shared" si="14"/>
        <v>-9.9794302811194974E-2</v>
      </c>
      <c r="E245" s="33">
        <v>-5.0452921433469133E-2</v>
      </c>
      <c r="F245" s="124">
        <v>239</v>
      </c>
      <c r="G245" s="33">
        <f t="shared" ca="1" si="15"/>
        <v>-7.0159764959319373E-2</v>
      </c>
      <c r="N245" s="118"/>
      <c r="O245" s="116"/>
      <c r="P245" s="123"/>
    </row>
    <row r="246" spans="2:20" x14ac:dyDescent="0.3">
      <c r="B246" s="118" t="s">
        <v>603</v>
      </c>
      <c r="C246" s="116">
        <v>481.29</v>
      </c>
      <c r="D246" s="119">
        <f t="shared" si="14"/>
        <v>8.9725582272908947E-3</v>
      </c>
      <c r="E246" s="33">
        <v>-5.1756422739869606E-2</v>
      </c>
      <c r="F246" s="124">
        <v>240</v>
      </c>
      <c r="G246" s="33">
        <f t="shared" ca="1" si="15"/>
        <v>1.5190486169349118E-2</v>
      </c>
      <c r="N246" s="118"/>
      <c r="O246" s="116"/>
      <c r="P246" s="123"/>
    </row>
    <row r="247" spans="2:20" x14ac:dyDescent="0.3">
      <c r="B247" s="118" t="s">
        <v>604</v>
      </c>
      <c r="C247" s="116">
        <v>477.01</v>
      </c>
      <c r="D247" s="119">
        <f t="shared" si="14"/>
        <v>-1.9869318648804174E-2</v>
      </c>
      <c r="E247" s="33">
        <v>-5.2082183572746472E-2</v>
      </c>
      <c r="F247" s="124">
        <v>241</v>
      </c>
      <c r="G247" s="33">
        <f t="shared" ca="1" si="15"/>
        <v>4.4492238678502036E-2</v>
      </c>
      <c r="N247" s="118"/>
      <c r="O247" s="116"/>
      <c r="P247" s="123"/>
    </row>
    <row r="248" spans="2:20" x14ac:dyDescent="0.3">
      <c r="B248" s="118" t="s">
        <v>605</v>
      </c>
      <c r="C248" s="116">
        <v>486.68</v>
      </c>
      <c r="D248" s="119">
        <f t="shared" si="14"/>
        <v>1.0274746727495504E-4</v>
      </c>
      <c r="E248" s="33">
        <v>-5.235612058465295E-2</v>
      </c>
      <c r="F248" s="124">
        <v>242</v>
      </c>
      <c r="G248" s="33">
        <f t="shared" ca="1" si="15"/>
        <v>3.0077235440517776E-2</v>
      </c>
      <c r="N248" s="118"/>
      <c r="O248" s="116"/>
      <c r="P248" s="123"/>
    </row>
    <row r="249" spans="2:20" x14ac:dyDescent="0.3">
      <c r="B249" s="118" t="s">
        <v>606</v>
      </c>
      <c r="C249" s="116">
        <v>486.63</v>
      </c>
      <c r="D249" s="119">
        <f t="shared" si="14"/>
        <v>-1.4699629472149651E-2</v>
      </c>
      <c r="E249" s="33">
        <v>-5.7235824398570334E-2</v>
      </c>
      <c r="F249" s="124">
        <v>243</v>
      </c>
      <c r="G249" s="33">
        <f t="shared" ca="1" si="15"/>
        <v>4.9336119244837322E-2</v>
      </c>
      <c r="N249" s="118"/>
      <c r="O249" s="116"/>
      <c r="P249" s="123"/>
    </row>
    <row r="250" spans="2:20" x14ac:dyDescent="0.3">
      <c r="B250" s="118" t="s">
        <v>607</v>
      </c>
      <c r="C250" s="116">
        <v>493.89</v>
      </c>
      <c r="D250" s="119">
        <f t="shared" si="14"/>
        <v>5.6020013256644331E-2</v>
      </c>
      <c r="E250" s="33">
        <v>-7.2210345520656291E-2</v>
      </c>
      <c r="F250" s="124">
        <v>244</v>
      </c>
      <c r="G250" s="33">
        <f t="shared" ca="1" si="15"/>
        <v>9.5195716218155336E-4</v>
      </c>
      <c r="N250" s="118"/>
      <c r="O250" s="116"/>
      <c r="P250" s="123"/>
    </row>
    <row r="251" spans="2:20" x14ac:dyDescent="0.3">
      <c r="B251" s="118" t="s">
        <v>608</v>
      </c>
      <c r="C251" s="116">
        <v>467.69</v>
      </c>
      <c r="D251" s="119">
        <f t="shared" si="14"/>
        <v>-2.8156429224503388E-2</v>
      </c>
      <c r="E251" s="33">
        <v>-8.2453753080063308E-2</v>
      </c>
      <c r="F251" s="124">
        <v>245</v>
      </c>
      <c r="G251" s="33">
        <f t="shared" ca="1" si="15"/>
        <v>4.8727676872072669E-2</v>
      </c>
      <c r="N251" s="118"/>
      <c r="O251" s="116"/>
      <c r="P251" s="123"/>
    </row>
    <row r="252" spans="2:20" x14ac:dyDescent="0.3">
      <c r="B252" s="118" t="s">
        <v>609</v>
      </c>
      <c r="C252" s="116">
        <v>481.24</v>
      </c>
      <c r="D252" s="119">
        <f t="shared" ref="D252:D253" si="16">(C252-C253)/C253</f>
        <v>2.2153310252543502E-2</v>
      </c>
      <c r="E252" s="33">
        <v>-8.684932089187411E-2</v>
      </c>
      <c r="F252" s="124">
        <v>246</v>
      </c>
      <c r="G252" s="33">
        <f t="shared" ca="1" si="15"/>
        <v>1.2384963454596023E-2</v>
      </c>
      <c r="N252" s="118"/>
      <c r="O252" s="116"/>
      <c r="P252" s="123"/>
    </row>
    <row r="253" spans="2:20" x14ac:dyDescent="0.3">
      <c r="B253" s="118" t="s">
        <v>610</v>
      </c>
      <c r="C253" s="116">
        <v>470.81</v>
      </c>
      <c r="D253" s="119">
        <f t="shared" si="16"/>
        <v>4.8831562298113161E-2</v>
      </c>
      <c r="E253" s="33">
        <v>-9.9794302811194974E-2</v>
      </c>
      <c r="F253" s="124">
        <v>247</v>
      </c>
      <c r="G253" s="33">
        <f t="shared" ca="1" si="15"/>
        <v>1.9624869948883371E-2</v>
      </c>
      <c r="N253" s="118"/>
      <c r="O253" s="116"/>
      <c r="P253" s="123"/>
    </row>
    <row r="254" spans="2:20" x14ac:dyDescent="0.3">
      <c r="B254" s="118" t="s">
        <v>611</v>
      </c>
      <c r="C254" s="116">
        <v>448.89</v>
      </c>
      <c r="D254" s="119"/>
      <c r="F254" s="124">
        <v>248</v>
      </c>
      <c r="G254" s="33">
        <f t="shared" ca="1" si="15"/>
        <v>1.8047384521706202E-2</v>
      </c>
      <c r="N254" s="118"/>
      <c r="O254" s="116"/>
      <c r="P254" s="123"/>
    </row>
    <row r="255" spans="2:20" x14ac:dyDescent="0.3">
      <c r="F255" s="124">
        <v>249</v>
      </c>
      <c r="G255" s="33">
        <f t="shared" ca="1" si="15"/>
        <v>-6.5658210111898358E-3</v>
      </c>
      <c r="N255" s="118"/>
      <c r="O255" s="116"/>
      <c r="P255" s="123"/>
    </row>
    <row r="256" spans="2:20" x14ac:dyDescent="0.3">
      <c r="F256" s="124">
        <v>250</v>
      </c>
      <c r="G256" s="33">
        <f t="shared" ca="1" si="15"/>
        <v>-5.8163947639878262E-2</v>
      </c>
      <c r="N256" s="118"/>
      <c r="O256" s="122"/>
      <c r="P256" s="122"/>
      <c r="Q256" s="122"/>
      <c r="R256" s="122"/>
      <c r="S256" s="122"/>
      <c r="T256" s="123"/>
    </row>
    <row r="257" spans="6:20" x14ac:dyDescent="0.3">
      <c r="F257" s="124">
        <v>251</v>
      </c>
      <c r="G257" s="33">
        <f t="shared" ca="1" si="15"/>
        <v>-1.5609680756237927E-2</v>
      </c>
      <c r="N257" s="118"/>
      <c r="O257" s="122"/>
      <c r="P257" s="122"/>
      <c r="Q257" s="122"/>
      <c r="R257" s="122"/>
      <c r="S257" s="122"/>
      <c r="T257" s="123"/>
    </row>
    <row r="258" spans="6:20" x14ac:dyDescent="0.3">
      <c r="F258" s="124">
        <v>252</v>
      </c>
      <c r="G258" s="33">
        <f t="shared" ca="1" si="15"/>
        <v>-2.423349720480257E-3</v>
      </c>
      <c r="N258" s="118" t="s">
        <v>612</v>
      </c>
      <c r="O258" s="122">
        <v>459.5</v>
      </c>
      <c r="P258" s="122">
        <v>466.8</v>
      </c>
      <c r="Q258" s="122">
        <v>453.55</v>
      </c>
      <c r="R258" s="122">
        <v>455.6</v>
      </c>
      <c r="S258" s="122">
        <v>438.07</v>
      </c>
      <c r="T258" s="123">
        <v>4892062</v>
      </c>
    </row>
    <row r="259" spans="6:20" x14ac:dyDescent="0.3">
      <c r="F259" s="124">
        <v>253</v>
      </c>
      <c r="G259" s="33">
        <f t="shared" ca="1" si="15"/>
        <v>-2.7335694451097979E-2</v>
      </c>
      <c r="N259" s="118" t="s">
        <v>613</v>
      </c>
      <c r="O259" s="122">
        <v>458</v>
      </c>
      <c r="P259" s="122">
        <v>462.9</v>
      </c>
      <c r="Q259" s="122">
        <v>454.65</v>
      </c>
      <c r="R259" s="122">
        <v>459.8</v>
      </c>
      <c r="S259" s="122">
        <v>442.11</v>
      </c>
      <c r="T259" s="123">
        <v>3913898</v>
      </c>
    </row>
    <row r="260" spans="6:20" x14ac:dyDescent="0.3">
      <c r="F260" s="124">
        <v>254</v>
      </c>
      <c r="G260" s="33">
        <f t="shared" ca="1" si="15"/>
        <v>-5.3157595328880695E-2</v>
      </c>
      <c r="N260" s="118" t="s">
        <v>614</v>
      </c>
      <c r="O260" s="122">
        <v>461</v>
      </c>
      <c r="P260" s="122">
        <v>466</v>
      </c>
      <c r="Q260" s="122">
        <v>456</v>
      </c>
      <c r="R260" s="122">
        <v>459.8</v>
      </c>
      <c r="S260" s="122">
        <v>442.11</v>
      </c>
      <c r="T260" s="123">
        <v>6046089</v>
      </c>
    </row>
    <row r="261" spans="6:20" x14ac:dyDescent="0.3">
      <c r="F261" s="124">
        <v>255</v>
      </c>
      <c r="G261" s="33">
        <f t="shared" ca="1" si="15"/>
        <v>4.1160503745775817E-2</v>
      </c>
      <c r="N261" s="118" t="s">
        <v>615</v>
      </c>
      <c r="O261" s="122">
        <v>463.85</v>
      </c>
      <c r="P261" s="122">
        <v>468.5</v>
      </c>
      <c r="Q261" s="122">
        <v>448.4</v>
      </c>
      <c r="R261" s="122">
        <v>460</v>
      </c>
      <c r="S261" s="122">
        <v>442.3</v>
      </c>
      <c r="T261" s="123">
        <v>7562964</v>
      </c>
    </row>
    <row r="262" spans="6:20" x14ac:dyDescent="0.3">
      <c r="F262" s="124">
        <v>256</v>
      </c>
      <c r="G262" s="33">
        <f t="shared" ca="1" si="15"/>
        <v>-1.850813988481468E-2</v>
      </c>
      <c r="N262" s="118" t="s">
        <v>616</v>
      </c>
      <c r="O262" s="122">
        <v>458.9</v>
      </c>
      <c r="P262" s="122">
        <v>471.85</v>
      </c>
      <c r="Q262" s="122">
        <v>446.15</v>
      </c>
      <c r="R262" s="122">
        <v>463.8</v>
      </c>
      <c r="S262" s="122">
        <v>445.96</v>
      </c>
      <c r="T262" s="123">
        <v>12996355</v>
      </c>
    </row>
    <row r="263" spans="6:20" x14ac:dyDescent="0.3">
      <c r="F263" s="124">
        <v>257</v>
      </c>
      <c r="G263" s="33">
        <f t="shared" ca="1" si="15"/>
        <v>9.3084218952723917E-3</v>
      </c>
      <c r="N263" s="118" t="s">
        <v>617</v>
      </c>
      <c r="O263" s="122">
        <v>463.7</v>
      </c>
      <c r="P263" s="122">
        <v>476.95</v>
      </c>
      <c r="Q263" s="122">
        <v>457.3</v>
      </c>
      <c r="R263" s="122">
        <v>459.1</v>
      </c>
      <c r="S263" s="122">
        <v>441.44</v>
      </c>
      <c r="T263" s="123">
        <v>13773739</v>
      </c>
    </row>
    <row r="264" spans="6:20" x14ac:dyDescent="0.3">
      <c r="F264" s="124">
        <v>258</v>
      </c>
      <c r="G264" s="33">
        <f t="shared" ref="G264:G327" ca="1" si="17">_xlfn.NORM.INV(RAND(),$M$9,$M$10)</f>
        <v>-2.6623496455263435E-2</v>
      </c>
      <c r="N264" s="118" t="s">
        <v>618</v>
      </c>
      <c r="O264" s="122">
        <v>461.7</v>
      </c>
      <c r="P264" s="122">
        <v>473.9</v>
      </c>
      <c r="Q264" s="122">
        <v>448.6</v>
      </c>
      <c r="R264" s="122">
        <v>463.8</v>
      </c>
      <c r="S264" s="122">
        <v>445.96</v>
      </c>
      <c r="T264" s="123">
        <v>8806385</v>
      </c>
    </row>
    <row r="265" spans="6:20" x14ac:dyDescent="0.3">
      <c r="F265" s="124">
        <v>259</v>
      </c>
      <c r="G265" s="33">
        <f t="shared" ca="1" si="17"/>
        <v>1.2478688723549552E-2</v>
      </c>
      <c r="N265" s="118" t="s">
        <v>619</v>
      </c>
      <c r="O265" s="317" t="s">
        <v>620</v>
      </c>
      <c r="P265" s="317"/>
      <c r="Q265" s="317"/>
      <c r="R265" s="317"/>
      <c r="S265" s="317"/>
      <c r="T265" s="317"/>
    </row>
    <row r="266" spans="6:20" x14ac:dyDescent="0.3">
      <c r="F266" s="124">
        <v>260</v>
      </c>
      <c r="G266" s="33">
        <f t="shared" ca="1" si="17"/>
        <v>-3.250743542676203E-2</v>
      </c>
      <c r="N266" s="118" t="s">
        <v>621</v>
      </c>
      <c r="O266" s="122">
        <v>474.4</v>
      </c>
      <c r="P266" s="122">
        <v>480.65</v>
      </c>
      <c r="Q266" s="122">
        <v>455</v>
      </c>
      <c r="R266" s="122">
        <v>461.7</v>
      </c>
      <c r="S266" s="122">
        <v>442.64</v>
      </c>
      <c r="T266" s="123">
        <v>5022111</v>
      </c>
    </row>
    <row r="267" spans="6:20" x14ac:dyDescent="0.3">
      <c r="F267" s="124">
        <v>261</v>
      </c>
      <c r="G267" s="33">
        <f t="shared" ca="1" si="17"/>
        <v>2.6713500817926957E-3</v>
      </c>
      <c r="N267" s="118" t="s">
        <v>622</v>
      </c>
      <c r="O267" s="122">
        <v>464.2</v>
      </c>
      <c r="P267" s="122">
        <v>487.7</v>
      </c>
      <c r="Q267" s="122">
        <v>455.2</v>
      </c>
      <c r="R267" s="122">
        <v>473.65</v>
      </c>
      <c r="S267" s="122">
        <v>454.09</v>
      </c>
      <c r="T267" s="123">
        <v>17439501</v>
      </c>
    </row>
    <row r="268" spans="6:20" x14ac:dyDescent="0.3">
      <c r="F268" s="124">
        <v>262</v>
      </c>
      <c r="G268" s="33">
        <f t="shared" ca="1" si="17"/>
        <v>6.53560511401415E-4</v>
      </c>
      <c r="N268" s="118" t="s">
        <v>623</v>
      </c>
      <c r="O268" s="122">
        <v>465.55</v>
      </c>
      <c r="P268" s="122">
        <v>471.95</v>
      </c>
      <c r="Q268" s="122">
        <v>456.95</v>
      </c>
      <c r="R268" s="122">
        <v>463.85</v>
      </c>
      <c r="S268" s="122">
        <v>444.7</v>
      </c>
      <c r="T268" s="123">
        <v>6635292</v>
      </c>
    </row>
    <row r="269" spans="6:20" x14ac:dyDescent="0.3">
      <c r="F269" s="124">
        <v>263</v>
      </c>
      <c r="G269" s="33">
        <f t="shared" ca="1" si="17"/>
        <v>-2.018551102422253E-2</v>
      </c>
      <c r="N269" s="118" t="s">
        <v>624</v>
      </c>
      <c r="O269" s="122">
        <v>466.5</v>
      </c>
      <c r="P269" s="122">
        <v>480</v>
      </c>
      <c r="Q269" s="122">
        <v>463</v>
      </c>
      <c r="R269" s="122">
        <v>469.3</v>
      </c>
      <c r="S269" s="122">
        <v>449.92</v>
      </c>
      <c r="T269" s="123">
        <v>5645899</v>
      </c>
    </row>
    <row r="270" spans="6:20" x14ac:dyDescent="0.3">
      <c r="F270" s="124">
        <v>264</v>
      </c>
      <c r="G270" s="33">
        <f t="shared" ca="1" si="17"/>
        <v>1.3497494254370158E-3</v>
      </c>
      <c r="N270" s="118" t="s">
        <v>625</v>
      </c>
      <c r="O270" s="122">
        <v>446.85</v>
      </c>
      <c r="P270" s="122">
        <v>467.7</v>
      </c>
      <c r="Q270" s="122">
        <v>444</v>
      </c>
      <c r="R270" s="122">
        <v>466.5</v>
      </c>
      <c r="S270" s="122">
        <v>447.24</v>
      </c>
      <c r="T270" s="123">
        <v>7746197</v>
      </c>
    </row>
    <row r="271" spans="6:20" x14ac:dyDescent="0.3">
      <c r="F271" s="124">
        <v>265</v>
      </c>
      <c r="G271" s="33">
        <f t="shared" ca="1" si="17"/>
        <v>3.8417691247730354E-2</v>
      </c>
      <c r="N271" s="118" t="s">
        <v>626</v>
      </c>
      <c r="O271" s="122">
        <v>425.15</v>
      </c>
      <c r="P271" s="122">
        <v>447</v>
      </c>
      <c r="Q271" s="122">
        <v>421.5</v>
      </c>
      <c r="R271" s="122">
        <v>445.6</v>
      </c>
      <c r="S271" s="122">
        <v>427.2</v>
      </c>
      <c r="T271" s="123">
        <v>4451998</v>
      </c>
    </row>
    <row r="272" spans="6:20" x14ac:dyDescent="0.3">
      <c r="F272" s="124">
        <v>266</v>
      </c>
      <c r="G272" s="33">
        <f t="shared" ca="1" si="17"/>
        <v>-1.6471950798334776E-2</v>
      </c>
      <c r="N272" s="118" t="s">
        <v>627</v>
      </c>
      <c r="O272" s="122">
        <v>446</v>
      </c>
      <c r="P272" s="122">
        <v>451.5</v>
      </c>
      <c r="Q272" s="122">
        <v>424.25</v>
      </c>
      <c r="R272" s="122">
        <v>425.7</v>
      </c>
      <c r="S272" s="122">
        <v>408.12</v>
      </c>
      <c r="T272" s="123">
        <v>6146549</v>
      </c>
    </row>
    <row r="273" spans="6:20" x14ac:dyDescent="0.3">
      <c r="F273" s="124">
        <v>267</v>
      </c>
      <c r="G273" s="33">
        <f t="shared" ca="1" si="17"/>
        <v>-2.7354806532943664E-2</v>
      </c>
      <c r="N273" s="118" t="s">
        <v>628</v>
      </c>
      <c r="O273" s="122">
        <v>443</v>
      </c>
      <c r="P273" s="122">
        <v>453.55</v>
      </c>
      <c r="Q273" s="122">
        <v>432.7</v>
      </c>
      <c r="R273" s="122">
        <v>447.1</v>
      </c>
      <c r="S273" s="122">
        <v>428.64</v>
      </c>
      <c r="T273" s="123">
        <v>11650982</v>
      </c>
    </row>
    <row r="274" spans="6:20" x14ac:dyDescent="0.3">
      <c r="F274" s="124">
        <v>268</v>
      </c>
      <c r="G274" s="33">
        <f t="shared" ca="1" si="17"/>
        <v>1.1878642314555134E-2</v>
      </c>
      <c r="N274" s="118" t="s">
        <v>629</v>
      </c>
      <c r="O274" s="122">
        <v>449.9</v>
      </c>
      <c r="P274" s="122">
        <v>469.2</v>
      </c>
      <c r="Q274" s="122">
        <v>441.1</v>
      </c>
      <c r="R274" s="122">
        <v>445.7</v>
      </c>
      <c r="S274" s="122">
        <v>427.3</v>
      </c>
      <c r="T274" s="123">
        <v>13695302</v>
      </c>
    </row>
    <row r="275" spans="6:20" x14ac:dyDescent="0.3">
      <c r="F275" s="124">
        <v>269</v>
      </c>
      <c r="G275" s="33">
        <f t="shared" ca="1" si="17"/>
        <v>1.6945917092449577E-2</v>
      </c>
      <c r="N275" s="118" t="s">
        <v>630</v>
      </c>
      <c r="O275" s="122">
        <v>441</v>
      </c>
      <c r="P275" s="122">
        <v>454.65</v>
      </c>
      <c r="Q275" s="122">
        <v>438</v>
      </c>
      <c r="R275" s="122">
        <v>452.2</v>
      </c>
      <c r="S275" s="122">
        <v>433.53</v>
      </c>
      <c r="T275" s="123">
        <v>8068104</v>
      </c>
    </row>
    <row r="276" spans="6:20" x14ac:dyDescent="0.3">
      <c r="F276" s="124">
        <v>270</v>
      </c>
      <c r="G276" s="33">
        <f t="shared" ca="1" si="17"/>
        <v>-1.0790575934680118E-2</v>
      </c>
      <c r="N276" s="118" t="s">
        <v>631</v>
      </c>
      <c r="O276" s="122">
        <v>448.8</v>
      </c>
      <c r="P276" s="122">
        <v>452.3</v>
      </c>
      <c r="Q276" s="122">
        <v>433.95</v>
      </c>
      <c r="R276" s="122">
        <v>441.3</v>
      </c>
      <c r="S276" s="122">
        <v>423.08</v>
      </c>
      <c r="T276" s="123">
        <v>5724283</v>
      </c>
    </row>
    <row r="277" spans="6:20" x14ac:dyDescent="0.3">
      <c r="F277" s="124">
        <v>271</v>
      </c>
      <c r="G277" s="33">
        <f t="shared" ca="1" si="17"/>
        <v>2.7589023127130047E-2</v>
      </c>
      <c r="N277" s="118" t="s">
        <v>632</v>
      </c>
      <c r="O277" s="122">
        <v>426</v>
      </c>
      <c r="P277" s="122">
        <v>450.35</v>
      </c>
      <c r="Q277" s="122">
        <v>419.25</v>
      </c>
      <c r="R277" s="122">
        <v>448.8</v>
      </c>
      <c r="S277" s="122">
        <v>430.27</v>
      </c>
      <c r="T277" s="123">
        <v>11014843</v>
      </c>
    </row>
    <row r="278" spans="6:20" x14ac:dyDescent="0.3">
      <c r="F278" s="124">
        <v>272</v>
      </c>
      <c r="G278" s="33">
        <f t="shared" ca="1" si="17"/>
        <v>8.482053039975429E-3</v>
      </c>
      <c r="N278" s="118" t="s">
        <v>633</v>
      </c>
      <c r="O278" s="122">
        <v>428.1</v>
      </c>
      <c r="P278" s="122">
        <v>436</v>
      </c>
      <c r="Q278" s="122">
        <v>421.6</v>
      </c>
      <c r="R278" s="122">
        <v>424.4</v>
      </c>
      <c r="S278" s="122">
        <v>406.88</v>
      </c>
      <c r="T278" s="123">
        <v>6607572</v>
      </c>
    </row>
    <row r="279" spans="6:20" x14ac:dyDescent="0.3">
      <c r="F279" s="124">
        <v>273</v>
      </c>
      <c r="G279" s="33">
        <f t="shared" ca="1" si="17"/>
        <v>1.4659111873914558E-2</v>
      </c>
      <c r="N279" s="118" t="s">
        <v>634</v>
      </c>
      <c r="O279" s="122">
        <v>439.05</v>
      </c>
      <c r="P279" s="122">
        <v>439.05</v>
      </c>
      <c r="Q279" s="122">
        <v>426</v>
      </c>
      <c r="R279" s="122">
        <v>428.05</v>
      </c>
      <c r="S279" s="122">
        <v>410.37</v>
      </c>
      <c r="T279" s="123">
        <v>3590613</v>
      </c>
    </row>
    <row r="280" spans="6:20" x14ac:dyDescent="0.3">
      <c r="F280" s="124">
        <v>274</v>
      </c>
      <c r="G280" s="33">
        <f t="shared" ca="1" si="17"/>
        <v>-2.9146076120355503E-3</v>
      </c>
      <c r="N280" s="118" t="s">
        <v>635</v>
      </c>
      <c r="O280" s="317" t="s">
        <v>636</v>
      </c>
      <c r="P280" s="317"/>
      <c r="Q280" s="317"/>
      <c r="R280" s="317"/>
      <c r="S280" s="317"/>
      <c r="T280" s="317"/>
    </row>
    <row r="281" spans="6:20" x14ac:dyDescent="0.3">
      <c r="F281" s="124">
        <v>275</v>
      </c>
      <c r="G281" s="33">
        <f t="shared" ca="1" si="17"/>
        <v>-3.4814018854795833E-2</v>
      </c>
      <c r="N281" s="118" t="s">
        <v>637</v>
      </c>
      <c r="O281" s="122">
        <v>424.3</v>
      </c>
      <c r="P281" s="122">
        <v>440.85</v>
      </c>
      <c r="Q281" s="122">
        <v>421</v>
      </c>
      <c r="R281" s="122">
        <v>439.05</v>
      </c>
      <c r="S281" s="122">
        <v>419.46</v>
      </c>
      <c r="T281" s="123">
        <v>8423895</v>
      </c>
    </row>
    <row r="282" spans="6:20" x14ac:dyDescent="0.3">
      <c r="F282" s="124">
        <v>276</v>
      </c>
      <c r="G282" s="33">
        <f t="shared" ca="1" si="17"/>
        <v>2.5645834020480471E-2</v>
      </c>
      <c r="N282" s="118" t="s">
        <v>638</v>
      </c>
      <c r="O282" s="122">
        <v>429</v>
      </c>
      <c r="P282" s="122">
        <v>433.85</v>
      </c>
      <c r="Q282" s="122">
        <v>415.7</v>
      </c>
      <c r="R282" s="122">
        <v>426.5</v>
      </c>
      <c r="S282" s="122">
        <v>407.47</v>
      </c>
      <c r="T282" s="123">
        <v>9320076</v>
      </c>
    </row>
    <row r="283" spans="6:20" x14ac:dyDescent="0.3">
      <c r="F283" s="124">
        <v>277</v>
      </c>
      <c r="G283" s="33">
        <f t="shared" ca="1" si="17"/>
        <v>-1.2889253652376004E-2</v>
      </c>
      <c r="N283" s="118" t="s">
        <v>639</v>
      </c>
      <c r="O283" s="122">
        <v>423.6</v>
      </c>
      <c r="P283" s="122">
        <v>429.5</v>
      </c>
      <c r="Q283" s="122">
        <v>413.55</v>
      </c>
      <c r="R283" s="122">
        <v>428.15</v>
      </c>
      <c r="S283" s="122">
        <v>409.05</v>
      </c>
      <c r="T283" s="123">
        <v>11842614</v>
      </c>
    </row>
    <row r="284" spans="6:20" x14ac:dyDescent="0.3">
      <c r="F284" s="124">
        <v>278</v>
      </c>
      <c r="G284" s="33">
        <f t="shared" ca="1" si="17"/>
        <v>5.5579430790165162E-2</v>
      </c>
      <c r="N284" s="118" t="s">
        <v>640</v>
      </c>
      <c r="O284" s="122">
        <v>407</v>
      </c>
      <c r="P284" s="122">
        <v>435.4</v>
      </c>
      <c r="Q284" s="122">
        <v>406.15</v>
      </c>
      <c r="R284" s="122">
        <v>420.2</v>
      </c>
      <c r="S284" s="122">
        <v>401.45</v>
      </c>
      <c r="T284" s="123">
        <v>24593148</v>
      </c>
    </row>
    <row r="285" spans="6:20" x14ac:dyDescent="0.3">
      <c r="F285" s="124">
        <v>279</v>
      </c>
      <c r="G285" s="33">
        <f t="shared" ca="1" si="17"/>
        <v>3.6155110658432209E-2</v>
      </c>
      <c r="N285" s="118" t="s">
        <v>641</v>
      </c>
      <c r="O285" s="122">
        <v>405.2</v>
      </c>
      <c r="P285" s="122">
        <v>413</v>
      </c>
      <c r="Q285" s="122">
        <v>397.3</v>
      </c>
      <c r="R285" s="122">
        <v>407.7</v>
      </c>
      <c r="S285" s="122">
        <v>389.51</v>
      </c>
      <c r="T285" s="123">
        <v>8645973</v>
      </c>
    </row>
    <row r="286" spans="6:20" x14ac:dyDescent="0.3">
      <c r="F286" s="124">
        <v>280</v>
      </c>
      <c r="G286" s="33">
        <f t="shared" ca="1" si="17"/>
        <v>2.689905919379779E-2</v>
      </c>
      <c r="N286" s="118" t="s">
        <v>642</v>
      </c>
      <c r="O286" s="122">
        <v>400.8</v>
      </c>
      <c r="P286" s="122">
        <v>411.5</v>
      </c>
      <c r="Q286" s="122">
        <v>397.8</v>
      </c>
      <c r="R286" s="122">
        <v>407.3</v>
      </c>
      <c r="S286" s="122">
        <v>389.13</v>
      </c>
      <c r="T286" s="123">
        <v>9786881</v>
      </c>
    </row>
    <row r="287" spans="6:20" x14ac:dyDescent="0.3">
      <c r="F287" s="124">
        <v>281</v>
      </c>
      <c r="G287" s="33">
        <f t="shared" ca="1" si="17"/>
        <v>9.622355449325961E-3</v>
      </c>
      <c r="N287" s="118" t="s">
        <v>643</v>
      </c>
      <c r="O287" s="122">
        <v>392.6</v>
      </c>
      <c r="P287" s="122">
        <v>403.1</v>
      </c>
      <c r="Q287" s="122">
        <v>388.05</v>
      </c>
      <c r="R287" s="122">
        <v>400.5</v>
      </c>
      <c r="S287" s="122">
        <v>382.63</v>
      </c>
      <c r="T287" s="123">
        <v>6926145</v>
      </c>
    </row>
    <row r="288" spans="6:20" x14ac:dyDescent="0.3">
      <c r="F288" s="124">
        <v>282</v>
      </c>
      <c r="G288" s="33">
        <f t="shared" ca="1" si="17"/>
        <v>5.7487023786464302E-2</v>
      </c>
      <c r="N288" s="118" t="s">
        <v>644</v>
      </c>
      <c r="O288" s="122">
        <v>398.35</v>
      </c>
      <c r="P288" s="122">
        <v>404.6</v>
      </c>
      <c r="Q288" s="122">
        <v>376.85</v>
      </c>
      <c r="R288" s="122">
        <v>392.6</v>
      </c>
      <c r="S288" s="122">
        <v>375.09</v>
      </c>
      <c r="T288" s="123">
        <v>13109293</v>
      </c>
    </row>
    <row r="289" spans="6:20" x14ac:dyDescent="0.3">
      <c r="F289" s="124">
        <v>283</v>
      </c>
      <c r="G289" s="33">
        <f t="shared" ca="1" si="17"/>
        <v>2.6621923660946633E-2</v>
      </c>
      <c r="N289" s="118" t="s">
        <v>645</v>
      </c>
      <c r="O289" s="122">
        <v>408</v>
      </c>
      <c r="P289" s="122">
        <v>414.35</v>
      </c>
      <c r="Q289" s="122">
        <v>400</v>
      </c>
      <c r="R289" s="122">
        <v>400.55</v>
      </c>
      <c r="S289" s="122">
        <v>382.68</v>
      </c>
      <c r="T289" s="123">
        <v>7385725</v>
      </c>
    </row>
    <row r="290" spans="6:20" x14ac:dyDescent="0.3">
      <c r="F290" s="124">
        <v>284</v>
      </c>
      <c r="G290" s="33">
        <f t="shared" ca="1" si="17"/>
        <v>3.5013590858765459E-2</v>
      </c>
      <c r="N290" s="118" t="s">
        <v>646</v>
      </c>
      <c r="O290" s="122">
        <v>400</v>
      </c>
      <c r="P290" s="122">
        <v>410.3</v>
      </c>
      <c r="Q290" s="122">
        <v>398.05</v>
      </c>
      <c r="R290" s="122">
        <v>404.15</v>
      </c>
      <c r="S290" s="122">
        <v>386.12</v>
      </c>
      <c r="T290" s="123">
        <v>7553850</v>
      </c>
    </row>
    <row r="291" spans="6:20" x14ac:dyDescent="0.3">
      <c r="F291" s="124">
        <v>285</v>
      </c>
      <c r="G291" s="33">
        <f t="shared" ca="1" si="17"/>
        <v>-2.6742535871527315E-3</v>
      </c>
      <c r="N291" s="118" t="s">
        <v>647</v>
      </c>
      <c r="O291" s="122">
        <v>400.2</v>
      </c>
      <c r="P291" s="122">
        <v>408.4</v>
      </c>
      <c r="Q291" s="122">
        <v>391</v>
      </c>
      <c r="R291" s="122">
        <v>395.95</v>
      </c>
      <c r="S291" s="122">
        <v>378.29</v>
      </c>
      <c r="T291" s="123">
        <v>12486209</v>
      </c>
    </row>
    <row r="292" spans="6:20" x14ac:dyDescent="0.3">
      <c r="F292" s="124">
        <v>286</v>
      </c>
      <c r="G292" s="33">
        <f t="shared" ca="1" si="17"/>
        <v>-1.1512658853637212E-2</v>
      </c>
      <c r="N292" s="118" t="s">
        <v>648</v>
      </c>
      <c r="O292" s="122">
        <v>377.6</v>
      </c>
      <c r="P292" s="122">
        <v>405.95</v>
      </c>
      <c r="Q292" s="122">
        <v>374.25</v>
      </c>
      <c r="R292" s="122">
        <v>399.05</v>
      </c>
      <c r="S292" s="122">
        <v>381.25</v>
      </c>
      <c r="T292" s="123">
        <v>17200527</v>
      </c>
    </row>
    <row r="293" spans="6:20" x14ac:dyDescent="0.3">
      <c r="F293" s="124">
        <v>287</v>
      </c>
      <c r="G293" s="33">
        <f t="shared" ca="1" si="17"/>
        <v>2.9110127404785354E-3</v>
      </c>
      <c r="N293" s="118" t="s">
        <v>649</v>
      </c>
      <c r="O293" s="122">
        <v>368</v>
      </c>
      <c r="P293" s="122">
        <v>377.3</v>
      </c>
      <c r="Q293" s="122">
        <v>357.55</v>
      </c>
      <c r="R293" s="122">
        <v>370.05</v>
      </c>
      <c r="S293" s="122">
        <v>353.54</v>
      </c>
      <c r="T293" s="123">
        <v>13990794</v>
      </c>
    </row>
    <row r="294" spans="6:20" x14ac:dyDescent="0.3">
      <c r="F294" s="124">
        <v>288</v>
      </c>
      <c r="G294" s="33">
        <f t="shared" ca="1" si="17"/>
        <v>3.6368916834605511E-2</v>
      </c>
      <c r="N294" s="118" t="s">
        <v>650</v>
      </c>
      <c r="O294" s="122">
        <v>380</v>
      </c>
      <c r="P294" s="122">
        <v>384.35</v>
      </c>
      <c r="Q294" s="122">
        <v>364.4</v>
      </c>
      <c r="R294" s="122">
        <v>369.8</v>
      </c>
      <c r="S294" s="122">
        <v>353.3</v>
      </c>
      <c r="T294" s="123">
        <v>15427331</v>
      </c>
    </row>
    <row r="295" spans="6:20" x14ac:dyDescent="0.3">
      <c r="F295" s="124">
        <v>289</v>
      </c>
      <c r="G295" s="33">
        <f t="shared" ca="1" si="17"/>
        <v>-3.3364661364235632E-2</v>
      </c>
      <c r="N295" s="118" t="s">
        <v>651</v>
      </c>
      <c r="O295" s="122">
        <v>397.95</v>
      </c>
      <c r="P295" s="122">
        <v>403.1</v>
      </c>
      <c r="Q295" s="122">
        <v>376.9</v>
      </c>
      <c r="R295" s="122">
        <v>380.2</v>
      </c>
      <c r="S295" s="122">
        <v>363.24</v>
      </c>
      <c r="T295" s="123">
        <v>20689385</v>
      </c>
    </row>
    <row r="296" spans="6:20" x14ac:dyDescent="0.3">
      <c r="F296" s="124">
        <v>290</v>
      </c>
      <c r="G296" s="33">
        <f t="shared" ca="1" si="17"/>
        <v>4.0364875103982484E-2</v>
      </c>
      <c r="N296" s="118" t="s">
        <v>652</v>
      </c>
      <c r="O296" s="122">
        <v>405.7</v>
      </c>
      <c r="P296" s="122">
        <v>406.7</v>
      </c>
      <c r="Q296" s="122">
        <v>393.8</v>
      </c>
      <c r="R296" s="122">
        <v>397.95</v>
      </c>
      <c r="S296" s="122">
        <v>380.2</v>
      </c>
      <c r="T296" s="123">
        <v>7086119</v>
      </c>
    </row>
    <row r="297" spans="6:20" x14ac:dyDescent="0.3">
      <c r="F297" s="124">
        <v>291</v>
      </c>
      <c r="G297" s="33">
        <f t="shared" ca="1" si="17"/>
        <v>3.8003720331394222E-2</v>
      </c>
      <c r="N297" s="118" t="s">
        <v>653</v>
      </c>
      <c r="O297" s="122">
        <v>409</v>
      </c>
      <c r="P297" s="122">
        <v>412</v>
      </c>
      <c r="Q297" s="122">
        <v>403.55</v>
      </c>
      <c r="R297" s="122">
        <v>404.95</v>
      </c>
      <c r="S297" s="122">
        <v>386.89</v>
      </c>
      <c r="T297" s="123">
        <v>4311162</v>
      </c>
    </row>
    <row r="298" spans="6:20" x14ac:dyDescent="0.3">
      <c r="F298" s="124">
        <v>292</v>
      </c>
      <c r="G298" s="33">
        <f t="shared" ca="1" si="17"/>
        <v>-2.589232787798397E-2</v>
      </c>
      <c r="N298" s="118" t="s">
        <v>654</v>
      </c>
      <c r="O298" s="122">
        <v>401.05</v>
      </c>
      <c r="P298" s="122">
        <v>409.35</v>
      </c>
      <c r="Q298" s="122">
        <v>399.3</v>
      </c>
      <c r="R298" s="122">
        <v>407.3</v>
      </c>
      <c r="S298" s="122">
        <v>389.13</v>
      </c>
      <c r="T298" s="123">
        <v>10377173</v>
      </c>
    </row>
    <row r="299" spans="6:20" x14ac:dyDescent="0.3">
      <c r="F299" s="124">
        <v>293</v>
      </c>
      <c r="G299" s="33">
        <f t="shared" ca="1" si="17"/>
        <v>-4.0711965675820659E-2</v>
      </c>
      <c r="N299" s="118" t="s">
        <v>655</v>
      </c>
      <c r="O299" s="122">
        <v>410.05</v>
      </c>
      <c r="P299" s="122">
        <v>411.35</v>
      </c>
      <c r="Q299" s="122">
        <v>399.1</v>
      </c>
      <c r="R299" s="122">
        <v>400.35</v>
      </c>
      <c r="S299" s="122">
        <v>382.49</v>
      </c>
      <c r="T299" s="123">
        <v>18994039</v>
      </c>
    </row>
    <row r="300" spans="6:20" x14ac:dyDescent="0.3">
      <c r="F300" s="124">
        <v>294</v>
      </c>
      <c r="G300" s="33">
        <f t="shared" ca="1" si="17"/>
        <v>-1.3782161345200412E-3</v>
      </c>
      <c r="N300" s="118" t="s">
        <v>656</v>
      </c>
      <c r="O300" s="122">
        <v>420.55</v>
      </c>
      <c r="P300" s="122">
        <v>431.7</v>
      </c>
      <c r="Q300" s="122">
        <v>407</v>
      </c>
      <c r="R300" s="122">
        <v>408.8</v>
      </c>
      <c r="S300" s="122">
        <v>390.56</v>
      </c>
      <c r="T300" s="123">
        <v>22594068</v>
      </c>
    </row>
    <row r="301" spans="6:20" x14ac:dyDescent="0.3">
      <c r="F301" s="124">
        <v>295</v>
      </c>
      <c r="G301" s="33">
        <f t="shared" ca="1" si="17"/>
        <v>-6.4797487181461957E-2</v>
      </c>
      <c r="N301" s="118" t="s">
        <v>657</v>
      </c>
      <c r="O301" s="122">
        <v>426.75</v>
      </c>
      <c r="P301" s="122">
        <v>429.9</v>
      </c>
      <c r="Q301" s="122">
        <v>422.2</v>
      </c>
      <c r="R301" s="122">
        <v>425.05</v>
      </c>
      <c r="S301" s="122">
        <v>406.09</v>
      </c>
      <c r="T301" s="123">
        <v>8232888</v>
      </c>
    </row>
    <row r="302" spans="6:20" x14ac:dyDescent="0.3">
      <c r="F302" s="124">
        <v>296</v>
      </c>
      <c r="G302" s="33">
        <f t="shared" ca="1" si="17"/>
        <v>5.3771716563501253E-3</v>
      </c>
      <c r="N302" s="118" t="s">
        <v>658</v>
      </c>
      <c r="O302" s="122">
        <v>434.3</v>
      </c>
      <c r="P302" s="122">
        <v>454.7</v>
      </c>
      <c r="Q302" s="122">
        <v>423.5</v>
      </c>
      <c r="R302" s="122">
        <v>425.45</v>
      </c>
      <c r="S302" s="122">
        <v>406.47</v>
      </c>
      <c r="T302" s="123">
        <v>10231357</v>
      </c>
    </row>
    <row r="303" spans="6:20" x14ac:dyDescent="0.3">
      <c r="F303" s="124">
        <v>297</v>
      </c>
      <c r="G303" s="33">
        <f t="shared" ca="1" si="17"/>
        <v>2.4739047278372682E-3</v>
      </c>
      <c r="N303" s="118" t="s">
        <v>659</v>
      </c>
      <c r="O303" s="122">
        <v>445.3</v>
      </c>
      <c r="P303" s="122">
        <v>445.85</v>
      </c>
      <c r="Q303" s="122">
        <v>430.8</v>
      </c>
      <c r="R303" s="122">
        <v>432.2</v>
      </c>
      <c r="S303" s="122">
        <v>412.92</v>
      </c>
      <c r="T303" s="123">
        <v>6936841</v>
      </c>
    </row>
    <row r="304" spans="6:20" x14ac:dyDescent="0.3">
      <c r="F304" s="124">
        <v>298</v>
      </c>
      <c r="G304" s="33">
        <f t="shared" ca="1" si="17"/>
        <v>1.5439436205297516E-2</v>
      </c>
      <c r="N304" s="118" t="s">
        <v>660</v>
      </c>
      <c r="O304" s="122">
        <v>438.5</v>
      </c>
      <c r="P304" s="122">
        <v>446.05</v>
      </c>
      <c r="Q304" s="122">
        <v>424</v>
      </c>
      <c r="R304" s="122">
        <v>445.3</v>
      </c>
      <c r="S304" s="122">
        <v>425.43</v>
      </c>
      <c r="T304" s="123">
        <v>11641868</v>
      </c>
    </row>
    <row r="305" spans="6:20" x14ac:dyDescent="0.3">
      <c r="F305" s="124">
        <v>299</v>
      </c>
      <c r="G305" s="33">
        <f t="shared" ca="1" si="17"/>
        <v>6.1389698777447963E-3</v>
      </c>
      <c r="N305" s="118" t="s">
        <v>661</v>
      </c>
      <c r="O305" s="122">
        <v>431.35</v>
      </c>
      <c r="P305" s="122">
        <v>436.2</v>
      </c>
      <c r="Q305" s="122">
        <v>417.5</v>
      </c>
      <c r="R305" s="122">
        <v>435.4</v>
      </c>
      <c r="S305" s="122">
        <v>415.98</v>
      </c>
      <c r="T305" s="123">
        <v>8115289</v>
      </c>
    </row>
    <row r="306" spans="6:20" x14ac:dyDescent="0.3">
      <c r="F306" s="124">
        <v>300</v>
      </c>
      <c r="G306" s="33">
        <f t="shared" ca="1" si="17"/>
        <v>3.1107595177310664E-2</v>
      </c>
      <c r="N306" s="118" t="s">
        <v>662</v>
      </c>
      <c r="O306" s="122">
        <v>451</v>
      </c>
      <c r="P306" s="122">
        <v>452.9</v>
      </c>
      <c r="Q306" s="122">
        <v>430.1</v>
      </c>
      <c r="R306" s="122">
        <v>434.3</v>
      </c>
      <c r="S306" s="122">
        <v>414.93</v>
      </c>
      <c r="T306" s="123">
        <v>6493544</v>
      </c>
    </row>
    <row r="307" spans="6:20" x14ac:dyDescent="0.3">
      <c r="F307" s="124">
        <v>301</v>
      </c>
      <c r="G307" s="33">
        <f t="shared" ca="1" si="17"/>
        <v>9.8879098059422611E-3</v>
      </c>
      <c r="N307" s="118" t="s">
        <v>663</v>
      </c>
      <c r="O307" s="122">
        <v>452</v>
      </c>
      <c r="P307" s="122">
        <v>464.2</v>
      </c>
      <c r="Q307" s="122">
        <v>443.6</v>
      </c>
      <c r="R307" s="122">
        <v>451.95</v>
      </c>
      <c r="S307" s="122">
        <v>431.79</v>
      </c>
      <c r="T307" s="123">
        <v>9236605</v>
      </c>
    </row>
    <row r="308" spans="6:20" x14ac:dyDescent="0.3">
      <c r="F308" s="124">
        <v>302</v>
      </c>
      <c r="G308" s="33">
        <f t="shared" ca="1" si="17"/>
        <v>-3.798204253438687E-3</v>
      </c>
      <c r="N308" s="118" t="s">
        <v>664</v>
      </c>
      <c r="O308" s="122">
        <v>430.75</v>
      </c>
      <c r="P308" s="122">
        <v>456</v>
      </c>
      <c r="Q308" s="122">
        <v>417.6</v>
      </c>
      <c r="R308" s="122">
        <v>451.85</v>
      </c>
      <c r="S308" s="122">
        <v>431.69</v>
      </c>
      <c r="T308" s="123">
        <v>22447327</v>
      </c>
    </row>
    <row r="309" spans="6:20" x14ac:dyDescent="0.3">
      <c r="F309" s="124">
        <v>303</v>
      </c>
      <c r="G309" s="33">
        <f t="shared" ca="1" si="17"/>
        <v>3.0258954274165053E-2</v>
      </c>
      <c r="N309" s="118" t="s">
        <v>665</v>
      </c>
      <c r="O309" s="122">
        <v>425.1</v>
      </c>
      <c r="P309" s="122">
        <v>438.45</v>
      </c>
      <c r="Q309" s="122">
        <v>423.2</v>
      </c>
      <c r="R309" s="122">
        <v>430</v>
      </c>
      <c r="S309" s="122">
        <v>410.82</v>
      </c>
      <c r="T309" s="123">
        <v>8324875</v>
      </c>
    </row>
    <row r="310" spans="6:20" x14ac:dyDescent="0.3">
      <c r="F310" s="124">
        <v>304</v>
      </c>
      <c r="G310" s="33">
        <f t="shared" ca="1" si="17"/>
        <v>-1.7382066244333711E-2</v>
      </c>
      <c r="N310" s="118" t="s">
        <v>666</v>
      </c>
      <c r="O310" s="122">
        <v>422.35</v>
      </c>
      <c r="P310" s="122">
        <v>438</v>
      </c>
      <c r="Q310" s="122">
        <v>417.65</v>
      </c>
      <c r="R310" s="122">
        <v>424.1</v>
      </c>
      <c r="S310" s="122">
        <v>405.18</v>
      </c>
      <c r="T310" s="123">
        <v>13781145</v>
      </c>
    </row>
    <row r="311" spans="6:20" x14ac:dyDescent="0.3">
      <c r="F311" s="124">
        <v>305</v>
      </c>
      <c r="G311" s="33">
        <f t="shared" ca="1" si="17"/>
        <v>5.672907909522849E-3</v>
      </c>
      <c r="N311" s="118" t="s">
        <v>667</v>
      </c>
      <c r="O311" s="122">
        <v>421.55</v>
      </c>
      <c r="P311" s="122">
        <v>426.8</v>
      </c>
      <c r="Q311" s="122">
        <v>414</v>
      </c>
      <c r="R311" s="122">
        <v>421.65</v>
      </c>
      <c r="S311" s="122">
        <v>402.84</v>
      </c>
      <c r="T311" s="123">
        <v>7801851</v>
      </c>
    </row>
    <row r="312" spans="6:20" x14ac:dyDescent="0.3">
      <c r="F312" s="124">
        <v>306</v>
      </c>
      <c r="G312" s="33">
        <f t="shared" ca="1" si="17"/>
        <v>-3.6365322148627775E-2</v>
      </c>
      <c r="N312" s="118" t="s">
        <v>668</v>
      </c>
      <c r="O312" s="122">
        <v>433.65</v>
      </c>
      <c r="P312" s="122">
        <v>439.9</v>
      </c>
      <c r="Q312" s="122">
        <v>411</v>
      </c>
      <c r="R312" s="122">
        <v>419.25</v>
      </c>
      <c r="S312" s="122">
        <v>400.55</v>
      </c>
      <c r="T312" s="123">
        <v>11347364</v>
      </c>
    </row>
    <row r="313" spans="6:20" x14ac:dyDescent="0.3">
      <c r="F313" s="124">
        <v>307</v>
      </c>
      <c r="G313" s="33">
        <f t="shared" ca="1" si="17"/>
        <v>-9.6607142310140143E-3</v>
      </c>
      <c r="N313" s="118" t="s">
        <v>669</v>
      </c>
      <c r="O313" s="122">
        <v>439</v>
      </c>
      <c r="P313" s="122">
        <v>441.95</v>
      </c>
      <c r="Q313" s="122">
        <v>414.2</v>
      </c>
      <c r="R313" s="122">
        <v>433.25</v>
      </c>
      <c r="S313" s="122">
        <v>413.92</v>
      </c>
      <c r="T313" s="123">
        <v>15925534</v>
      </c>
    </row>
    <row r="314" spans="6:20" x14ac:dyDescent="0.3">
      <c r="F314" s="124">
        <v>308</v>
      </c>
      <c r="G314" s="33">
        <f t="shared" ca="1" si="17"/>
        <v>2.0893022111148261E-2</v>
      </c>
      <c r="N314" s="118" t="s">
        <v>670</v>
      </c>
      <c r="O314" s="122">
        <v>444.05</v>
      </c>
      <c r="P314" s="122">
        <v>458.8</v>
      </c>
      <c r="Q314" s="122">
        <v>434.2</v>
      </c>
      <c r="R314" s="122">
        <v>437.75</v>
      </c>
      <c r="S314" s="122">
        <v>418.22</v>
      </c>
      <c r="T314" s="123">
        <v>15680101</v>
      </c>
    </row>
    <row r="315" spans="6:20" x14ac:dyDescent="0.3">
      <c r="F315" s="124">
        <v>309</v>
      </c>
      <c r="G315" s="33">
        <f t="shared" ca="1" si="17"/>
        <v>-1.5297929562545127E-2</v>
      </c>
      <c r="N315" s="118" t="s">
        <v>671</v>
      </c>
      <c r="O315" s="122">
        <v>407.8</v>
      </c>
      <c r="P315" s="122">
        <v>446.3</v>
      </c>
      <c r="Q315" s="122">
        <v>396</v>
      </c>
      <c r="R315" s="122">
        <v>444.05</v>
      </c>
      <c r="S315" s="122">
        <v>424.24</v>
      </c>
      <c r="T315" s="123">
        <v>15459915</v>
      </c>
    </row>
    <row r="316" spans="6:20" x14ac:dyDescent="0.3">
      <c r="F316" s="124">
        <v>310</v>
      </c>
      <c r="G316" s="33">
        <f t="shared" ca="1" si="17"/>
        <v>2.0757268303427966E-2</v>
      </c>
      <c r="N316" s="118" t="s">
        <v>672</v>
      </c>
      <c r="O316" s="122">
        <v>412.8</v>
      </c>
      <c r="P316" s="122">
        <v>417.8</v>
      </c>
      <c r="Q316" s="122">
        <v>395</v>
      </c>
      <c r="R316" s="122">
        <v>411.45</v>
      </c>
      <c r="S316" s="122">
        <v>393.1</v>
      </c>
      <c r="T316" s="123">
        <v>11732961</v>
      </c>
    </row>
    <row r="317" spans="6:20" x14ac:dyDescent="0.3">
      <c r="F317" s="124">
        <v>311</v>
      </c>
      <c r="G317" s="33">
        <f t="shared" ca="1" si="17"/>
        <v>9.2740905522032246E-3</v>
      </c>
      <c r="N317" s="118" t="s">
        <v>673</v>
      </c>
      <c r="O317" s="122">
        <v>401.5</v>
      </c>
      <c r="P317" s="122">
        <v>426.55</v>
      </c>
      <c r="Q317" s="122">
        <v>399.25</v>
      </c>
      <c r="R317" s="122">
        <v>409.1</v>
      </c>
      <c r="S317" s="122">
        <v>390.85</v>
      </c>
      <c r="T317" s="123">
        <v>18783981</v>
      </c>
    </row>
    <row r="318" spans="6:20" x14ac:dyDescent="0.3">
      <c r="F318" s="124">
        <v>312</v>
      </c>
      <c r="G318" s="33">
        <f t="shared" ca="1" si="17"/>
        <v>-4.4437196533302317E-2</v>
      </c>
      <c r="N318" s="118" t="s">
        <v>674</v>
      </c>
      <c r="O318" s="122">
        <v>396.1</v>
      </c>
      <c r="P318" s="122">
        <v>409.9</v>
      </c>
      <c r="Q318" s="122">
        <v>393.1</v>
      </c>
      <c r="R318" s="122">
        <v>400.8</v>
      </c>
      <c r="S318" s="122">
        <v>382.92</v>
      </c>
      <c r="T318" s="123">
        <v>9561540</v>
      </c>
    </row>
    <row r="319" spans="6:20" x14ac:dyDescent="0.3">
      <c r="F319" s="124">
        <v>313</v>
      </c>
      <c r="G319" s="33">
        <f t="shared" ca="1" si="17"/>
        <v>-3.3546784337187378E-2</v>
      </c>
      <c r="N319" s="118" t="s">
        <v>675</v>
      </c>
      <c r="O319" s="122">
        <v>378</v>
      </c>
      <c r="P319" s="122">
        <v>397</v>
      </c>
      <c r="Q319" s="122">
        <v>366.2</v>
      </c>
      <c r="R319" s="122">
        <v>395.65</v>
      </c>
      <c r="S319" s="122">
        <v>378</v>
      </c>
      <c r="T319" s="123">
        <v>17309237</v>
      </c>
    </row>
    <row r="320" spans="6:20" x14ac:dyDescent="0.3">
      <c r="F320" s="124">
        <v>314</v>
      </c>
      <c r="G320" s="33">
        <f t="shared" ca="1" si="17"/>
        <v>-4.0496203871419029E-2</v>
      </c>
      <c r="N320" s="118" t="s">
        <v>676</v>
      </c>
      <c r="O320" s="317" t="s">
        <v>677</v>
      </c>
      <c r="P320" s="317"/>
      <c r="Q320" s="317"/>
      <c r="R320" s="317"/>
      <c r="S320" s="317"/>
      <c r="T320" s="317"/>
    </row>
    <row r="321" spans="6:20" x14ac:dyDescent="0.3">
      <c r="F321" s="124">
        <v>315</v>
      </c>
      <c r="G321" s="33">
        <f t="shared" ca="1" si="17"/>
        <v>-1.561134359257519E-2</v>
      </c>
      <c r="N321" s="118" t="s">
        <v>678</v>
      </c>
      <c r="O321" s="122">
        <v>369</v>
      </c>
      <c r="P321" s="122">
        <v>379.9</v>
      </c>
      <c r="Q321" s="122">
        <v>362.6</v>
      </c>
      <c r="R321" s="122">
        <v>377.2</v>
      </c>
      <c r="S321" s="122">
        <v>359.15</v>
      </c>
      <c r="T321" s="123">
        <v>11924686</v>
      </c>
    </row>
    <row r="322" spans="6:20" x14ac:dyDescent="0.3">
      <c r="F322" s="124">
        <v>316</v>
      </c>
      <c r="G322" s="33">
        <f t="shared" ca="1" si="17"/>
        <v>-8.2427895491092888E-4</v>
      </c>
      <c r="N322" s="118" t="s">
        <v>679</v>
      </c>
      <c r="O322" s="122">
        <v>400.7</v>
      </c>
      <c r="P322" s="122">
        <v>416.7</v>
      </c>
      <c r="Q322" s="122">
        <v>365.45</v>
      </c>
      <c r="R322" s="122">
        <v>369.45</v>
      </c>
      <c r="S322" s="122">
        <v>351.77</v>
      </c>
      <c r="T322" s="123">
        <v>31702055</v>
      </c>
    </row>
    <row r="323" spans="6:20" x14ac:dyDescent="0.3">
      <c r="F323" s="124">
        <v>317</v>
      </c>
      <c r="G323" s="33">
        <f t="shared" ca="1" si="17"/>
        <v>2.3282509767484357E-2</v>
      </c>
      <c r="N323" s="118" t="s">
        <v>680</v>
      </c>
      <c r="O323" s="122">
        <v>408</v>
      </c>
      <c r="P323" s="122">
        <v>414</v>
      </c>
      <c r="Q323" s="122">
        <v>394</v>
      </c>
      <c r="R323" s="122">
        <v>398.25</v>
      </c>
      <c r="S323" s="122">
        <v>379.2</v>
      </c>
      <c r="T323" s="123">
        <v>10627995</v>
      </c>
    </row>
    <row r="324" spans="6:20" x14ac:dyDescent="0.3">
      <c r="F324" s="124">
        <v>318</v>
      </c>
      <c r="G324" s="33">
        <f t="shared" ca="1" si="17"/>
        <v>-4.141570741857864E-2</v>
      </c>
      <c r="N324" s="118" t="s">
        <v>681</v>
      </c>
      <c r="O324" s="122">
        <v>411</v>
      </c>
      <c r="P324" s="122">
        <v>423</v>
      </c>
      <c r="Q324" s="122">
        <v>393.05</v>
      </c>
      <c r="R324" s="122">
        <v>404.45</v>
      </c>
      <c r="S324" s="122">
        <v>385.1</v>
      </c>
      <c r="T324" s="123">
        <v>10921078</v>
      </c>
    </row>
    <row r="325" spans="6:20" x14ac:dyDescent="0.3">
      <c r="F325" s="124">
        <v>319</v>
      </c>
      <c r="G325" s="33">
        <f t="shared" ca="1" si="17"/>
        <v>8.7644010017371727E-3</v>
      </c>
      <c r="N325" s="118" t="s">
        <v>682</v>
      </c>
      <c r="O325" s="122">
        <v>421</v>
      </c>
      <c r="P325" s="122">
        <v>423.3</v>
      </c>
      <c r="Q325" s="122">
        <v>383.8</v>
      </c>
      <c r="R325" s="122">
        <v>407.85</v>
      </c>
      <c r="S325" s="122">
        <v>388.34</v>
      </c>
      <c r="T325" s="123">
        <v>19549022</v>
      </c>
    </row>
    <row r="326" spans="6:20" x14ac:dyDescent="0.3">
      <c r="F326" s="124">
        <v>320</v>
      </c>
      <c r="G326" s="33">
        <f t="shared" ca="1" si="17"/>
        <v>2.0782066111675931E-2</v>
      </c>
      <c r="N326" s="118" t="s">
        <v>683</v>
      </c>
      <c r="O326" s="122">
        <v>425</v>
      </c>
      <c r="P326" s="122">
        <v>442.5</v>
      </c>
      <c r="Q326" s="122">
        <v>403.95</v>
      </c>
      <c r="R326" s="122">
        <v>420.05</v>
      </c>
      <c r="S326" s="122">
        <v>399.95</v>
      </c>
      <c r="T326" s="123">
        <v>9916615</v>
      </c>
    </row>
    <row r="327" spans="6:20" x14ac:dyDescent="0.3">
      <c r="F327" s="124">
        <v>321</v>
      </c>
      <c r="G327" s="33">
        <f t="shared" ca="1" si="17"/>
        <v>4.9901150260031023E-2</v>
      </c>
      <c r="N327" s="118" t="s">
        <v>684</v>
      </c>
      <c r="O327" s="122">
        <v>452.9</v>
      </c>
      <c r="P327" s="122">
        <v>457.5</v>
      </c>
      <c r="Q327" s="122">
        <v>416.55</v>
      </c>
      <c r="R327" s="122">
        <v>426.9</v>
      </c>
      <c r="S327" s="122">
        <v>406.48</v>
      </c>
      <c r="T327" s="123">
        <v>14779792</v>
      </c>
    </row>
    <row r="328" spans="6:20" x14ac:dyDescent="0.3">
      <c r="F328" s="124">
        <v>322</v>
      </c>
      <c r="G328" s="33">
        <f t="shared" ref="G328:G391" ca="1" si="18">_xlfn.NORM.INV(RAND(),$M$9,$M$10)</f>
        <v>6.7878386042209632E-3</v>
      </c>
      <c r="N328" s="118" t="s">
        <v>685</v>
      </c>
      <c r="O328" s="122">
        <v>468</v>
      </c>
      <c r="P328" s="122">
        <v>475.15</v>
      </c>
      <c r="Q328" s="122">
        <v>430.15</v>
      </c>
      <c r="R328" s="122">
        <v>455.7</v>
      </c>
      <c r="S328" s="122">
        <v>433.9</v>
      </c>
      <c r="T328" s="123">
        <v>12838153</v>
      </c>
    </row>
    <row r="329" spans="6:20" x14ac:dyDescent="0.3">
      <c r="F329" s="124">
        <v>323</v>
      </c>
      <c r="G329" s="33">
        <f t="shared" ca="1" si="18"/>
        <v>-2.1147094881867015E-2</v>
      </c>
      <c r="N329" s="118" t="s">
        <v>686</v>
      </c>
      <c r="O329" s="122">
        <v>468.2</v>
      </c>
      <c r="P329" s="122">
        <v>469.9</v>
      </c>
      <c r="Q329" s="122">
        <v>439.4</v>
      </c>
      <c r="R329" s="122">
        <v>468.25</v>
      </c>
      <c r="S329" s="122">
        <v>445.85</v>
      </c>
      <c r="T329" s="123">
        <v>15396357</v>
      </c>
    </row>
    <row r="330" spans="6:20" x14ac:dyDescent="0.3">
      <c r="F330" s="124">
        <v>324</v>
      </c>
      <c r="G330" s="33">
        <f t="shared" ca="1" si="18"/>
        <v>4.5395872749441806E-3</v>
      </c>
      <c r="N330" s="118" t="s">
        <v>687</v>
      </c>
      <c r="O330" s="122">
        <v>481.05</v>
      </c>
      <c r="P330" s="122">
        <v>481.05</v>
      </c>
      <c r="Q330" s="122">
        <v>443.7</v>
      </c>
      <c r="R330" s="122">
        <v>468.3</v>
      </c>
      <c r="S330" s="122">
        <v>445.89</v>
      </c>
      <c r="T330" s="123">
        <v>17290239</v>
      </c>
    </row>
    <row r="331" spans="6:20" x14ac:dyDescent="0.3">
      <c r="F331" s="124">
        <v>325</v>
      </c>
      <c r="G331" s="33">
        <f t="shared" ca="1" si="18"/>
        <v>6.4092246184492122E-2</v>
      </c>
      <c r="N331" s="118" t="s">
        <v>688</v>
      </c>
      <c r="O331" s="122">
        <v>475.2</v>
      </c>
      <c r="P331" s="122">
        <v>490.65</v>
      </c>
      <c r="Q331" s="122">
        <v>475.05</v>
      </c>
      <c r="R331" s="122">
        <v>478.75</v>
      </c>
      <c r="S331" s="122">
        <v>455.84</v>
      </c>
      <c r="T331" s="123">
        <v>15243843</v>
      </c>
    </row>
    <row r="332" spans="6:20" x14ac:dyDescent="0.3">
      <c r="F332" s="124">
        <v>326</v>
      </c>
      <c r="G332" s="33">
        <f t="shared" ca="1" si="18"/>
        <v>4.2505335640847575E-2</v>
      </c>
      <c r="N332" s="118" t="s">
        <v>689</v>
      </c>
      <c r="O332" s="122">
        <v>456.9</v>
      </c>
      <c r="P332" s="122">
        <v>489.35</v>
      </c>
      <c r="Q332" s="122">
        <v>448.3</v>
      </c>
      <c r="R332" s="122">
        <v>475.1</v>
      </c>
      <c r="S332" s="122">
        <v>452.37</v>
      </c>
      <c r="T332" s="123">
        <v>20703616</v>
      </c>
    </row>
    <row r="333" spans="6:20" x14ac:dyDescent="0.3">
      <c r="F333" s="124">
        <v>327</v>
      </c>
      <c r="G333" s="33">
        <f t="shared" ca="1" si="18"/>
        <v>2.4776300064830042E-2</v>
      </c>
      <c r="N333" s="118" t="s">
        <v>690</v>
      </c>
      <c r="O333" s="122">
        <v>439.95</v>
      </c>
      <c r="P333" s="122">
        <v>459</v>
      </c>
      <c r="Q333" s="122">
        <v>438.4</v>
      </c>
      <c r="R333" s="122">
        <v>456.2</v>
      </c>
      <c r="S333" s="122">
        <v>434.37</v>
      </c>
      <c r="T333" s="123">
        <v>9854209</v>
      </c>
    </row>
    <row r="334" spans="6:20" x14ac:dyDescent="0.3">
      <c r="F334" s="124">
        <v>328</v>
      </c>
      <c r="G334" s="33">
        <f t="shared" ca="1" si="18"/>
        <v>-1.374818891147735E-2</v>
      </c>
      <c r="N334" s="118" t="s">
        <v>691</v>
      </c>
      <c r="O334" s="122">
        <v>437.1</v>
      </c>
      <c r="P334" s="122">
        <v>446.75</v>
      </c>
      <c r="Q334" s="122">
        <v>434.1</v>
      </c>
      <c r="R334" s="122">
        <v>442.6</v>
      </c>
      <c r="S334" s="122">
        <v>421.42</v>
      </c>
      <c r="T334" s="123">
        <v>13557450</v>
      </c>
    </row>
    <row r="335" spans="6:20" x14ac:dyDescent="0.3">
      <c r="F335" s="124">
        <v>329</v>
      </c>
      <c r="G335" s="33">
        <f t="shared" ca="1" si="18"/>
        <v>-7.5487376704783419E-3</v>
      </c>
      <c r="N335" s="118" t="s">
        <v>692</v>
      </c>
      <c r="O335" s="122">
        <v>391</v>
      </c>
      <c r="P335" s="122">
        <v>441.35</v>
      </c>
      <c r="Q335" s="122">
        <v>384.2</v>
      </c>
      <c r="R335" s="122">
        <v>436.9</v>
      </c>
      <c r="S335" s="122">
        <v>416</v>
      </c>
      <c r="T335" s="123">
        <v>39692224</v>
      </c>
    </row>
    <row r="336" spans="6:20" x14ac:dyDescent="0.3">
      <c r="F336" s="124">
        <v>330</v>
      </c>
      <c r="G336" s="33">
        <f t="shared" ca="1" si="18"/>
        <v>1.7820994280529148E-2</v>
      </c>
      <c r="N336" s="118" t="s">
        <v>693</v>
      </c>
      <c r="O336" s="122">
        <v>375.3</v>
      </c>
      <c r="P336" s="122">
        <v>387.8</v>
      </c>
      <c r="Q336" s="122">
        <v>370.15</v>
      </c>
      <c r="R336" s="122">
        <v>386</v>
      </c>
      <c r="S336" s="122">
        <v>367.53</v>
      </c>
      <c r="T336" s="123">
        <v>9892297</v>
      </c>
    </row>
    <row r="337" spans="6:20" x14ac:dyDescent="0.3">
      <c r="F337" s="124">
        <v>331</v>
      </c>
      <c r="G337" s="33">
        <f t="shared" ca="1" si="18"/>
        <v>6.6374471212318981E-3</v>
      </c>
      <c r="N337" s="118" t="s">
        <v>694</v>
      </c>
      <c r="O337" s="122">
        <v>375</v>
      </c>
      <c r="P337" s="122">
        <v>381.9</v>
      </c>
      <c r="Q337" s="122">
        <v>365.55</v>
      </c>
      <c r="R337" s="122">
        <v>373</v>
      </c>
      <c r="S337" s="122">
        <v>355.15</v>
      </c>
      <c r="T337" s="123">
        <v>11595368</v>
      </c>
    </row>
    <row r="338" spans="6:20" x14ac:dyDescent="0.3">
      <c r="F338" s="124">
        <v>332</v>
      </c>
      <c r="G338" s="33">
        <f t="shared" ca="1" si="18"/>
        <v>-1.5875436157730481E-2</v>
      </c>
      <c r="N338" s="118" t="s">
        <v>695</v>
      </c>
      <c r="O338" s="122">
        <v>371.2</v>
      </c>
      <c r="P338" s="122">
        <v>382.75</v>
      </c>
      <c r="Q338" s="122">
        <v>371.2</v>
      </c>
      <c r="R338" s="122">
        <v>376.1</v>
      </c>
      <c r="S338" s="122">
        <v>358.11</v>
      </c>
      <c r="T338" s="123">
        <v>12034970</v>
      </c>
    </row>
    <row r="339" spans="6:20" x14ac:dyDescent="0.3">
      <c r="F339" s="124">
        <v>333</v>
      </c>
      <c r="G339" s="33">
        <f t="shared" ca="1" si="18"/>
        <v>-1.6782542866621706E-2</v>
      </c>
      <c r="N339" s="118" t="s">
        <v>696</v>
      </c>
      <c r="O339" s="317" t="s">
        <v>697</v>
      </c>
      <c r="P339" s="317"/>
      <c r="Q339" s="317"/>
      <c r="R339" s="317"/>
      <c r="S339" s="317"/>
      <c r="T339" s="317"/>
    </row>
    <row r="340" spans="6:20" x14ac:dyDescent="0.3">
      <c r="F340" s="124">
        <v>334</v>
      </c>
      <c r="G340" s="33">
        <f t="shared" ca="1" si="18"/>
        <v>-1.3979815553471314E-2</v>
      </c>
      <c r="N340" s="118" t="s">
        <v>698</v>
      </c>
      <c r="O340" s="122">
        <v>391.45</v>
      </c>
      <c r="P340" s="122">
        <v>391.45</v>
      </c>
      <c r="Q340" s="122">
        <v>369.4</v>
      </c>
      <c r="R340" s="122">
        <v>370</v>
      </c>
      <c r="S340" s="122">
        <v>343.14</v>
      </c>
      <c r="T340" s="123">
        <v>11747511</v>
      </c>
    </row>
    <row r="341" spans="6:20" x14ac:dyDescent="0.3">
      <c r="F341" s="124">
        <v>335</v>
      </c>
      <c r="G341" s="33">
        <f t="shared" ca="1" si="18"/>
        <v>-4.0145915177149313E-2</v>
      </c>
      <c r="N341" s="118" t="s">
        <v>699</v>
      </c>
      <c r="O341" s="317" t="s">
        <v>697</v>
      </c>
      <c r="P341" s="317"/>
      <c r="Q341" s="317"/>
      <c r="R341" s="317"/>
      <c r="S341" s="317"/>
      <c r="T341" s="317"/>
    </row>
    <row r="342" spans="6:20" x14ac:dyDescent="0.3">
      <c r="F342" s="124">
        <v>336</v>
      </c>
      <c r="G342" s="33">
        <f t="shared" ca="1" si="18"/>
        <v>3.7294642728010148E-2</v>
      </c>
      <c r="N342" s="118" t="s">
        <v>700</v>
      </c>
      <c r="O342" s="122">
        <v>385</v>
      </c>
      <c r="P342" s="122">
        <v>396.4</v>
      </c>
      <c r="Q342" s="122">
        <v>382.4</v>
      </c>
      <c r="R342" s="122">
        <v>391.45</v>
      </c>
      <c r="S342" s="122">
        <v>363.03</v>
      </c>
      <c r="T342" s="123">
        <v>7188790</v>
      </c>
    </row>
    <row r="343" spans="6:20" x14ac:dyDescent="0.3">
      <c r="F343" s="124">
        <v>337</v>
      </c>
      <c r="G343" s="33">
        <f t="shared" ca="1" si="18"/>
        <v>-3.653987132461442E-2</v>
      </c>
      <c r="N343" s="118" t="s">
        <v>701</v>
      </c>
      <c r="O343" s="122">
        <v>383.65</v>
      </c>
      <c r="P343" s="122">
        <v>389.8</v>
      </c>
      <c r="Q343" s="122">
        <v>377.3</v>
      </c>
      <c r="R343" s="122">
        <v>385.15</v>
      </c>
      <c r="S343" s="122">
        <v>357.19</v>
      </c>
      <c r="T343" s="123">
        <v>5501813</v>
      </c>
    </row>
    <row r="344" spans="6:20" x14ac:dyDescent="0.3">
      <c r="F344" s="124">
        <v>338</v>
      </c>
      <c r="G344" s="33">
        <f t="shared" ca="1" si="18"/>
        <v>3.7307749014272177E-3</v>
      </c>
      <c r="N344" s="118" t="s">
        <v>702</v>
      </c>
      <c r="O344" s="122">
        <v>383.4</v>
      </c>
      <c r="P344" s="122">
        <v>390.05</v>
      </c>
      <c r="Q344" s="122">
        <v>381</v>
      </c>
      <c r="R344" s="122">
        <v>383.85</v>
      </c>
      <c r="S344" s="122">
        <v>355.99</v>
      </c>
      <c r="T344" s="123">
        <v>6415954</v>
      </c>
    </row>
    <row r="345" spans="6:20" x14ac:dyDescent="0.3">
      <c r="F345" s="124">
        <v>339</v>
      </c>
      <c r="G345" s="33">
        <f t="shared" ca="1" si="18"/>
        <v>-1.1896081883685876E-3</v>
      </c>
      <c r="N345" s="118" t="s">
        <v>703</v>
      </c>
      <c r="O345" s="122">
        <v>388</v>
      </c>
      <c r="P345" s="122">
        <v>389.3</v>
      </c>
      <c r="Q345" s="122">
        <v>375.3</v>
      </c>
      <c r="R345" s="122">
        <v>382.35</v>
      </c>
      <c r="S345" s="122">
        <v>354.59</v>
      </c>
      <c r="T345" s="123">
        <v>7003157</v>
      </c>
    </row>
    <row r="346" spans="6:20" x14ac:dyDescent="0.3">
      <c r="F346" s="124">
        <v>340</v>
      </c>
      <c r="G346" s="33">
        <f t="shared" ca="1" si="18"/>
        <v>-9.5869532760175166E-3</v>
      </c>
      <c r="N346" s="118" t="s">
        <v>704</v>
      </c>
      <c r="O346" s="122">
        <v>380</v>
      </c>
      <c r="P346" s="122">
        <v>392.3</v>
      </c>
      <c r="Q346" s="122">
        <v>375.25</v>
      </c>
      <c r="R346" s="122">
        <v>386.75</v>
      </c>
      <c r="S346" s="122">
        <v>358.68</v>
      </c>
      <c r="T346" s="123">
        <v>10138710</v>
      </c>
    </row>
    <row r="347" spans="6:20" x14ac:dyDescent="0.3">
      <c r="F347" s="124">
        <v>341</v>
      </c>
      <c r="G347" s="33">
        <f t="shared" ca="1" si="18"/>
        <v>-5.2242988343500895E-3</v>
      </c>
      <c r="N347" s="118" t="s">
        <v>705</v>
      </c>
      <c r="O347" s="122">
        <v>376.85</v>
      </c>
      <c r="P347" s="122">
        <v>379.75</v>
      </c>
      <c r="Q347" s="122">
        <v>366</v>
      </c>
      <c r="R347" s="122">
        <v>378.3</v>
      </c>
      <c r="S347" s="122">
        <v>350.84</v>
      </c>
      <c r="T347" s="123">
        <v>7175271</v>
      </c>
    </row>
    <row r="348" spans="6:20" x14ac:dyDescent="0.3">
      <c r="F348" s="124">
        <v>342</v>
      </c>
      <c r="G348" s="33">
        <f t="shared" ca="1" si="18"/>
        <v>1.3239704934756232E-2</v>
      </c>
      <c r="N348" s="118" t="s">
        <v>706</v>
      </c>
      <c r="O348" s="122">
        <v>368.6</v>
      </c>
      <c r="P348" s="122">
        <v>383.5</v>
      </c>
      <c r="Q348" s="122">
        <v>365.85</v>
      </c>
      <c r="R348" s="122">
        <v>374.55</v>
      </c>
      <c r="S348" s="122">
        <v>347.36</v>
      </c>
      <c r="T348" s="123">
        <v>6651650</v>
      </c>
    </row>
    <row r="349" spans="6:20" x14ac:dyDescent="0.3">
      <c r="F349" s="124">
        <v>343</v>
      </c>
      <c r="G349" s="33">
        <f t="shared" ca="1" si="18"/>
        <v>-5.8633746896489806E-2</v>
      </c>
      <c r="N349" s="118" t="s">
        <v>707</v>
      </c>
      <c r="O349" s="122">
        <v>370.35</v>
      </c>
      <c r="P349" s="122">
        <v>374.75</v>
      </c>
      <c r="Q349" s="122">
        <v>364.6</v>
      </c>
      <c r="R349" s="122">
        <v>366.45</v>
      </c>
      <c r="S349" s="122">
        <v>339.85</v>
      </c>
      <c r="T349" s="123">
        <v>5135614</v>
      </c>
    </row>
    <row r="350" spans="6:20" x14ac:dyDescent="0.3">
      <c r="F350" s="124">
        <v>344</v>
      </c>
      <c r="G350" s="33">
        <f t="shared" ca="1" si="18"/>
        <v>6.0894409963371879E-3</v>
      </c>
      <c r="N350" s="118" t="s">
        <v>708</v>
      </c>
      <c r="O350" s="122">
        <v>368.9</v>
      </c>
      <c r="P350" s="122">
        <v>383</v>
      </c>
      <c r="Q350" s="122">
        <v>367</v>
      </c>
      <c r="R350" s="122">
        <v>370.35</v>
      </c>
      <c r="S350" s="122">
        <v>343.47</v>
      </c>
      <c r="T350" s="123">
        <v>7522400</v>
      </c>
    </row>
    <row r="351" spans="6:20" x14ac:dyDescent="0.3">
      <c r="F351" s="124">
        <v>345</v>
      </c>
      <c r="G351" s="33">
        <f t="shared" ca="1" si="18"/>
        <v>2.9875855795002102E-2</v>
      </c>
      <c r="N351" s="118" t="s">
        <v>709</v>
      </c>
      <c r="O351" s="122">
        <v>354.8</v>
      </c>
      <c r="P351" s="122">
        <v>368.9</v>
      </c>
      <c r="Q351" s="122">
        <v>353.75</v>
      </c>
      <c r="R351" s="122">
        <v>366.45</v>
      </c>
      <c r="S351" s="122">
        <v>339.85</v>
      </c>
      <c r="T351" s="123">
        <v>5289912</v>
      </c>
    </row>
    <row r="352" spans="6:20" x14ac:dyDescent="0.3">
      <c r="F352" s="124">
        <v>346</v>
      </c>
      <c r="G352" s="33">
        <f t="shared" ca="1" si="18"/>
        <v>-8.2356967737782227E-3</v>
      </c>
      <c r="N352" s="118" t="s">
        <v>710</v>
      </c>
      <c r="O352" s="122">
        <v>340.7</v>
      </c>
      <c r="P352" s="122">
        <v>362</v>
      </c>
      <c r="Q352" s="122">
        <v>339.7</v>
      </c>
      <c r="R352" s="122">
        <v>355.15</v>
      </c>
      <c r="S352" s="122">
        <v>329.37</v>
      </c>
      <c r="T352" s="123">
        <v>7130476</v>
      </c>
    </row>
    <row r="353" spans="6:20" x14ac:dyDescent="0.3">
      <c r="F353" s="124">
        <v>347</v>
      </c>
      <c r="G353" s="33">
        <f t="shared" ca="1" si="18"/>
        <v>-4.8085154496137962E-2</v>
      </c>
      <c r="N353" s="118" t="s">
        <v>711</v>
      </c>
      <c r="O353" s="122">
        <v>345</v>
      </c>
      <c r="P353" s="122">
        <v>347</v>
      </c>
      <c r="Q353" s="122">
        <v>335.5</v>
      </c>
      <c r="R353" s="122">
        <v>340.45</v>
      </c>
      <c r="S353" s="122">
        <v>315.74</v>
      </c>
      <c r="T353" s="123">
        <v>4681435</v>
      </c>
    </row>
    <row r="354" spans="6:20" x14ac:dyDescent="0.3">
      <c r="F354" s="124">
        <v>348</v>
      </c>
      <c r="G354" s="33">
        <f t="shared" ca="1" si="18"/>
        <v>-2.1670283512715879E-2</v>
      </c>
      <c r="N354" s="118" t="s">
        <v>712</v>
      </c>
      <c r="O354" s="122">
        <v>329</v>
      </c>
      <c r="P354" s="122">
        <v>344</v>
      </c>
      <c r="Q354" s="122">
        <v>326.2</v>
      </c>
      <c r="R354" s="122">
        <v>342.85</v>
      </c>
      <c r="S354" s="122">
        <v>317.95999999999998</v>
      </c>
      <c r="T354" s="123">
        <v>5353608</v>
      </c>
    </row>
    <row r="355" spans="6:20" x14ac:dyDescent="0.3">
      <c r="F355" s="124">
        <v>349</v>
      </c>
      <c r="G355" s="33">
        <f t="shared" ca="1" si="18"/>
        <v>2.6479602012459691E-2</v>
      </c>
      <c r="N355" s="118" t="s">
        <v>713</v>
      </c>
      <c r="O355" s="122">
        <v>319.8</v>
      </c>
      <c r="P355" s="122">
        <v>334.6</v>
      </c>
      <c r="Q355" s="122">
        <v>314.8</v>
      </c>
      <c r="R355" s="122">
        <v>328.4</v>
      </c>
      <c r="S355" s="122">
        <v>304.56</v>
      </c>
      <c r="T355" s="123">
        <v>11745025</v>
      </c>
    </row>
    <row r="356" spans="6:20" x14ac:dyDescent="0.3">
      <c r="F356" s="124">
        <v>350</v>
      </c>
      <c r="G356" s="33">
        <f t="shared" ca="1" si="18"/>
        <v>-3.2029350555380864E-2</v>
      </c>
      <c r="N356" s="118" t="s">
        <v>714</v>
      </c>
      <c r="O356" s="122">
        <v>321.55</v>
      </c>
      <c r="P356" s="122">
        <v>326.39999999999998</v>
      </c>
      <c r="Q356" s="122">
        <v>311.95</v>
      </c>
      <c r="R356" s="122">
        <v>318.2</v>
      </c>
      <c r="S356" s="122">
        <v>295.10000000000002</v>
      </c>
      <c r="T356" s="123">
        <v>9599625</v>
      </c>
    </row>
    <row r="357" spans="6:20" x14ac:dyDescent="0.3">
      <c r="F357" s="124">
        <v>351</v>
      </c>
      <c r="G357" s="33">
        <f t="shared" ca="1" si="18"/>
        <v>6.8844282284123721E-3</v>
      </c>
      <c r="N357" s="118" t="s">
        <v>715</v>
      </c>
      <c r="O357" s="122">
        <v>330.05</v>
      </c>
      <c r="P357" s="122">
        <v>333.6</v>
      </c>
      <c r="Q357" s="122">
        <v>320.45</v>
      </c>
      <c r="R357" s="122">
        <v>321.25</v>
      </c>
      <c r="S357" s="122">
        <v>297.93</v>
      </c>
      <c r="T357" s="123">
        <v>11107250</v>
      </c>
    </row>
    <row r="358" spans="6:20" x14ac:dyDescent="0.3">
      <c r="F358" s="124">
        <v>352</v>
      </c>
      <c r="G358" s="33">
        <f t="shared" ca="1" si="18"/>
        <v>4.818601187377862E-2</v>
      </c>
      <c r="N358" s="118" t="s">
        <v>716</v>
      </c>
      <c r="O358" s="122">
        <v>326</v>
      </c>
      <c r="P358" s="122">
        <v>334.9</v>
      </c>
      <c r="Q358" s="122">
        <v>318.89999999999998</v>
      </c>
      <c r="R358" s="122">
        <v>327.25</v>
      </c>
      <c r="S358" s="122">
        <v>303.49</v>
      </c>
      <c r="T358" s="123">
        <v>20280862</v>
      </c>
    </row>
    <row r="359" spans="6:20" x14ac:dyDescent="0.3">
      <c r="F359" s="124">
        <v>353</v>
      </c>
      <c r="G359" s="33">
        <f t="shared" ca="1" si="18"/>
        <v>1.8184846967750332E-2</v>
      </c>
      <c r="N359" s="118" t="s">
        <v>717</v>
      </c>
      <c r="O359" s="122">
        <v>335</v>
      </c>
      <c r="P359" s="122">
        <v>337.4</v>
      </c>
      <c r="Q359" s="122">
        <v>323.64999999999998</v>
      </c>
      <c r="R359" s="122">
        <v>325.2</v>
      </c>
      <c r="S359" s="122">
        <v>301.58999999999997</v>
      </c>
      <c r="T359" s="123">
        <v>4822072</v>
      </c>
    </row>
    <row r="360" spans="6:20" x14ac:dyDescent="0.3">
      <c r="F360" s="124">
        <v>354</v>
      </c>
      <c r="G360" s="33">
        <f t="shared" ca="1" si="18"/>
        <v>-2.5748209161828559E-2</v>
      </c>
      <c r="N360" s="118" t="s">
        <v>718</v>
      </c>
      <c r="O360" s="122">
        <v>342.9</v>
      </c>
      <c r="P360" s="122">
        <v>345</v>
      </c>
      <c r="Q360" s="122">
        <v>324.60000000000002</v>
      </c>
      <c r="R360" s="122">
        <v>330.6</v>
      </c>
      <c r="S360" s="122">
        <v>306.60000000000002</v>
      </c>
      <c r="T360" s="123">
        <v>7067807</v>
      </c>
    </row>
    <row r="361" spans="6:20" x14ac:dyDescent="0.3">
      <c r="F361" s="124">
        <v>355</v>
      </c>
      <c r="G361" s="33">
        <f t="shared" ca="1" si="18"/>
        <v>1.8964761939178273E-2</v>
      </c>
      <c r="N361" s="118" t="s">
        <v>719</v>
      </c>
      <c r="O361" s="122">
        <v>344.85</v>
      </c>
      <c r="P361" s="122">
        <v>347.6</v>
      </c>
      <c r="Q361" s="122">
        <v>339</v>
      </c>
      <c r="R361" s="122">
        <v>342.75</v>
      </c>
      <c r="S361" s="122">
        <v>317.87</v>
      </c>
      <c r="T361" s="123">
        <v>2983195</v>
      </c>
    </row>
    <row r="362" spans="6:20" x14ac:dyDescent="0.3">
      <c r="F362" s="124">
        <v>356</v>
      </c>
      <c r="G362" s="33">
        <f t="shared" ca="1" si="18"/>
        <v>5.5071901741375884E-3</v>
      </c>
      <c r="N362" s="118" t="s">
        <v>720</v>
      </c>
      <c r="O362" s="122">
        <v>348.2</v>
      </c>
      <c r="P362" s="122">
        <v>349</v>
      </c>
      <c r="Q362" s="122">
        <v>326</v>
      </c>
      <c r="R362" s="122">
        <v>340.55</v>
      </c>
      <c r="S362" s="122">
        <v>315.83</v>
      </c>
      <c r="T362" s="123">
        <v>6262909</v>
      </c>
    </row>
    <row r="363" spans="6:20" x14ac:dyDescent="0.3">
      <c r="F363" s="124">
        <v>357</v>
      </c>
      <c r="G363" s="33">
        <f t="shared" ca="1" si="18"/>
        <v>-6.0070412924926195E-2</v>
      </c>
      <c r="N363" s="118" t="s">
        <v>721</v>
      </c>
      <c r="O363" s="122">
        <v>354.35</v>
      </c>
      <c r="P363" s="122">
        <v>362</v>
      </c>
      <c r="Q363" s="122">
        <v>340.2</v>
      </c>
      <c r="R363" s="122">
        <v>344.45</v>
      </c>
      <c r="S363" s="122">
        <v>319.45</v>
      </c>
      <c r="T363" s="123">
        <v>10043487</v>
      </c>
    </row>
    <row r="364" spans="6:20" x14ac:dyDescent="0.3">
      <c r="F364" s="124">
        <v>358</v>
      </c>
      <c r="G364" s="33">
        <f t="shared" ca="1" si="18"/>
        <v>-3.5781716927634884E-2</v>
      </c>
      <c r="N364" s="118" t="s">
        <v>722</v>
      </c>
      <c r="O364" s="122">
        <v>365.15</v>
      </c>
      <c r="P364" s="122">
        <v>368.45</v>
      </c>
      <c r="Q364" s="122">
        <v>352</v>
      </c>
      <c r="R364" s="122">
        <v>353.75</v>
      </c>
      <c r="S364" s="122">
        <v>328.07</v>
      </c>
      <c r="T364" s="123">
        <v>4593187</v>
      </c>
    </row>
    <row r="365" spans="6:20" x14ac:dyDescent="0.3">
      <c r="F365" s="124">
        <v>359</v>
      </c>
      <c r="G365" s="33">
        <f t="shared" ca="1" si="18"/>
        <v>-5.0247616654968852E-2</v>
      </c>
      <c r="N365" s="118" t="s">
        <v>723</v>
      </c>
      <c r="O365" s="122">
        <v>360.3</v>
      </c>
      <c r="P365" s="122">
        <v>368.6</v>
      </c>
      <c r="Q365" s="122">
        <v>352</v>
      </c>
      <c r="R365" s="122">
        <v>363.8</v>
      </c>
      <c r="S365" s="122">
        <v>337.39</v>
      </c>
      <c r="T365" s="123">
        <v>5658269</v>
      </c>
    </row>
    <row r="366" spans="6:20" x14ac:dyDescent="0.3">
      <c r="F366" s="124">
        <v>360</v>
      </c>
      <c r="G366" s="33">
        <f t="shared" ca="1" si="18"/>
        <v>-1.8047066206405123E-2</v>
      </c>
      <c r="N366" s="118" t="s">
        <v>724</v>
      </c>
      <c r="O366" s="122">
        <v>358.2</v>
      </c>
      <c r="P366" s="122">
        <v>362.35</v>
      </c>
      <c r="Q366" s="122">
        <v>354.65</v>
      </c>
      <c r="R366" s="122">
        <v>358.15</v>
      </c>
      <c r="S366" s="122">
        <v>332.15</v>
      </c>
      <c r="T366" s="123">
        <v>4183350</v>
      </c>
    </row>
    <row r="367" spans="6:20" x14ac:dyDescent="0.3">
      <c r="F367" s="124">
        <v>361</v>
      </c>
      <c r="G367" s="33">
        <f t="shared" ca="1" si="18"/>
        <v>-1.5318480806042849E-2</v>
      </c>
      <c r="N367" s="118" t="s">
        <v>725</v>
      </c>
      <c r="O367" s="122">
        <v>351</v>
      </c>
      <c r="P367" s="122">
        <v>360.9</v>
      </c>
      <c r="Q367" s="122">
        <v>346.45</v>
      </c>
      <c r="R367" s="122">
        <v>358.2</v>
      </c>
      <c r="S367" s="122">
        <v>332.2</v>
      </c>
      <c r="T367" s="123">
        <v>4995504</v>
      </c>
    </row>
    <row r="368" spans="6:20" x14ac:dyDescent="0.3">
      <c r="F368" s="124">
        <v>362</v>
      </c>
      <c r="G368" s="33">
        <f t="shared" ca="1" si="18"/>
        <v>-4.5874862743666547E-2</v>
      </c>
      <c r="N368" s="118" t="s">
        <v>726</v>
      </c>
      <c r="O368" s="122">
        <v>353.55</v>
      </c>
      <c r="P368" s="122">
        <v>357.7</v>
      </c>
      <c r="Q368" s="122">
        <v>343.4</v>
      </c>
      <c r="R368" s="122">
        <v>349.7</v>
      </c>
      <c r="S368" s="122">
        <v>324.31</v>
      </c>
      <c r="T368" s="123">
        <v>5079857</v>
      </c>
    </row>
    <row r="369" spans="6:20" x14ac:dyDescent="0.3">
      <c r="F369" s="124">
        <v>363</v>
      </c>
      <c r="G369" s="33">
        <f t="shared" ca="1" si="18"/>
        <v>-1.1912564151107814E-2</v>
      </c>
      <c r="N369" s="118" t="s">
        <v>727</v>
      </c>
      <c r="O369" s="122">
        <v>340.95</v>
      </c>
      <c r="P369" s="122">
        <v>356.25</v>
      </c>
      <c r="Q369" s="122">
        <v>325</v>
      </c>
      <c r="R369" s="122">
        <v>353.55</v>
      </c>
      <c r="S369" s="122">
        <v>327.89</v>
      </c>
      <c r="T369" s="123">
        <v>4952177</v>
      </c>
    </row>
    <row r="370" spans="6:20" x14ac:dyDescent="0.3">
      <c r="F370" s="124">
        <v>364</v>
      </c>
      <c r="G370" s="33">
        <f t="shared" ca="1" si="18"/>
        <v>3.7158260864864762E-2</v>
      </c>
      <c r="N370" s="118" t="s">
        <v>728</v>
      </c>
      <c r="O370" s="122">
        <v>352.5</v>
      </c>
      <c r="P370" s="122">
        <v>352.75</v>
      </c>
      <c r="Q370" s="122">
        <v>340.05</v>
      </c>
      <c r="R370" s="122">
        <v>342.25</v>
      </c>
      <c r="S370" s="122">
        <v>317.41000000000003</v>
      </c>
      <c r="T370" s="123">
        <v>3960611</v>
      </c>
    </row>
    <row r="371" spans="6:20" x14ac:dyDescent="0.3">
      <c r="F371" s="124">
        <v>365</v>
      </c>
      <c r="G371" s="33">
        <f t="shared" ca="1" si="18"/>
        <v>-4.7071959587826229E-2</v>
      </c>
      <c r="N371" s="118" t="s">
        <v>729</v>
      </c>
      <c r="O371" s="122">
        <v>344.4</v>
      </c>
      <c r="P371" s="122">
        <v>352.8</v>
      </c>
      <c r="Q371" s="122">
        <v>338.9</v>
      </c>
      <c r="R371" s="122">
        <v>351.15</v>
      </c>
      <c r="S371" s="122">
        <v>325.66000000000003</v>
      </c>
      <c r="T371" s="123">
        <v>4016226</v>
      </c>
    </row>
    <row r="372" spans="6:20" x14ac:dyDescent="0.3">
      <c r="F372" s="124">
        <v>366</v>
      </c>
      <c r="G372" s="33">
        <f t="shared" ca="1" si="18"/>
        <v>2.4029104099655266E-2</v>
      </c>
      <c r="N372" s="118" t="s">
        <v>730</v>
      </c>
      <c r="O372" s="122">
        <v>344.65</v>
      </c>
      <c r="P372" s="122">
        <v>350.9</v>
      </c>
      <c r="Q372" s="122">
        <v>336.4</v>
      </c>
      <c r="R372" s="122">
        <v>340.75</v>
      </c>
      <c r="S372" s="122">
        <v>316.01</v>
      </c>
      <c r="T372" s="123">
        <v>7736046</v>
      </c>
    </row>
    <row r="373" spans="6:20" x14ac:dyDescent="0.3">
      <c r="F373" s="124">
        <v>367</v>
      </c>
      <c r="G373" s="33">
        <f t="shared" ca="1" si="18"/>
        <v>5.0813947938343519E-3</v>
      </c>
      <c r="N373" s="118" t="s">
        <v>731</v>
      </c>
      <c r="O373" s="122">
        <v>336</v>
      </c>
      <c r="P373" s="122">
        <v>349.2</v>
      </c>
      <c r="Q373" s="122">
        <v>334.7</v>
      </c>
      <c r="R373" s="122">
        <v>344.5</v>
      </c>
      <c r="S373" s="122">
        <v>319.49</v>
      </c>
      <c r="T373" s="123">
        <v>4250967</v>
      </c>
    </row>
    <row r="374" spans="6:20" x14ac:dyDescent="0.3">
      <c r="F374" s="124">
        <v>368</v>
      </c>
      <c r="G374" s="33">
        <f t="shared" ca="1" si="18"/>
        <v>5.9132236735395371E-3</v>
      </c>
      <c r="N374" s="118" t="s">
        <v>732</v>
      </c>
      <c r="O374" s="122">
        <v>344</v>
      </c>
      <c r="P374" s="122">
        <v>344</v>
      </c>
      <c r="Q374" s="122">
        <v>329.7</v>
      </c>
      <c r="R374" s="122">
        <v>336.5</v>
      </c>
      <c r="S374" s="122">
        <v>312.07</v>
      </c>
      <c r="T374" s="123">
        <v>4514090</v>
      </c>
    </row>
    <row r="375" spans="6:20" x14ac:dyDescent="0.3">
      <c r="F375" s="124">
        <v>369</v>
      </c>
      <c r="G375" s="33">
        <f t="shared" ca="1" si="18"/>
        <v>7.5412854511654179E-2</v>
      </c>
      <c r="N375" s="118" t="s">
        <v>733</v>
      </c>
      <c r="O375" s="317" t="s">
        <v>677</v>
      </c>
      <c r="P375" s="317"/>
      <c r="Q375" s="317"/>
      <c r="R375" s="317"/>
      <c r="S375" s="317"/>
      <c r="T375" s="317"/>
    </row>
    <row r="376" spans="6:20" x14ac:dyDescent="0.3">
      <c r="F376" s="124">
        <v>370</v>
      </c>
      <c r="G376" s="33">
        <f t="shared" ca="1" si="18"/>
        <v>-6.0703185464919297E-2</v>
      </c>
      <c r="N376" s="118" t="s">
        <v>734</v>
      </c>
      <c r="O376" s="122">
        <v>341</v>
      </c>
      <c r="P376" s="122">
        <v>350</v>
      </c>
      <c r="Q376" s="122">
        <v>336.05</v>
      </c>
      <c r="R376" s="122">
        <v>342.1</v>
      </c>
      <c r="S376" s="122">
        <v>316.11</v>
      </c>
      <c r="T376" s="123">
        <v>4408585</v>
      </c>
    </row>
    <row r="377" spans="6:20" x14ac:dyDescent="0.3">
      <c r="F377" s="124">
        <v>371</v>
      </c>
      <c r="G377" s="33">
        <f t="shared" ca="1" si="18"/>
        <v>-2.0380824540991934E-2</v>
      </c>
      <c r="N377" s="118" t="s">
        <v>735</v>
      </c>
      <c r="O377" s="122">
        <v>323</v>
      </c>
      <c r="P377" s="122">
        <v>360.85</v>
      </c>
      <c r="Q377" s="122">
        <v>318</v>
      </c>
      <c r="R377" s="122">
        <v>340.4</v>
      </c>
      <c r="S377" s="122">
        <v>314.54000000000002</v>
      </c>
      <c r="T377" s="123">
        <v>13313029</v>
      </c>
    </row>
    <row r="378" spans="6:20" x14ac:dyDescent="0.3">
      <c r="F378" s="124">
        <v>372</v>
      </c>
      <c r="G378" s="33">
        <f t="shared" ca="1" si="18"/>
        <v>3.6811456450945149E-3</v>
      </c>
      <c r="N378" s="118" t="s">
        <v>736</v>
      </c>
      <c r="O378" s="122">
        <v>317.75</v>
      </c>
      <c r="P378" s="122">
        <v>326.7</v>
      </c>
      <c r="Q378" s="122">
        <v>314</v>
      </c>
      <c r="R378" s="122">
        <v>322.95</v>
      </c>
      <c r="S378" s="122">
        <v>298.41000000000003</v>
      </c>
      <c r="T378" s="123">
        <v>4701521</v>
      </c>
    </row>
    <row r="379" spans="6:20" x14ac:dyDescent="0.3">
      <c r="F379" s="124">
        <v>373</v>
      </c>
      <c r="G379" s="33">
        <f t="shared" ca="1" si="18"/>
        <v>3.2700182407699167E-2</v>
      </c>
      <c r="N379" s="118" t="s">
        <v>737</v>
      </c>
      <c r="O379" s="122">
        <v>324.89999999999998</v>
      </c>
      <c r="P379" s="122">
        <v>324.89999999999998</v>
      </c>
      <c r="Q379" s="122">
        <v>315</v>
      </c>
      <c r="R379" s="122">
        <v>318.55</v>
      </c>
      <c r="S379" s="122">
        <v>294.35000000000002</v>
      </c>
      <c r="T379" s="123">
        <v>2099763</v>
      </c>
    </row>
    <row r="380" spans="6:20" x14ac:dyDescent="0.3">
      <c r="F380" s="124">
        <v>374</v>
      </c>
      <c r="G380" s="33">
        <f t="shared" ca="1" si="18"/>
        <v>-1.5568852018469258E-2</v>
      </c>
      <c r="N380" s="118" t="s">
        <v>738</v>
      </c>
      <c r="O380" s="122">
        <v>315.7</v>
      </c>
      <c r="P380" s="122">
        <v>328.3</v>
      </c>
      <c r="Q380" s="122">
        <v>312.2</v>
      </c>
      <c r="R380" s="122">
        <v>321.95</v>
      </c>
      <c r="S380" s="122">
        <v>297.49</v>
      </c>
      <c r="T380" s="123">
        <v>5837761</v>
      </c>
    </row>
    <row r="381" spans="6:20" x14ac:dyDescent="0.3">
      <c r="F381" s="124">
        <v>375</v>
      </c>
      <c r="G381" s="33">
        <f t="shared" ca="1" si="18"/>
        <v>1.7960628355070847E-2</v>
      </c>
      <c r="N381" s="118" t="s">
        <v>739</v>
      </c>
      <c r="O381" s="122">
        <v>305</v>
      </c>
      <c r="P381" s="122">
        <v>320.7</v>
      </c>
      <c r="Q381" s="122">
        <v>305</v>
      </c>
      <c r="R381" s="122">
        <v>316.05</v>
      </c>
      <c r="S381" s="122">
        <v>292.04000000000002</v>
      </c>
      <c r="T381" s="123">
        <v>3672420</v>
      </c>
    </row>
    <row r="382" spans="6:20" x14ac:dyDescent="0.3">
      <c r="F382" s="124">
        <v>376</v>
      </c>
      <c r="G382" s="33">
        <f t="shared" ca="1" si="18"/>
        <v>-1.6296463271965E-2</v>
      </c>
      <c r="N382" s="118" t="s">
        <v>740</v>
      </c>
      <c r="O382" s="122">
        <v>304.5</v>
      </c>
      <c r="P382" s="122">
        <v>316</v>
      </c>
      <c r="Q382" s="122">
        <v>298.7</v>
      </c>
      <c r="R382" s="122">
        <v>305</v>
      </c>
      <c r="S382" s="122">
        <v>281.83</v>
      </c>
      <c r="T382" s="123">
        <v>7587200</v>
      </c>
    </row>
    <row r="383" spans="6:20" x14ac:dyDescent="0.3">
      <c r="F383" s="124">
        <v>377</v>
      </c>
      <c r="G383" s="33">
        <f t="shared" ca="1" si="18"/>
        <v>-4.9881155127958168E-2</v>
      </c>
      <c r="N383" s="118" t="s">
        <v>741</v>
      </c>
      <c r="O383" s="122">
        <v>310.5</v>
      </c>
      <c r="P383" s="122">
        <v>318.5</v>
      </c>
      <c r="Q383" s="122">
        <v>303.5</v>
      </c>
      <c r="R383" s="122">
        <v>304.7</v>
      </c>
      <c r="S383" s="122">
        <v>281.55</v>
      </c>
      <c r="T383" s="123">
        <v>4770845</v>
      </c>
    </row>
    <row r="384" spans="6:20" x14ac:dyDescent="0.3">
      <c r="F384" s="124">
        <v>378</v>
      </c>
      <c r="G384" s="33">
        <f t="shared" ca="1" si="18"/>
        <v>-2.7525556138640661E-2</v>
      </c>
      <c r="N384" s="118" t="s">
        <v>742</v>
      </c>
      <c r="O384" s="122">
        <v>309.3</v>
      </c>
      <c r="P384" s="122">
        <v>312.8</v>
      </c>
      <c r="Q384" s="122">
        <v>305.35000000000002</v>
      </c>
      <c r="R384" s="122">
        <v>310.25</v>
      </c>
      <c r="S384" s="122">
        <v>286.68</v>
      </c>
      <c r="T384" s="123">
        <v>4455156</v>
      </c>
    </row>
    <row r="385" spans="6:20" x14ac:dyDescent="0.3">
      <c r="F385" s="124">
        <v>379</v>
      </c>
      <c r="G385" s="33">
        <f t="shared" ca="1" si="18"/>
        <v>-1.9323238936325128E-2</v>
      </c>
      <c r="N385" s="118" t="s">
        <v>743</v>
      </c>
      <c r="O385" s="122">
        <v>313.7</v>
      </c>
      <c r="P385" s="122">
        <v>314.5</v>
      </c>
      <c r="Q385" s="122">
        <v>305.39999999999998</v>
      </c>
      <c r="R385" s="122">
        <v>306.85000000000002</v>
      </c>
      <c r="S385" s="122">
        <v>283.54000000000002</v>
      </c>
      <c r="T385" s="123">
        <v>3986447</v>
      </c>
    </row>
    <row r="386" spans="6:20" x14ac:dyDescent="0.3">
      <c r="F386" s="124">
        <v>380</v>
      </c>
      <c r="G386" s="33">
        <f t="shared" ca="1" si="18"/>
        <v>-1.0759573481453722E-2</v>
      </c>
      <c r="N386" s="118" t="s">
        <v>744</v>
      </c>
      <c r="O386" s="122">
        <v>300.95</v>
      </c>
      <c r="P386" s="122">
        <v>316.7</v>
      </c>
      <c r="Q386" s="122">
        <v>300.95</v>
      </c>
      <c r="R386" s="122">
        <v>313.45</v>
      </c>
      <c r="S386" s="122">
        <v>289.64</v>
      </c>
      <c r="T386" s="123">
        <v>5674506</v>
      </c>
    </row>
    <row r="387" spans="6:20" x14ac:dyDescent="0.3">
      <c r="F387" s="124">
        <v>381</v>
      </c>
      <c r="G387" s="33">
        <f t="shared" ca="1" si="18"/>
        <v>3.6848866724882211E-2</v>
      </c>
      <c r="N387" s="118" t="s">
        <v>745</v>
      </c>
      <c r="O387" s="122">
        <v>311</v>
      </c>
      <c r="P387" s="122">
        <v>313.75</v>
      </c>
      <c r="Q387" s="122">
        <v>296.5</v>
      </c>
      <c r="R387" s="122">
        <v>300.05</v>
      </c>
      <c r="S387" s="122">
        <v>277.25</v>
      </c>
      <c r="T387" s="123">
        <v>3360257</v>
      </c>
    </row>
    <row r="388" spans="6:20" x14ac:dyDescent="0.3">
      <c r="F388" s="124">
        <v>382</v>
      </c>
      <c r="G388" s="33">
        <f t="shared" ca="1" si="18"/>
        <v>1.6912173480600971E-2</v>
      </c>
      <c r="N388" s="118" t="s">
        <v>746</v>
      </c>
      <c r="O388" s="122">
        <v>304.14999999999998</v>
      </c>
      <c r="P388" s="122">
        <v>311.85000000000002</v>
      </c>
      <c r="Q388" s="122">
        <v>303.5</v>
      </c>
      <c r="R388" s="122">
        <v>310.05</v>
      </c>
      <c r="S388" s="122">
        <v>286.49</v>
      </c>
      <c r="T388" s="123">
        <v>2801486</v>
      </c>
    </row>
    <row r="389" spans="6:20" x14ac:dyDescent="0.3">
      <c r="F389" s="124">
        <v>383</v>
      </c>
      <c r="G389" s="33">
        <f t="shared" ca="1" si="18"/>
        <v>3.3327840601340454E-2</v>
      </c>
      <c r="N389" s="118" t="s">
        <v>747</v>
      </c>
      <c r="O389" s="122">
        <v>311</v>
      </c>
      <c r="P389" s="122">
        <v>323</v>
      </c>
      <c r="Q389" s="122">
        <v>300.25</v>
      </c>
      <c r="R389" s="122">
        <v>303.39999999999998</v>
      </c>
      <c r="S389" s="122">
        <v>280.35000000000002</v>
      </c>
      <c r="T389" s="123">
        <v>5333602</v>
      </c>
    </row>
    <row r="390" spans="6:20" x14ac:dyDescent="0.3">
      <c r="F390" s="124">
        <v>384</v>
      </c>
      <c r="G390" s="33">
        <f t="shared" ca="1" si="18"/>
        <v>2.8929573764972794E-2</v>
      </c>
      <c r="N390" s="118" t="s">
        <v>748</v>
      </c>
      <c r="O390" s="122">
        <v>310</v>
      </c>
      <c r="P390" s="122">
        <v>312.7</v>
      </c>
      <c r="Q390" s="122">
        <v>297.2</v>
      </c>
      <c r="R390" s="122">
        <v>307.3</v>
      </c>
      <c r="S390" s="122">
        <v>283.95</v>
      </c>
      <c r="T390" s="123">
        <v>8086385</v>
      </c>
    </row>
    <row r="391" spans="6:20" x14ac:dyDescent="0.3">
      <c r="F391" s="124">
        <v>385</v>
      </c>
      <c r="G391" s="33">
        <f t="shared" ca="1" si="18"/>
        <v>3.0502838732243381E-2</v>
      </c>
      <c r="N391" s="118" t="s">
        <v>749</v>
      </c>
      <c r="O391" s="122">
        <v>302.2</v>
      </c>
      <c r="P391" s="122">
        <v>313.60000000000002</v>
      </c>
      <c r="Q391" s="122">
        <v>300.8</v>
      </c>
      <c r="R391" s="122">
        <v>310.5</v>
      </c>
      <c r="S391" s="122">
        <v>286.91000000000003</v>
      </c>
      <c r="T391" s="123">
        <v>5860434</v>
      </c>
    </row>
    <row r="392" spans="6:20" x14ac:dyDescent="0.3">
      <c r="F392" s="124">
        <v>386</v>
      </c>
      <c r="G392" s="33">
        <f t="shared" ref="G392:G455" ca="1" si="19">_xlfn.NORM.INV(RAND(),$M$9,$M$10)</f>
        <v>4.5504355960346139E-2</v>
      </c>
      <c r="N392" s="118" t="s">
        <v>750</v>
      </c>
      <c r="O392" s="122">
        <v>304.10000000000002</v>
      </c>
      <c r="P392" s="122">
        <v>307.39999999999998</v>
      </c>
      <c r="Q392" s="122">
        <v>296.60000000000002</v>
      </c>
      <c r="R392" s="122">
        <v>302.60000000000002</v>
      </c>
      <c r="S392" s="122">
        <v>279.61</v>
      </c>
      <c r="T392" s="123">
        <v>5997471</v>
      </c>
    </row>
    <row r="393" spans="6:20" x14ac:dyDescent="0.3">
      <c r="F393" s="124">
        <v>387</v>
      </c>
      <c r="G393" s="33">
        <f t="shared" ca="1" si="19"/>
        <v>-9.234277518182437E-3</v>
      </c>
      <c r="N393" s="118" t="s">
        <v>751</v>
      </c>
      <c r="O393" s="122">
        <v>301</v>
      </c>
      <c r="P393" s="122">
        <v>308.85000000000002</v>
      </c>
      <c r="Q393" s="122">
        <v>301</v>
      </c>
      <c r="R393" s="122">
        <v>304.10000000000002</v>
      </c>
      <c r="S393" s="122">
        <v>281</v>
      </c>
      <c r="T393" s="123">
        <v>6382627</v>
      </c>
    </row>
    <row r="394" spans="6:20" x14ac:dyDescent="0.3">
      <c r="F394" s="124">
        <v>388</v>
      </c>
      <c r="G394" s="33">
        <f t="shared" ca="1" si="19"/>
        <v>-1.07060066553386E-2</v>
      </c>
      <c r="N394" s="118" t="s">
        <v>752</v>
      </c>
      <c r="O394" s="317" t="s">
        <v>753</v>
      </c>
      <c r="P394" s="317"/>
      <c r="Q394" s="317"/>
      <c r="R394" s="317"/>
      <c r="S394" s="317"/>
      <c r="T394" s="317"/>
    </row>
    <row r="395" spans="6:20" x14ac:dyDescent="0.3">
      <c r="F395" s="124">
        <v>389</v>
      </c>
      <c r="G395" s="33">
        <f t="shared" ca="1" si="19"/>
        <v>9.42675501255689E-4</v>
      </c>
      <c r="N395" s="118" t="s">
        <v>754</v>
      </c>
      <c r="O395" s="122">
        <v>291.89999999999998</v>
      </c>
      <c r="P395" s="122">
        <v>303.3</v>
      </c>
      <c r="Q395" s="122">
        <v>291.39999999999998</v>
      </c>
      <c r="R395" s="122">
        <v>301.85000000000002</v>
      </c>
      <c r="S395" s="122">
        <v>277.97000000000003</v>
      </c>
      <c r="T395" s="123">
        <v>9333781</v>
      </c>
    </row>
    <row r="396" spans="6:20" x14ac:dyDescent="0.3">
      <c r="F396" s="124">
        <v>390</v>
      </c>
      <c r="G396" s="33">
        <f t="shared" ca="1" si="19"/>
        <v>2.1230461635688241E-2</v>
      </c>
      <c r="N396" s="118" t="s">
        <v>755</v>
      </c>
      <c r="O396" s="122">
        <v>289.8</v>
      </c>
      <c r="P396" s="122">
        <v>293.45</v>
      </c>
      <c r="Q396" s="122">
        <v>282.5</v>
      </c>
      <c r="R396" s="122">
        <v>292.10000000000002</v>
      </c>
      <c r="S396" s="122">
        <v>268.99</v>
      </c>
      <c r="T396" s="123">
        <v>8047848</v>
      </c>
    </row>
    <row r="397" spans="6:20" x14ac:dyDescent="0.3">
      <c r="F397" s="124">
        <v>391</v>
      </c>
      <c r="G397" s="33">
        <f t="shared" ca="1" si="19"/>
        <v>1.0875433304938158E-2</v>
      </c>
      <c r="N397" s="118" t="s">
        <v>756</v>
      </c>
      <c r="O397" s="122">
        <v>288.95</v>
      </c>
      <c r="P397" s="122">
        <v>290.89999999999998</v>
      </c>
      <c r="Q397" s="122">
        <v>284.7</v>
      </c>
      <c r="R397" s="122">
        <v>289.8</v>
      </c>
      <c r="S397" s="122">
        <v>266.88</v>
      </c>
      <c r="T397" s="123">
        <v>5531976</v>
      </c>
    </row>
    <row r="398" spans="6:20" x14ac:dyDescent="0.3">
      <c r="F398" s="124">
        <v>392</v>
      </c>
      <c r="G398" s="33">
        <f t="shared" ca="1" si="19"/>
        <v>3.3178009789895248E-2</v>
      </c>
      <c r="N398" s="118" t="s">
        <v>757</v>
      </c>
      <c r="O398" s="122">
        <v>281.39999999999998</v>
      </c>
      <c r="P398" s="122">
        <v>295</v>
      </c>
      <c r="Q398" s="122">
        <v>278.75</v>
      </c>
      <c r="R398" s="122">
        <v>288.89999999999998</v>
      </c>
      <c r="S398" s="122">
        <v>266.05</v>
      </c>
      <c r="T398" s="123">
        <v>9245864</v>
      </c>
    </row>
    <row r="399" spans="6:20" x14ac:dyDescent="0.3">
      <c r="F399" s="124">
        <v>393</v>
      </c>
      <c r="G399" s="33">
        <f t="shared" ca="1" si="19"/>
        <v>-5.68816825441993E-2</v>
      </c>
      <c r="N399" s="118" t="s">
        <v>758</v>
      </c>
      <c r="O399" s="122">
        <v>285.10000000000002</v>
      </c>
      <c r="P399" s="122">
        <v>287.14999999999998</v>
      </c>
      <c r="Q399" s="122">
        <v>277.5</v>
      </c>
      <c r="R399" s="122">
        <v>282.14999999999998</v>
      </c>
      <c r="S399" s="122">
        <v>259.83</v>
      </c>
      <c r="T399" s="123">
        <v>3549273</v>
      </c>
    </row>
    <row r="400" spans="6:20" x14ac:dyDescent="0.3">
      <c r="F400" s="124">
        <v>394</v>
      </c>
      <c r="G400" s="33">
        <f t="shared" ca="1" si="19"/>
        <v>4.9102039994553415E-3</v>
      </c>
      <c r="N400" s="118" t="s">
        <v>759</v>
      </c>
      <c r="O400" s="122">
        <v>270</v>
      </c>
      <c r="P400" s="122">
        <v>288.45</v>
      </c>
      <c r="Q400" s="122">
        <v>269.8</v>
      </c>
      <c r="R400" s="122">
        <v>284.60000000000002</v>
      </c>
      <c r="S400" s="122">
        <v>262.08999999999997</v>
      </c>
      <c r="T400" s="123">
        <v>14714537</v>
      </c>
    </row>
    <row r="401" spans="6:20" x14ac:dyDescent="0.3">
      <c r="F401" s="124">
        <v>395</v>
      </c>
      <c r="G401" s="33">
        <f t="shared" ca="1" si="19"/>
        <v>-4.5425248654990771E-2</v>
      </c>
      <c r="N401" s="118" t="s">
        <v>760</v>
      </c>
      <c r="O401" s="122">
        <v>278.8</v>
      </c>
      <c r="P401" s="122">
        <v>278.89999999999998</v>
      </c>
      <c r="Q401" s="122">
        <v>265</v>
      </c>
      <c r="R401" s="122">
        <v>269.75</v>
      </c>
      <c r="S401" s="122">
        <v>248.41</v>
      </c>
      <c r="T401" s="123">
        <v>11584403</v>
      </c>
    </row>
    <row r="402" spans="6:20" x14ac:dyDescent="0.3">
      <c r="F402" s="124">
        <v>396</v>
      </c>
      <c r="G402" s="33">
        <f t="shared" ca="1" si="19"/>
        <v>-3.0676025170933621E-2</v>
      </c>
      <c r="N402" s="118" t="s">
        <v>761</v>
      </c>
      <c r="O402" s="122">
        <v>279.85000000000002</v>
      </c>
      <c r="P402" s="122">
        <v>280.89999999999998</v>
      </c>
      <c r="Q402" s="122">
        <v>271.3</v>
      </c>
      <c r="R402" s="122">
        <v>275.25</v>
      </c>
      <c r="S402" s="122">
        <v>253.48</v>
      </c>
      <c r="T402" s="123">
        <v>23723177</v>
      </c>
    </row>
    <row r="403" spans="6:20" x14ac:dyDescent="0.3">
      <c r="F403" s="124">
        <v>397</v>
      </c>
      <c r="G403" s="33">
        <f t="shared" ca="1" si="19"/>
        <v>-3.374271266092569E-2</v>
      </c>
      <c r="N403" s="118" t="s">
        <v>762</v>
      </c>
      <c r="O403" s="122">
        <v>273</v>
      </c>
      <c r="P403" s="122">
        <v>284.8</v>
      </c>
      <c r="Q403" s="122">
        <v>270.8</v>
      </c>
      <c r="R403" s="122">
        <v>279.85000000000002</v>
      </c>
      <c r="S403" s="122">
        <v>257.70999999999998</v>
      </c>
      <c r="T403" s="123">
        <v>10178594</v>
      </c>
    </row>
    <row r="404" spans="6:20" x14ac:dyDescent="0.3">
      <c r="F404" s="124">
        <v>398</v>
      </c>
      <c r="G404" s="33">
        <f t="shared" ca="1" si="19"/>
        <v>2.8853376673042955E-2</v>
      </c>
      <c r="N404" s="118" t="s">
        <v>763</v>
      </c>
      <c r="O404" s="122">
        <v>286.75</v>
      </c>
      <c r="P404" s="122">
        <v>288.5</v>
      </c>
      <c r="Q404" s="122">
        <v>270</v>
      </c>
      <c r="R404" s="122">
        <v>272.60000000000002</v>
      </c>
      <c r="S404" s="122">
        <v>251.04</v>
      </c>
      <c r="T404" s="123">
        <v>9204038</v>
      </c>
    </row>
    <row r="405" spans="6:20" x14ac:dyDescent="0.3">
      <c r="F405" s="124">
        <v>399</v>
      </c>
      <c r="G405" s="33">
        <f t="shared" ca="1" si="19"/>
        <v>2.688732521830643E-3</v>
      </c>
      <c r="N405" s="118" t="s">
        <v>764</v>
      </c>
      <c r="O405" s="122">
        <v>292</v>
      </c>
      <c r="P405" s="122">
        <v>295.95</v>
      </c>
      <c r="Q405" s="122">
        <v>285.55</v>
      </c>
      <c r="R405" s="122">
        <v>286.75</v>
      </c>
      <c r="S405" s="122">
        <v>264.07</v>
      </c>
      <c r="T405" s="123">
        <v>4683623</v>
      </c>
    </row>
    <row r="406" spans="6:20" x14ac:dyDescent="0.3">
      <c r="F406" s="124">
        <v>400</v>
      </c>
      <c r="G406" s="33">
        <f t="shared" ca="1" si="19"/>
        <v>-2.2442541993979191E-2</v>
      </c>
      <c r="N406" s="118" t="s">
        <v>765</v>
      </c>
      <c r="O406" s="122">
        <v>288</v>
      </c>
      <c r="P406" s="122">
        <v>295.8</v>
      </c>
      <c r="Q406" s="122">
        <v>285.39999999999998</v>
      </c>
      <c r="R406" s="122">
        <v>291.25</v>
      </c>
      <c r="S406" s="122">
        <v>268.20999999999998</v>
      </c>
      <c r="T406" s="123">
        <v>4116230</v>
      </c>
    </row>
    <row r="407" spans="6:20" x14ac:dyDescent="0.3">
      <c r="F407" s="124">
        <v>401</v>
      </c>
      <c r="G407" s="33">
        <f t="shared" ca="1" si="19"/>
        <v>2.8127885277145034E-2</v>
      </c>
      <c r="N407" s="118" t="s">
        <v>766</v>
      </c>
      <c r="O407" s="122">
        <v>285.10000000000002</v>
      </c>
      <c r="P407" s="122">
        <v>291</v>
      </c>
      <c r="Q407" s="122">
        <v>283.39999999999998</v>
      </c>
      <c r="R407" s="122">
        <v>287.75</v>
      </c>
      <c r="S407" s="122">
        <v>264.99</v>
      </c>
      <c r="T407" s="123">
        <v>5704386</v>
      </c>
    </row>
    <row r="408" spans="6:20" x14ac:dyDescent="0.3">
      <c r="F408" s="124">
        <v>402</v>
      </c>
      <c r="G408" s="33">
        <f t="shared" ca="1" si="19"/>
        <v>1.1940188058686615E-2</v>
      </c>
      <c r="N408" s="118" t="s">
        <v>767</v>
      </c>
      <c r="O408" s="122">
        <v>277.55</v>
      </c>
      <c r="P408" s="122">
        <v>285.39999999999998</v>
      </c>
      <c r="Q408" s="122">
        <v>277.2</v>
      </c>
      <c r="R408" s="122">
        <v>282.39999999999998</v>
      </c>
      <c r="S408" s="122">
        <v>260.06</v>
      </c>
      <c r="T408" s="123">
        <v>4896037</v>
      </c>
    </row>
    <row r="409" spans="6:20" x14ac:dyDescent="0.3">
      <c r="F409" s="124">
        <v>403</v>
      </c>
      <c r="G409" s="33">
        <f t="shared" ca="1" si="19"/>
        <v>-2.0886558532366376E-3</v>
      </c>
      <c r="N409" s="118" t="s">
        <v>768</v>
      </c>
      <c r="O409" s="122">
        <v>280.95</v>
      </c>
      <c r="P409" s="122">
        <v>281</v>
      </c>
      <c r="Q409" s="122">
        <v>272.3</v>
      </c>
      <c r="R409" s="122">
        <v>277.35000000000002</v>
      </c>
      <c r="S409" s="122">
        <v>255.41</v>
      </c>
      <c r="T409" s="123">
        <v>8906036</v>
      </c>
    </row>
    <row r="410" spans="6:20" x14ac:dyDescent="0.3">
      <c r="F410" s="124">
        <v>404</v>
      </c>
      <c r="G410" s="33">
        <f t="shared" ca="1" si="19"/>
        <v>-1.4716711877149754E-3</v>
      </c>
      <c r="N410" s="118" t="s">
        <v>769</v>
      </c>
      <c r="O410" s="122">
        <v>280</v>
      </c>
      <c r="P410" s="122">
        <v>286.39999999999998</v>
      </c>
      <c r="Q410" s="122">
        <v>277.8</v>
      </c>
      <c r="R410" s="122">
        <v>281.3</v>
      </c>
      <c r="S410" s="122">
        <v>259.05</v>
      </c>
      <c r="T410" s="123">
        <v>8129348</v>
      </c>
    </row>
    <row r="411" spans="6:20" x14ac:dyDescent="0.3">
      <c r="F411" s="124">
        <v>405</v>
      </c>
      <c r="G411" s="33">
        <f t="shared" ca="1" si="19"/>
        <v>-2.4593330207359269E-2</v>
      </c>
      <c r="N411" s="118" t="s">
        <v>770</v>
      </c>
      <c r="O411" s="122">
        <v>273.39999999999998</v>
      </c>
      <c r="P411" s="122">
        <v>281</v>
      </c>
      <c r="Q411" s="122">
        <v>271.2</v>
      </c>
      <c r="R411" s="122">
        <v>278.10000000000002</v>
      </c>
      <c r="S411" s="122">
        <v>256.10000000000002</v>
      </c>
      <c r="T411" s="123">
        <v>12540147</v>
      </c>
    </row>
    <row r="412" spans="6:20" x14ac:dyDescent="0.3">
      <c r="F412" s="124">
        <v>406</v>
      </c>
      <c r="G412" s="33">
        <f t="shared" ca="1" si="19"/>
        <v>8.5079010250621624E-3</v>
      </c>
      <c r="N412" s="118" t="s">
        <v>771</v>
      </c>
      <c r="O412" s="122">
        <v>277.5</v>
      </c>
      <c r="P412" s="122">
        <v>279.3</v>
      </c>
      <c r="Q412" s="122">
        <v>272.8</v>
      </c>
      <c r="R412" s="122">
        <v>273.39999999999998</v>
      </c>
      <c r="S412" s="122">
        <v>251.77</v>
      </c>
      <c r="T412" s="123">
        <v>5407008</v>
      </c>
    </row>
    <row r="413" spans="6:20" x14ac:dyDescent="0.3">
      <c r="F413" s="124">
        <v>407</v>
      </c>
      <c r="G413" s="33">
        <f t="shared" ca="1" si="19"/>
        <v>3.3003149676458007E-3</v>
      </c>
      <c r="N413" s="118" t="s">
        <v>772</v>
      </c>
      <c r="O413" s="122">
        <v>270</v>
      </c>
      <c r="P413" s="122">
        <v>278.95</v>
      </c>
      <c r="Q413" s="122">
        <v>270</v>
      </c>
      <c r="R413" s="122">
        <v>277.25</v>
      </c>
      <c r="S413" s="122">
        <v>255.32</v>
      </c>
      <c r="T413" s="123">
        <v>8024442</v>
      </c>
    </row>
    <row r="414" spans="6:20" x14ac:dyDescent="0.3">
      <c r="F414" s="124">
        <v>408</v>
      </c>
      <c r="G414" s="33">
        <f t="shared" ca="1" si="19"/>
        <v>-2.9201763299750673E-3</v>
      </c>
      <c r="N414" s="118" t="s">
        <v>773</v>
      </c>
      <c r="O414" s="122">
        <v>266</v>
      </c>
      <c r="P414" s="122">
        <v>274.8</v>
      </c>
      <c r="Q414" s="122">
        <v>264.10000000000002</v>
      </c>
      <c r="R414" s="122">
        <v>269.55</v>
      </c>
      <c r="S414" s="122">
        <v>248.23</v>
      </c>
      <c r="T414" s="123">
        <v>6554476</v>
      </c>
    </row>
    <row r="415" spans="6:20" x14ac:dyDescent="0.3">
      <c r="F415" s="124">
        <v>409</v>
      </c>
      <c r="G415" s="33">
        <f t="shared" ca="1" si="19"/>
        <v>-4.5276254360784529E-2</v>
      </c>
      <c r="N415" s="118" t="s">
        <v>774</v>
      </c>
      <c r="O415" s="122">
        <v>265.05</v>
      </c>
      <c r="P415" s="122">
        <v>271.39999999999998</v>
      </c>
      <c r="Q415" s="122">
        <v>263.64999999999998</v>
      </c>
      <c r="R415" s="122">
        <v>265.85000000000002</v>
      </c>
      <c r="S415" s="122">
        <v>244.82</v>
      </c>
      <c r="T415" s="123">
        <v>4321317</v>
      </c>
    </row>
    <row r="416" spans="6:20" x14ac:dyDescent="0.3">
      <c r="F416" s="124">
        <v>410</v>
      </c>
      <c r="G416" s="33">
        <f t="shared" ca="1" si="19"/>
        <v>5.8880686200210174E-4</v>
      </c>
      <c r="N416" s="118" t="s">
        <v>775</v>
      </c>
      <c r="O416" s="122">
        <v>269.89999999999998</v>
      </c>
      <c r="P416" s="122">
        <v>271.75</v>
      </c>
      <c r="Q416" s="122">
        <v>263.60000000000002</v>
      </c>
      <c r="R416" s="122">
        <v>264.60000000000002</v>
      </c>
      <c r="S416" s="122">
        <v>243.67</v>
      </c>
      <c r="T416" s="123">
        <v>4514047</v>
      </c>
    </row>
    <row r="417" spans="6:20" x14ac:dyDescent="0.3">
      <c r="F417" s="124">
        <v>411</v>
      </c>
      <c r="G417" s="33">
        <f t="shared" ca="1" si="19"/>
        <v>-5.6227886615815556E-2</v>
      </c>
      <c r="N417" s="118" t="s">
        <v>776</v>
      </c>
      <c r="O417" s="122">
        <v>277</v>
      </c>
      <c r="P417" s="122">
        <v>281</v>
      </c>
      <c r="Q417" s="122">
        <v>267.75</v>
      </c>
      <c r="R417" s="122">
        <v>268.2</v>
      </c>
      <c r="S417" s="122">
        <v>246.98</v>
      </c>
      <c r="T417" s="123">
        <v>7454537</v>
      </c>
    </row>
    <row r="418" spans="6:20" x14ac:dyDescent="0.3">
      <c r="F418" s="124">
        <v>412</v>
      </c>
      <c r="G418" s="33">
        <f t="shared" ca="1" si="19"/>
        <v>-1.9357844084533903E-2</v>
      </c>
      <c r="N418" s="118" t="s">
        <v>777</v>
      </c>
      <c r="O418" s="122">
        <v>275.25</v>
      </c>
      <c r="P418" s="122">
        <v>284</v>
      </c>
      <c r="Q418" s="122">
        <v>274.2</v>
      </c>
      <c r="R418" s="122">
        <v>277.10000000000002</v>
      </c>
      <c r="S418" s="122">
        <v>255.18</v>
      </c>
      <c r="T418" s="123">
        <v>4596301</v>
      </c>
    </row>
    <row r="419" spans="6:20" x14ac:dyDescent="0.3">
      <c r="F419" s="124">
        <v>413</v>
      </c>
      <c r="G419" s="33">
        <f t="shared" ca="1" si="19"/>
        <v>-3.3508707280891573E-2</v>
      </c>
      <c r="N419" s="118" t="s">
        <v>778</v>
      </c>
      <c r="O419" s="122">
        <v>281.10000000000002</v>
      </c>
      <c r="P419" s="122">
        <v>282.95</v>
      </c>
      <c r="Q419" s="122">
        <v>274</v>
      </c>
      <c r="R419" s="122">
        <v>275.89999999999998</v>
      </c>
      <c r="S419" s="122">
        <v>254.08</v>
      </c>
      <c r="T419" s="123">
        <v>3766981</v>
      </c>
    </row>
    <row r="420" spans="6:20" x14ac:dyDescent="0.3">
      <c r="F420" s="124">
        <v>414</v>
      </c>
      <c r="G420" s="33">
        <f t="shared" ca="1" si="19"/>
        <v>2.2263199218289162E-2</v>
      </c>
      <c r="N420" s="118" t="s">
        <v>779</v>
      </c>
      <c r="O420" s="122">
        <v>276.3</v>
      </c>
      <c r="P420" s="122">
        <v>284</v>
      </c>
      <c r="Q420" s="122">
        <v>273</v>
      </c>
      <c r="R420" s="122">
        <v>281.64999999999998</v>
      </c>
      <c r="S420" s="122">
        <v>259.37</v>
      </c>
      <c r="T420" s="123">
        <v>5075620</v>
      </c>
    </row>
    <row r="421" spans="6:20" x14ac:dyDescent="0.3">
      <c r="F421" s="124">
        <v>415</v>
      </c>
      <c r="G421" s="33">
        <f t="shared" ca="1" si="19"/>
        <v>-3.3355227105381642E-2</v>
      </c>
      <c r="N421" s="118" t="s">
        <v>780</v>
      </c>
      <c r="O421" s="122">
        <v>278</v>
      </c>
      <c r="P421" s="122">
        <v>280.5</v>
      </c>
      <c r="Q421" s="122">
        <v>272.89999999999998</v>
      </c>
      <c r="R421" s="122">
        <v>276.60000000000002</v>
      </c>
      <c r="S421" s="122">
        <v>254.72</v>
      </c>
      <c r="T421" s="123">
        <v>4117160</v>
      </c>
    </row>
    <row r="422" spans="6:20" x14ac:dyDescent="0.3">
      <c r="F422" s="124">
        <v>416</v>
      </c>
      <c r="G422" s="33">
        <f t="shared" ca="1" si="19"/>
        <v>5.4916688116105457E-2</v>
      </c>
      <c r="N422" s="118" t="s">
        <v>781</v>
      </c>
      <c r="O422" s="122">
        <v>260.75</v>
      </c>
      <c r="P422" s="122">
        <v>279.7</v>
      </c>
      <c r="Q422" s="122">
        <v>259.14999999999998</v>
      </c>
      <c r="R422" s="122">
        <v>278.14999999999998</v>
      </c>
      <c r="S422" s="122">
        <v>256.14999999999998</v>
      </c>
      <c r="T422" s="123">
        <v>3483957</v>
      </c>
    </row>
    <row r="423" spans="6:20" x14ac:dyDescent="0.3">
      <c r="F423" s="124">
        <v>417</v>
      </c>
      <c r="G423" s="33">
        <f t="shared" ca="1" si="19"/>
        <v>-9.6939685827066198E-3</v>
      </c>
      <c r="N423" s="118" t="s">
        <v>782</v>
      </c>
      <c r="O423" s="122">
        <v>272.35000000000002</v>
      </c>
      <c r="P423" s="122">
        <v>276.35000000000002</v>
      </c>
      <c r="Q423" s="122">
        <v>261.5</v>
      </c>
      <c r="R423" s="122">
        <v>262.05</v>
      </c>
      <c r="S423" s="122">
        <v>241.32</v>
      </c>
      <c r="T423" s="123">
        <v>3817822</v>
      </c>
    </row>
    <row r="424" spans="6:20" x14ac:dyDescent="0.3">
      <c r="F424" s="124">
        <v>418</v>
      </c>
      <c r="G424" s="33">
        <f t="shared" ca="1" si="19"/>
        <v>-2.3221771969878315E-2</v>
      </c>
      <c r="N424" s="118" t="s">
        <v>783</v>
      </c>
      <c r="O424" s="122">
        <v>279.64999999999998</v>
      </c>
      <c r="P424" s="122">
        <v>282.39999999999998</v>
      </c>
      <c r="Q424" s="122">
        <v>269.8</v>
      </c>
      <c r="R424" s="122">
        <v>271.14999999999998</v>
      </c>
      <c r="S424" s="122">
        <v>249.7</v>
      </c>
      <c r="T424" s="123">
        <v>5102215</v>
      </c>
    </row>
    <row r="425" spans="6:20" x14ac:dyDescent="0.3">
      <c r="F425" s="124">
        <v>419</v>
      </c>
      <c r="G425" s="33">
        <f t="shared" ca="1" si="19"/>
        <v>5.8682061502974836E-3</v>
      </c>
      <c r="N425" s="118" t="s">
        <v>784</v>
      </c>
      <c r="O425" s="122">
        <v>284.3</v>
      </c>
      <c r="P425" s="122">
        <v>288.14999999999998</v>
      </c>
      <c r="Q425" s="122">
        <v>277.2</v>
      </c>
      <c r="R425" s="122">
        <v>279.45</v>
      </c>
      <c r="S425" s="122">
        <v>257.33999999999997</v>
      </c>
      <c r="T425" s="123">
        <v>4554403</v>
      </c>
    </row>
    <row r="426" spans="6:20" x14ac:dyDescent="0.3">
      <c r="F426" s="124">
        <v>420</v>
      </c>
      <c r="G426" s="33">
        <f t="shared" ca="1" si="19"/>
        <v>3.1819591359454266E-2</v>
      </c>
      <c r="N426" s="118" t="s">
        <v>785</v>
      </c>
      <c r="O426" s="122">
        <v>275</v>
      </c>
      <c r="P426" s="122">
        <v>288.3</v>
      </c>
      <c r="Q426" s="122">
        <v>274.75</v>
      </c>
      <c r="R426" s="122">
        <v>283.95</v>
      </c>
      <c r="S426" s="122">
        <v>261.49</v>
      </c>
      <c r="T426" s="123">
        <v>5589642</v>
      </c>
    </row>
    <row r="427" spans="6:20" x14ac:dyDescent="0.3">
      <c r="F427" s="124">
        <v>421</v>
      </c>
      <c r="G427" s="33">
        <f t="shared" ca="1" si="19"/>
        <v>1.5501231944188509E-2</v>
      </c>
      <c r="N427" s="118" t="s">
        <v>786</v>
      </c>
      <c r="O427" s="122">
        <v>278.45</v>
      </c>
      <c r="P427" s="122">
        <v>284.45</v>
      </c>
      <c r="Q427" s="122">
        <v>274.25</v>
      </c>
      <c r="R427" s="122">
        <v>275.39999999999998</v>
      </c>
      <c r="S427" s="122">
        <v>253.62</v>
      </c>
      <c r="T427" s="123">
        <v>5319440</v>
      </c>
    </row>
    <row r="428" spans="6:20" x14ac:dyDescent="0.3">
      <c r="F428" s="124">
        <v>422</v>
      </c>
      <c r="G428" s="33">
        <f t="shared" ca="1" si="19"/>
        <v>9.9308185539079925E-4</v>
      </c>
      <c r="N428" s="118" t="s">
        <v>787</v>
      </c>
      <c r="O428" s="122">
        <v>280.45</v>
      </c>
      <c r="P428" s="122">
        <v>283.45</v>
      </c>
      <c r="Q428" s="122">
        <v>269.5</v>
      </c>
      <c r="R428" s="122">
        <v>278.45</v>
      </c>
      <c r="S428" s="122">
        <v>256.42</v>
      </c>
      <c r="T428" s="123">
        <v>5179119</v>
      </c>
    </row>
    <row r="429" spans="6:20" x14ac:dyDescent="0.3">
      <c r="F429" s="124">
        <v>423</v>
      </c>
      <c r="G429" s="33">
        <f t="shared" ca="1" si="19"/>
        <v>-2.9421730447971566E-2</v>
      </c>
      <c r="N429" s="118" t="s">
        <v>788</v>
      </c>
      <c r="O429" s="122">
        <v>300.60000000000002</v>
      </c>
      <c r="P429" s="122">
        <v>305</v>
      </c>
      <c r="Q429" s="122">
        <v>272.45</v>
      </c>
      <c r="R429" s="122">
        <v>280.45</v>
      </c>
      <c r="S429" s="122">
        <v>258.27</v>
      </c>
      <c r="T429" s="123">
        <v>9727111</v>
      </c>
    </row>
    <row r="430" spans="6:20" x14ac:dyDescent="0.3">
      <c r="F430" s="124">
        <v>424</v>
      </c>
      <c r="G430" s="33">
        <f t="shared" ca="1" si="19"/>
        <v>-2.0804629041673066E-2</v>
      </c>
      <c r="N430" s="118" t="s">
        <v>789</v>
      </c>
      <c r="O430" s="317" t="s">
        <v>677</v>
      </c>
      <c r="P430" s="317"/>
      <c r="Q430" s="317"/>
      <c r="R430" s="317"/>
      <c r="S430" s="317"/>
      <c r="T430" s="317"/>
    </row>
    <row r="431" spans="6:20" x14ac:dyDescent="0.3">
      <c r="F431" s="124">
        <v>425</v>
      </c>
      <c r="G431" s="33">
        <f t="shared" ca="1" si="19"/>
        <v>-1.6322722183672637E-2</v>
      </c>
      <c r="N431" s="118" t="s">
        <v>790</v>
      </c>
      <c r="O431" s="122">
        <v>291.55</v>
      </c>
      <c r="P431" s="122">
        <v>301.2</v>
      </c>
      <c r="Q431" s="122">
        <v>288.35000000000002</v>
      </c>
      <c r="R431" s="122">
        <v>298.5</v>
      </c>
      <c r="S431" s="122">
        <v>273.72000000000003</v>
      </c>
      <c r="T431" s="123">
        <v>9617402</v>
      </c>
    </row>
    <row r="432" spans="6:20" x14ac:dyDescent="0.3">
      <c r="F432" s="124">
        <v>426</v>
      </c>
      <c r="G432" s="33">
        <f t="shared" ca="1" si="19"/>
        <v>-3.1919994632279448E-3</v>
      </c>
      <c r="N432" s="118" t="s">
        <v>791</v>
      </c>
      <c r="O432" s="122">
        <v>285.5</v>
      </c>
      <c r="P432" s="122">
        <v>300.5</v>
      </c>
      <c r="Q432" s="122">
        <v>280</v>
      </c>
      <c r="R432" s="122">
        <v>291.55</v>
      </c>
      <c r="S432" s="122">
        <v>267.35000000000002</v>
      </c>
      <c r="T432" s="123">
        <v>18343093</v>
      </c>
    </row>
    <row r="433" spans="6:20" x14ac:dyDescent="0.3">
      <c r="F433" s="124">
        <v>427</v>
      </c>
      <c r="G433" s="33">
        <f t="shared" ca="1" si="19"/>
        <v>-3.5932480223637701E-2</v>
      </c>
      <c r="N433" s="118" t="s">
        <v>792</v>
      </c>
      <c r="O433" s="122">
        <v>279</v>
      </c>
      <c r="P433" s="122">
        <v>285.8</v>
      </c>
      <c r="Q433" s="122">
        <v>271</v>
      </c>
      <c r="R433" s="122">
        <v>285.14999999999998</v>
      </c>
      <c r="S433" s="122">
        <v>261.48</v>
      </c>
      <c r="T433" s="123">
        <v>5632235</v>
      </c>
    </row>
    <row r="434" spans="6:20" x14ac:dyDescent="0.3">
      <c r="F434" s="124">
        <v>428</v>
      </c>
      <c r="G434" s="33">
        <f t="shared" ca="1" si="19"/>
        <v>-3.4016711656531619E-2</v>
      </c>
      <c r="N434" s="118" t="s">
        <v>793</v>
      </c>
      <c r="O434" s="122">
        <v>285.05</v>
      </c>
      <c r="P434" s="122">
        <v>287.39999999999998</v>
      </c>
      <c r="Q434" s="122">
        <v>279.25</v>
      </c>
      <c r="R434" s="122">
        <v>279.89999999999998</v>
      </c>
      <c r="S434" s="122">
        <v>256.67</v>
      </c>
      <c r="T434" s="123">
        <v>3575134</v>
      </c>
    </row>
    <row r="435" spans="6:20" x14ac:dyDescent="0.3">
      <c r="F435" s="124">
        <v>429</v>
      </c>
      <c r="G435" s="33">
        <f t="shared" ca="1" si="19"/>
        <v>5.2881232037568324E-2</v>
      </c>
      <c r="N435" s="118" t="s">
        <v>794</v>
      </c>
      <c r="O435" s="122">
        <v>272.10000000000002</v>
      </c>
      <c r="P435" s="122">
        <v>288.3</v>
      </c>
      <c r="Q435" s="122">
        <v>271.2</v>
      </c>
      <c r="R435" s="122">
        <v>284.64999999999998</v>
      </c>
      <c r="S435" s="122">
        <v>261.02</v>
      </c>
      <c r="T435" s="123">
        <v>14634477</v>
      </c>
    </row>
    <row r="436" spans="6:20" x14ac:dyDescent="0.3">
      <c r="F436" s="124">
        <v>430</v>
      </c>
      <c r="G436" s="33">
        <f t="shared" ca="1" si="19"/>
        <v>3.382023296055605E-3</v>
      </c>
      <c r="N436" s="118" t="s">
        <v>795</v>
      </c>
      <c r="O436" s="122">
        <v>281</v>
      </c>
      <c r="P436" s="122">
        <v>284.55</v>
      </c>
      <c r="Q436" s="122">
        <v>266.39999999999998</v>
      </c>
      <c r="R436" s="122">
        <v>271.2</v>
      </c>
      <c r="S436" s="122">
        <v>248.69</v>
      </c>
      <c r="T436" s="123">
        <v>6790754</v>
      </c>
    </row>
    <row r="437" spans="6:20" x14ac:dyDescent="0.3">
      <c r="F437" s="124">
        <v>431</v>
      </c>
      <c r="G437" s="33">
        <f t="shared" ca="1" si="19"/>
        <v>4.0909897351210603E-2</v>
      </c>
      <c r="N437" s="118" t="s">
        <v>796</v>
      </c>
      <c r="O437" s="122">
        <v>293.7</v>
      </c>
      <c r="P437" s="122">
        <v>295.5</v>
      </c>
      <c r="Q437" s="122">
        <v>281.5</v>
      </c>
      <c r="R437" s="122">
        <v>282.25</v>
      </c>
      <c r="S437" s="122">
        <v>258.82</v>
      </c>
      <c r="T437" s="123">
        <v>5119389</v>
      </c>
    </row>
    <row r="438" spans="6:20" x14ac:dyDescent="0.3">
      <c r="F438" s="124">
        <v>432</v>
      </c>
      <c r="G438" s="33">
        <f t="shared" ca="1" si="19"/>
        <v>2.8511694865183063E-3</v>
      </c>
      <c r="N438" s="118" t="s">
        <v>797</v>
      </c>
      <c r="O438" s="122">
        <v>290</v>
      </c>
      <c r="P438" s="122">
        <v>297.5</v>
      </c>
      <c r="Q438" s="122">
        <v>285</v>
      </c>
      <c r="R438" s="122">
        <v>292.8</v>
      </c>
      <c r="S438" s="122">
        <v>268.5</v>
      </c>
      <c r="T438" s="123">
        <v>4460110</v>
      </c>
    </row>
    <row r="439" spans="6:20" x14ac:dyDescent="0.3">
      <c r="F439" s="124">
        <v>433</v>
      </c>
      <c r="G439" s="33">
        <f t="shared" ca="1" si="19"/>
        <v>5.4783897597850725E-2</v>
      </c>
      <c r="N439" s="118" t="s">
        <v>798</v>
      </c>
      <c r="O439" s="122">
        <v>297</v>
      </c>
      <c r="P439" s="122">
        <v>301</v>
      </c>
      <c r="Q439" s="122">
        <v>292</v>
      </c>
      <c r="R439" s="122">
        <v>292.8</v>
      </c>
      <c r="S439" s="122">
        <v>268.5</v>
      </c>
      <c r="T439" s="123">
        <v>3451659</v>
      </c>
    </row>
    <row r="440" spans="6:20" x14ac:dyDescent="0.3">
      <c r="F440" s="124">
        <v>434</v>
      </c>
      <c r="G440" s="33">
        <f t="shared" ca="1" si="19"/>
        <v>2.8792378000415259E-2</v>
      </c>
      <c r="N440" s="118" t="s">
        <v>799</v>
      </c>
      <c r="O440" s="122">
        <v>288.5</v>
      </c>
      <c r="P440" s="122">
        <v>297.5</v>
      </c>
      <c r="Q440" s="122">
        <v>285.85000000000002</v>
      </c>
      <c r="R440" s="122">
        <v>297</v>
      </c>
      <c r="S440" s="122">
        <v>272.35000000000002</v>
      </c>
      <c r="T440" s="123">
        <v>6281989</v>
      </c>
    </row>
    <row r="441" spans="6:20" x14ac:dyDescent="0.3">
      <c r="F441" s="124">
        <v>435</v>
      </c>
      <c r="G441" s="33">
        <f t="shared" ca="1" si="19"/>
        <v>1.9994489524351827E-2</v>
      </c>
      <c r="N441" s="118" t="s">
        <v>800</v>
      </c>
      <c r="O441" s="122">
        <v>300</v>
      </c>
      <c r="P441" s="122">
        <v>302.7</v>
      </c>
      <c r="Q441" s="122">
        <v>287.10000000000002</v>
      </c>
      <c r="R441" s="122">
        <v>288.45</v>
      </c>
      <c r="S441" s="122">
        <v>264.51</v>
      </c>
      <c r="T441" s="123">
        <v>8135802</v>
      </c>
    </row>
    <row r="442" spans="6:20" x14ac:dyDescent="0.3">
      <c r="F442" s="124">
        <v>436</v>
      </c>
      <c r="G442" s="33">
        <f t="shared" ca="1" si="19"/>
        <v>-2.3889423086818268E-2</v>
      </c>
      <c r="N442" s="118" t="s">
        <v>801</v>
      </c>
      <c r="O442" s="122">
        <v>295.8</v>
      </c>
      <c r="P442" s="122">
        <v>305.95</v>
      </c>
      <c r="Q442" s="122">
        <v>292.8</v>
      </c>
      <c r="R442" s="122">
        <v>299.75</v>
      </c>
      <c r="S442" s="122">
        <v>274.87</v>
      </c>
      <c r="T442" s="123">
        <v>10680498</v>
      </c>
    </row>
    <row r="443" spans="6:20" x14ac:dyDescent="0.3">
      <c r="F443" s="124">
        <v>437</v>
      </c>
      <c r="G443" s="33">
        <f t="shared" ca="1" si="19"/>
        <v>-5.3378690976776033E-3</v>
      </c>
      <c r="N443" s="118" t="s">
        <v>802</v>
      </c>
      <c r="O443" s="122">
        <v>296</v>
      </c>
      <c r="P443" s="122">
        <v>297.89999999999998</v>
      </c>
      <c r="Q443" s="122">
        <v>282.05</v>
      </c>
      <c r="R443" s="122">
        <v>295.8</v>
      </c>
      <c r="S443" s="122">
        <v>271.25</v>
      </c>
      <c r="T443" s="123">
        <v>8312536</v>
      </c>
    </row>
    <row r="444" spans="6:20" x14ac:dyDescent="0.3">
      <c r="F444" s="124">
        <v>438</v>
      </c>
      <c r="G444" s="33">
        <f t="shared" ca="1" si="19"/>
        <v>-3.3396294225484874E-2</v>
      </c>
      <c r="N444" s="118" t="s">
        <v>803</v>
      </c>
      <c r="O444" s="122">
        <v>304.5</v>
      </c>
      <c r="P444" s="122">
        <v>305.89999999999998</v>
      </c>
      <c r="Q444" s="122">
        <v>292.75</v>
      </c>
      <c r="R444" s="122">
        <v>295.75</v>
      </c>
      <c r="S444" s="122">
        <v>271.2</v>
      </c>
      <c r="T444" s="123">
        <v>4523335</v>
      </c>
    </row>
    <row r="445" spans="6:20" x14ac:dyDescent="0.3">
      <c r="F445" s="124">
        <v>439</v>
      </c>
      <c r="G445" s="33">
        <f t="shared" ca="1" si="19"/>
        <v>2.4090709090959117E-2</v>
      </c>
      <c r="N445" s="118" t="s">
        <v>804</v>
      </c>
      <c r="O445" s="122">
        <v>307.7</v>
      </c>
      <c r="P445" s="122">
        <v>310.75</v>
      </c>
      <c r="Q445" s="122">
        <v>296.14999999999998</v>
      </c>
      <c r="R445" s="122">
        <v>303.60000000000002</v>
      </c>
      <c r="S445" s="122">
        <v>278.39999999999998</v>
      </c>
      <c r="T445" s="123">
        <v>11155475</v>
      </c>
    </row>
    <row r="446" spans="6:20" x14ac:dyDescent="0.3">
      <c r="F446" s="124">
        <v>440</v>
      </c>
      <c r="G446" s="33">
        <f t="shared" ca="1" si="19"/>
        <v>3.0618619261764853E-2</v>
      </c>
      <c r="N446" s="118" t="s">
        <v>805</v>
      </c>
      <c r="O446" s="122">
        <v>313.25</v>
      </c>
      <c r="P446" s="122">
        <v>316</v>
      </c>
      <c r="Q446" s="122">
        <v>300.7</v>
      </c>
      <c r="R446" s="122">
        <v>307.60000000000002</v>
      </c>
      <c r="S446" s="122">
        <v>282.07</v>
      </c>
      <c r="T446" s="123">
        <v>6117577</v>
      </c>
    </row>
    <row r="447" spans="6:20" x14ac:dyDescent="0.3">
      <c r="F447" s="124">
        <v>441</v>
      </c>
      <c r="G447" s="33">
        <f t="shared" ca="1" si="19"/>
        <v>2.0808378021845306E-2</v>
      </c>
      <c r="N447" s="118" t="s">
        <v>806</v>
      </c>
      <c r="O447" s="122">
        <v>313.14999999999998</v>
      </c>
      <c r="P447" s="122">
        <v>320</v>
      </c>
      <c r="Q447" s="122">
        <v>310.39999999999998</v>
      </c>
      <c r="R447" s="122">
        <v>312</v>
      </c>
      <c r="S447" s="122">
        <v>286.10000000000002</v>
      </c>
      <c r="T447" s="123">
        <v>5841493</v>
      </c>
    </row>
    <row r="448" spans="6:20" x14ac:dyDescent="0.3">
      <c r="F448" s="124">
        <v>442</v>
      </c>
      <c r="G448" s="33">
        <f t="shared" ca="1" si="19"/>
        <v>1.867718211436923E-2</v>
      </c>
      <c r="N448" s="118" t="s">
        <v>807</v>
      </c>
      <c r="O448" s="122">
        <v>310.8</v>
      </c>
      <c r="P448" s="122">
        <v>316.35000000000002</v>
      </c>
      <c r="Q448" s="122">
        <v>306.10000000000002</v>
      </c>
      <c r="R448" s="122">
        <v>312.8</v>
      </c>
      <c r="S448" s="122">
        <v>286.83999999999997</v>
      </c>
      <c r="T448" s="123">
        <v>4946948</v>
      </c>
    </row>
    <row r="449" spans="6:20" x14ac:dyDescent="0.3">
      <c r="F449" s="124">
        <v>443</v>
      </c>
      <c r="G449" s="33">
        <f t="shared" ca="1" si="19"/>
        <v>-4.0416638722310883E-2</v>
      </c>
      <c r="N449" s="118" t="s">
        <v>808</v>
      </c>
      <c r="O449" s="317" t="s">
        <v>753</v>
      </c>
      <c r="P449" s="317"/>
      <c r="Q449" s="317"/>
      <c r="R449" s="317"/>
      <c r="S449" s="317"/>
      <c r="T449" s="317"/>
    </row>
    <row r="450" spans="6:20" x14ac:dyDescent="0.3">
      <c r="F450" s="124">
        <v>444</v>
      </c>
      <c r="G450" s="33">
        <f t="shared" ca="1" si="19"/>
        <v>2.1317968099603842E-2</v>
      </c>
      <c r="N450" s="118" t="s">
        <v>809</v>
      </c>
      <c r="O450" s="122">
        <v>312</v>
      </c>
      <c r="P450" s="122">
        <v>320</v>
      </c>
      <c r="Q450" s="122">
        <v>301.45</v>
      </c>
      <c r="R450" s="122">
        <v>310.8</v>
      </c>
      <c r="S450" s="122">
        <v>284.08999999999997</v>
      </c>
      <c r="T450" s="123">
        <v>9306801</v>
      </c>
    </row>
    <row r="451" spans="6:20" x14ac:dyDescent="0.3">
      <c r="F451" s="124">
        <v>445</v>
      </c>
      <c r="G451" s="33">
        <f t="shared" ca="1" si="19"/>
        <v>3.53406621056239E-2</v>
      </c>
      <c r="N451" s="118" t="s">
        <v>810</v>
      </c>
      <c r="O451" s="122">
        <v>313.55</v>
      </c>
      <c r="P451" s="122">
        <v>316</v>
      </c>
      <c r="Q451" s="122">
        <v>298.05</v>
      </c>
      <c r="R451" s="122">
        <v>310.85000000000002</v>
      </c>
      <c r="S451" s="122">
        <v>284.14</v>
      </c>
      <c r="T451" s="123">
        <v>5040056</v>
      </c>
    </row>
    <row r="452" spans="6:20" x14ac:dyDescent="0.3">
      <c r="F452" s="124">
        <v>446</v>
      </c>
      <c r="G452" s="33">
        <f t="shared" ca="1" si="19"/>
        <v>5.3781984123720449E-2</v>
      </c>
      <c r="N452" s="118" t="s">
        <v>811</v>
      </c>
      <c r="O452" s="122">
        <v>298</v>
      </c>
      <c r="P452" s="122">
        <v>316.7</v>
      </c>
      <c r="Q452" s="122">
        <v>297.14999999999998</v>
      </c>
      <c r="R452" s="122">
        <v>315.14999999999998</v>
      </c>
      <c r="S452" s="122">
        <v>288.07</v>
      </c>
      <c r="T452" s="123">
        <v>5654981</v>
      </c>
    </row>
    <row r="453" spans="6:20" x14ac:dyDescent="0.3">
      <c r="F453" s="124">
        <v>447</v>
      </c>
      <c r="G453" s="33">
        <f t="shared" ca="1" si="19"/>
        <v>8.20613882117276E-3</v>
      </c>
      <c r="N453" s="118" t="s">
        <v>812</v>
      </c>
      <c r="O453" s="122">
        <v>307</v>
      </c>
      <c r="P453" s="122">
        <v>311.89999999999998</v>
      </c>
      <c r="Q453" s="122">
        <v>300.39999999999998</v>
      </c>
      <c r="R453" s="122">
        <v>301.55</v>
      </c>
      <c r="S453" s="122">
        <v>275.64</v>
      </c>
      <c r="T453" s="123">
        <v>6126636</v>
      </c>
    </row>
    <row r="454" spans="6:20" x14ac:dyDescent="0.3">
      <c r="F454" s="124">
        <v>448</v>
      </c>
      <c r="G454" s="33">
        <f t="shared" ca="1" si="19"/>
        <v>-6.8933167228812054E-3</v>
      </c>
      <c r="N454" s="118" t="s">
        <v>813</v>
      </c>
      <c r="O454" s="122">
        <v>295.55</v>
      </c>
      <c r="P454" s="122">
        <v>306.85000000000002</v>
      </c>
      <c r="Q454" s="122">
        <v>288.25</v>
      </c>
      <c r="R454" s="122">
        <v>305.89999999999998</v>
      </c>
      <c r="S454" s="122">
        <v>279.61</v>
      </c>
      <c r="T454" s="123">
        <v>8507165</v>
      </c>
    </row>
    <row r="455" spans="6:20" x14ac:dyDescent="0.3">
      <c r="F455" s="124">
        <v>449</v>
      </c>
      <c r="G455" s="33">
        <f t="shared" ca="1" si="19"/>
        <v>3.9757808819118584E-2</v>
      </c>
      <c r="N455" s="118" t="s">
        <v>814</v>
      </c>
      <c r="O455" s="122">
        <v>279.85000000000002</v>
      </c>
      <c r="P455" s="122">
        <v>300.89999999999998</v>
      </c>
      <c r="Q455" s="122">
        <v>275.5</v>
      </c>
      <c r="R455" s="122">
        <v>295.8</v>
      </c>
      <c r="S455" s="122">
        <v>270.38</v>
      </c>
      <c r="T455" s="123">
        <v>5917038</v>
      </c>
    </row>
    <row r="456" spans="6:20" x14ac:dyDescent="0.3">
      <c r="F456" s="124">
        <v>450</v>
      </c>
      <c r="G456" s="33">
        <f t="shared" ref="G456:G519" ca="1" si="20">_xlfn.NORM.INV(RAND(),$M$9,$M$10)</f>
        <v>4.5911244085887579E-2</v>
      </c>
      <c r="N456" s="118" t="s">
        <v>815</v>
      </c>
      <c r="O456" s="122">
        <v>289</v>
      </c>
      <c r="P456" s="122">
        <v>290.25</v>
      </c>
      <c r="Q456" s="122">
        <v>276.2</v>
      </c>
      <c r="R456" s="122">
        <v>277.10000000000002</v>
      </c>
      <c r="S456" s="122">
        <v>253.29</v>
      </c>
      <c r="T456" s="123">
        <v>5173768</v>
      </c>
    </row>
    <row r="457" spans="6:20" x14ac:dyDescent="0.3">
      <c r="F457" s="124">
        <v>451</v>
      </c>
      <c r="G457" s="33">
        <f t="shared" ca="1" si="20"/>
        <v>-3.234620105313963E-2</v>
      </c>
      <c r="N457" s="118" t="s">
        <v>816</v>
      </c>
      <c r="O457" s="122">
        <v>291.39999999999998</v>
      </c>
      <c r="P457" s="122">
        <v>295.39999999999998</v>
      </c>
      <c r="Q457" s="122">
        <v>283.7</v>
      </c>
      <c r="R457" s="122">
        <v>289.5</v>
      </c>
      <c r="S457" s="122">
        <v>264.62</v>
      </c>
      <c r="T457" s="123">
        <v>6207269</v>
      </c>
    </row>
    <row r="458" spans="6:20" x14ac:dyDescent="0.3">
      <c r="F458" s="124">
        <v>452</v>
      </c>
      <c r="G458" s="33">
        <f t="shared" ca="1" si="20"/>
        <v>5.8630583110958062E-3</v>
      </c>
      <c r="N458" s="118" t="s">
        <v>817</v>
      </c>
      <c r="O458" s="122">
        <v>275.5</v>
      </c>
      <c r="P458" s="122">
        <v>299.95</v>
      </c>
      <c r="Q458" s="122">
        <v>274.39999999999998</v>
      </c>
      <c r="R458" s="122">
        <v>290.2</v>
      </c>
      <c r="S458" s="122">
        <v>265.26</v>
      </c>
      <c r="T458" s="123">
        <v>10965658</v>
      </c>
    </row>
    <row r="459" spans="6:20" x14ac:dyDescent="0.3">
      <c r="F459" s="124">
        <v>453</v>
      </c>
      <c r="G459" s="33">
        <f t="shared" ca="1" si="20"/>
        <v>2.3021494822959232E-2</v>
      </c>
      <c r="N459" s="118" t="s">
        <v>818</v>
      </c>
      <c r="O459" s="122">
        <v>266.55</v>
      </c>
      <c r="P459" s="122">
        <v>279.39999999999998</v>
      </c>
      <c r="Q459" s="122">
        <v>262.55</v>
      </c>
      <c r="R459" s="122">
        <v>275.8</v>
      </c>
      <c r="S459" s="122">
        <v>252.1</v>
      </c>
      <c r="T459" s="123">
        <v>11173187</v>
      </c>
    </row>
    <row r="460" spans="6:20" x14ac:dyDescent="0.3">
      <c r="F460" s="124">
        <v>454</v>
      </c>
      <c r="G460" s="33">
        <f t="shared" ca="1" si="20"/>
        <v>-3.7229120646176707E-2</v>
      </c>
      <c r="N460" s="118" t="s">
        <v>819</v>
      </c>
      <c r="O460" s="122">
        <v>267.95</v>
      </c>
      <c r="P460" s="122">
        <v>275</v>
      </c>
      <c r="Q460" s="122">
        <v>262.8</v>
      </c>
      <c r="R460" s="122">
        <v>264.89999999999998</v>
      </c>
      <c r="S460" s="122">
        <v>242.14</v>
      </c>
      <c r="T460" s="123">
        <v>4417070</v>
      </c>
    </row>
    <row r="461" spans="6:20" x14ac:dyDescent="0.3">
      <c r="F461" s="124">
        <v>455</v>
      </c>
      <c r="G461" s="33">
        <f t="shared" ca="1" si="20"/>
        <v>-5.0964513020113025E-2</v>
      </c>
      <c r="N461" s="118" t="s">
        <v>820</v>
      </c>
      <c r="O461" s="122">
        <v>250</v>
      </c>
      <c r="P461" s="122">
        <v>268.7</v>
      </c>
      <c r="Q461" s="122">
        <v>248.15</v>
      </c>
      <c r="R461" s="122">
        <v>267.55</v>
      </c>
      <c r="S461" s="122">
        <v>244.56</v>
      </c>
      <c r="T461" s="123">
        <v>3078039</v>
      </c>
    </row>
    <row r="462" spans="6:20" x14ac:dyDescent="0.3">
      <c r="F462" s="124">
        <v>456</v>
      </c>
      <c r="G462" s="33">
        <f t="shared" ca="1" si="20"/>
        <v>-1.3458249431524193E-2</v>
      </c>
      <c r="N462" s="118" t="s">
        <v>821</v>
      </c>
      <c r="O462" s="122">
        <v>250.5</v>
      </c>
      <c r="P462" s="122">
        <v>252.75</v>
      </c>
      <c r="Q462" s="122">
        <v>244.95</v>
      </c>
      <c r="R462" s="122">
        <v>250.05</v>
      </c>
      <c r="S462" s="122">
        <v>228.56</v>
      </c>
      <c r="T462" s="123">
        <v>3866070</v>
      </c>
    </row>
    <row r="463" spans="6:20" x14ac:dyDescent="0.3">
      <c r="F463" s="124">
        <v>457</v>
      </c>
      <c r="G463" s="33">
        <f t="shared" ca="1" si="20"/>
        <v>-1.3813134748109662E-2</v>
      </c>
      <c r="N463" s="118" t="s">
        <v>822</v>
      </c>
      <c r="O463" s="122">
        <v>249.95</v>
      </c>
      <c r="P463" s="122">
        <v>251.8</v>
      </c>
      <c r="Q463" s="122">
        <v>242</v>
      </c>
      <c r="R463" s="122">
        <v>250.5</v>
      </c>
      <c r="S463" s="122">
        <v>228.97</v>
      </c>
      <c r="T463" s="123">
        <v>6669255</v>
      </c>
    </row>
    <row r="464" spans="6:20" x14ac:dyDescent="0.3">
      <c r="F464" s="124">
        <v>458</v>
      </c>
      <c r="G464" s="33">
        <f t="shared" ca="1" si="20"/>
        <v>2.0097858410261592E-2</v>
      </c>
      <c r="N464" s="118" t="s">
        <v>823</v>
      </c>
      <c r="O464" s="122">
        <v>251</v>
      </c>
      <c r="P464" s="122">
        <v>255.8</v>
      </c>
      <c r="Q464" s="122">
        <v>247.2</v>
      </c>
      <c r="R464" s="122">
        <v>248.95</v>
      </c>
      <c r="S464" s="122">
        <v>227.56</v>
      </c>
      <c r="T464" s="123">
        <v>2629558</v>
      </c>
    </row>
    <row r="465" spans="6:20" x14ac:dyDescent="0.3">
      <c r="F465" s="124">
        <v>459</v>
      </c>
      <c r="G465" s="33">
        <f t="shared" ca="1" si="20"/>
        <v>-1.0038920450089986E-2</v>
      </c>
      <c r="N465" s="118" t="s">
        <v>824</v>
      </c>
      <c r="O465" s="122">
        <v>252.3</v>
      </c>
      <c r="P465" s="122">
        <v>254.5</v>
      </c>
      <c r="Q465" s="122">
        <v>244.15</v>
      </c>
      <c r="R465" s="122">
        <v>249.6</v>
      </c>
      <c r="S465" s="122">
        <v>228.15</v>
      </c>
      <c r="T465" s="123">
        <v>7793784</v>
      </c>
    </row>
    <row r="466" spans="6:20" x14ac:dyDescent="0.3">
      <c r="F466" s="124">
        <v>460</v>
      </c>
      <c r="G466" s="33">
        <f t="shared" ca="1" si="20"/>
        <v>8.0074203138831498E-3</v>
      </c>
      <c r="N466" s="118" t="s">
        <v>825</v>
      </c>
      <c r="O466" s="122">
        <v>249.55</v>
      </c>
      <c r="P466" s="122">
        <v>251.3</v>
      </c>
      <c r="Q466" s="122">
        <v>241.4</v>
      </c>
      <c r="R466" s="122">
        <v>249.85</v>
      </c>
      <c r="S466" s="122">
        <v>228.38</v>
      </c>
      <c r="T466" s="123">
        <v>4367468</v>
      </c>
    </row>
    <row r="467" spans="6:20" x14ac:dyDescent="0.3">
      <c r="F467" s="124">
        <v>461</v>
      </c>
      <c r="G467" s="33">
        <f t="shared" ca="1" si="20"/>
        <v>4.1209570421514106E-3</v>
      </c>
      <c r="N467" s="118" t="s">
        <v>826</v>
      </c>
      <c r="O467" s="122">
        <v>242.8</v>
      </c>
      <c r="P467" s="122">
        <v>253</v>
      </c>
      <c r="Q467" s="122">
        <v>235</v>
      </c>
      <c r="R467" s="122">
        <v>249.55</v>
      </c>
      <c r="S467" s="122">
        <v>228.1</v>
      </c>
      <c r="T467" s="123">
        <v>9018971</v>
      </c>
    </row>
    <row r="468" spans="6:20" x14ac:dyDescent="0.3">
      <c r="F468" s="124">
        <v>462</v>
      </c>
      <c r="G468" s="33">
        <f t="shared" ca="1" si="20"/>
        <v>6.2645285354826757E-3</v>
      </c>
      <c r="N468" s="118" t="s">
        <v>827</v>
      </c>
      <c r="O468" s="122">
        <v>244.4</v>
      </c>
      <c r="P468" s="122">
        <v>250.9</v>
      </c>
      <c r="Q468" s="122">
        <v>233.5</v>
      </c>
      <c r="R468" s="122">
        <v>241.3</v>
      </c>
      <c r="S468" s="122">
        <v>220.56</v>
      </c>
      <c r="T468" s="123">
        <v>4360116</v>
      </c>
    </row>
    <row r="469" spans="6:20" x14ac:dyDescent="0.3">
      <c r="F469" s="124">
        <v>463</v>
      </c>
      <c r="G469" s="33">
        <f t="shared" ca="1" si="20"/>
        <v>-4.4402232104904134E-3</v>
      </c>
      <c r="N469" s="118" t="s">
        <v>828</v>
      </c>
      <c r="O469" s="122">
        <v>247.8</v>
      </c>
      <c r="P469" s="122">
        <v>252.4</v>
      </c>
      <c r="Q469" s="122">
        <v>239</v>
      </c>
      <c r="R469" s="122">
        <v>244.4</v>
      </c>
      <c r="S469" s="122">
        <v>223.4</v>
      </c>
      <c r="T469" s="123">
        <v>3466391</v>
      </c>
    </row>
    <row r="470" spans="6:20" x14ac:dyDescent="0.3">
      <c r="F470" s="124">
        <v>464</v>
      </c>
      <c r="G470" s="33">
        <f t="shared" ca="1" si="20"/>
        <v>2.3581611214803549E-2</v>
      </c>
      <c r="N470" s="118" t="s">
        <v>829</v>
      </c>
      <c r="O470" s="122">
        <v>250.2</v>
      </c>
      <c r="P470" s="122">
        <v>253.25</v>
      </c>
      <c r="Q470" s="122">
        <v>237</v>
      </c>
      <c r="R470" s="122">
        <v>247.8</v>
      </c>
      <c r="S470" s="122">
        <v>226.51</v>
      </c>
      <c r="T470" s="123">
        <v>6520631</v>
      </c>
    </row>
    <row r="471" spans="6:20" x14ac:dyDescent="0.3">
      <c r="F471" s="124">
        <v>465</v>
      </c>
      <c r="G471" s="33">
        <f t="shared" ca="1" si="20"/>
        <v>-1.4412812818886612E-2</v>
      </c>
      <c r="N471" s="118" t="s">
        <v>830</v>
      </c>
      <c r="O471" s="122">
        <v>250.9</v>
      </c>
      <c r="P471" s="122">
        <v>252.5</v>
      </c>
      <c r="Q471" s="122">
        <v>238.45</v>
      </c>
      <c r="R471" s="122">
        <v>251.3</v>
      </c>
      <c r="S471" s="122">
        <v>229.7</v>
      </c>
      <c r="T471" s="123">
        <v>5648941</v>
      </c>
    </row>
    <row r="472" spans="6:20" x14ac:dyDescent="0.3">
      <c r="F472" s="124">
        <v>466</v>
      </c>
      <c r="G472" s="33">
        <f t="shared" ca="1" si="20"/>
        <v>-4.3913690569409242E-3</v>
      </c>
      <c r="N472" s="118" t="s">
        <v>831</v>
      </c>
      <c r="O472" s="122">
        <v>242</v>
      </c>
      <c r="P472" s="122">
        <v>252.65</v>
      </c>
      <c r="Q472" s="122">
        <v>231.5</v>
      </c>
      <c r="R472" s="122">
        <v>250.65</v>
      </c>
      <c r="S472" s="122">
        <v>229.11</v>
      </c>
      <c r="T472" s="123">
        <v>8535075</v>
      </c>
    </row>
    <row r="473" spans="6:20" x14ac:dyDescent="0.3">
      <c r="F473" s="124">
        <v>467</v>
      </c>
      <c r="G473" s="33">
        <f t="shared" ca="1" si="20"/>
        <v>2.1178277691921259E-2</v>
      </c>
      <c r="N473" s="118" t="s">
        <v>832</v>
      </c>
      <c r="O473" s="122">
        <v>249.5</v>
      </c>
      <c r="P473" s="122">
        <v>254</v>
      </c>
      <c r="Q473" s="122">
        <v>238.95</v>
      </c>
      <c r="R473" s="122">
        <v>240.95</v>
      </c>
      <c r="S473" s="122">
        <v>220.24</v>
      </c>
      <c r="T473" s="123">
        <v>5317405</v>
      </c>
    </row>
    <row r="474" spans="6:20" x14ac:dyDescent="0.3">
      <c r="F474" s="124">
        <v>468</v>
      </c>
      <c r="G474" s="33">
        <f t="shared" ca="1" si="20"/>
        <v>4.3984766660108442E-2</v>
      </c>
      <c r="N474" s="118" t="s">
        <v>833</v>
      </c>
      <c r="O474" s="122">
        <v>267</v>
      </c>
      <c r="P474" s="122">
        <v>267.55</v>
      </c>
      <c r="Q474" s="122">
        <v>249</v>
      </c>
      <c r="R474" s="122">
        <v>250.3</v>
      </c>
      <c r="S474" s="122">
        <v>228.79</v>
      </c>
      <c r="T474" s="123">
        <v>5573825</v>
      </c>
    </row>
    <row r="475" spans="6:20" x14ac:dyDescent="0.3">
      <c r="F475" s="124">
        <v>469</v>
      </c>
      <c r="G475" s="33">
        <f t="shared" ca="1" si="20"/>
        <v>-6.7458030842638697E-2</v>
      </c>
      <c r="N475" s="118" t="s">
        <v>834</v>
      </c>
      <c r="O475" s="122">
        <v>276.25</v>
      </c>
      <c r="P475" s="122">
        <v>281</v>
      </c>
      <c r="Q475" s="122">
        <v>265.95</v>
      </c>
      <c r="R475" s="122">
        <v>269.05</v>
      </c>
      <c r="S475" s="122">
        <v>245.93</v>
      </c>
      <c r="T475" s="123">
        <v>3423787</v>
      </c>
    </row>
    <row r="476" spans="6:20" x14ac:dyDescent="0.3">
      <c r="F476" s="124">
        <v>470</v>
      </c>
      <c r="G476" s="33">
        <f t="shared" ca="1" si="20"/>
        <v>-3.2564251759789088E-3</v>
      </c>
      <c r="N476" s="118" t="s">
        <v>835</v>
      </c>
      <c r="O476" s="122">
        <v>277.8</v>
      </c>
      <c r="P476" s="122">
        <v>278.89999999999998</v>
      </c>
      <c r="Q476" s="122">
        <v>273.3</v>
      </c>
      <c r="R476" s="122">
        <v>276.39999999999998</v>
      </c>
      <c r="S476" s="122">
        <v>252.65</v>
      </c>
      <c r="T476" s="123">
        <v>2093349</v>
      </c>
    </row>
    <row r="477" spans="6:20" x14ac:dyDescent="0.3">
      <c r="F477" s="124">
        <v>471</v>
      </c>
      <c r="G477" s="33">
        <f t="shared" ca="1" si="20"/>
        <v>8.1122923056068552E-2</v>
      </c>
      <c r="N477" s="118" t="s">
        <v>836</v>
      </c>
      <c r="O477" s="122">
        <v>275.5</v>
      </c>
      <c r="P477" s="122">
        <v>280</v>
      </c>
      <c r="Q477" s="122">
        <v>272.5</v>
      </c>
      <c r="R477" s="122">
        <v>276.7</v>
      </c>
      <c r="S477" s="122">
        <v>252.92</v>
      </c>
      <c r="T477" s="123">
        <v>2708491</v>
      </c>
    </row>
    <row r="478" spans="6:20" x14ac:dyDescent="0.3">
      <c r="F478" s="124">
        <v>472</v>
      </c>
      <c r="G478" s="33">
        <f t="shared" ca="1" si="20"/>
        <v>9.9691147822063807E-4</v>
      </c>
      <c r="N478" s="118" t="s">
        <v>837</v>
      </c>
      <c r="O478" s="122">
        <v>265</v>
      </c>
      <c r="P478" s="122">
        <v>278.39999999999998</v>
      </c>
      <c r="Q478" s="122">
        <v>261.89999999999998</v>
      </c>
      <c r="R478" s="122">
        <v>274</v>
      </c>
      <c r="S478" s="122">
        <v>250.45</v>
      </c>
      <c r="T478" s="123">
        <v>5034596</v>
      </c>
    </row>
    <row r="479" spans="6:20" x14ac:dyDescent="0.3">
      <c r="F479" s="124">
        <v>473</v>
      </c>
      <c r="G479" s="33">
        <f t="shared" ca="1" si="20"/>
        <v>6.8027257341252784E-2</v>
      </c>
      <c r="N479" s="118" t="s">
        <v>838</v>
      </c>
      <c r="O479" s="122">
        <v>273.95</v>
      </c>
      <c r="P479" s="122">
        <v>278.85000000000002</v>
      </c>
      <c r="Q479" s="122">
        <v>266.05</v>
      </c>
      <c r="R479" s="122">
        <v>268</v>
      </c>
      <c r="S479" s="122">
        <v>244.97</v>
      </c>
      <c r="T479" s="123">
        <v>4970078</v>
      </c>
    </row>
    <row r="480" spans="6:20" x14ac:dyDescent="0.3">
      <c r="F480" s="124">
        <v>474</v>
      </c>
      <c r="G480" s="33">
        <f t="shared" ca="1" si="20"/>
        <v>-2.9371647099487187E-3</v>
      </c>
      <c r="N480" s="118" t="s">
        <v>839</v>
      </c>
      <c r="O480" s="122">
        <v>276.3</v>
      </c>
      <c r="P480" s="122">
        <v>284.5</v>
      </c>
      <c r="Q480" s="122">
        <v>268.25</v>
      </c>
      <c r="R480" s="122">
        <v>271.7</v>
      </c>
      <c r="S480" s="122">
        <v>248.35</v>
      </c>
      <c r="T480" s="123">
        <v>6181864</v>
      </c>
    </row>
    <row r="481" spans="6:20" x14ac:dyDescent="0.3">
      <c r="F481" s="124">
        <v>475</v>
      </c>
      <c r="G481" s="33">
        <f t="shared" ca="1" si="20"/>
        <v>-1.8503354067751131E-2</v>
      </c>
      <c r="N481" s="118" t="s">
        <v>840</v>
      </c>
      <c r="O481" s="122">
        <v>274.25</v>
      </c>
      <c r="P481" s="122">
        <v>281.35000000000002</v>
      </c>
      <c r="Q481" s="122">
        <v>273.55</v>
      </c>
      <c r="R481" s="122">
        <v>275.7</v>
      </c>
      <c r="S481" s="122">
        <v>252.01</v>
      </c>
      <c r="T481" s="123">
        <v>2672728</v>
      </c>
    </row>
    <row r="482" spans="6:20" x14ac:dyDescent="0.3">
      <c r="F482" s="124">
        <v>476</v>
      </c>
      <c r="G482" s="33">
        <f t="shared" ca="1" si="20"/>
        <v>-2.0792993045867059E-2</v>
      </c>
      <c r="N482" s="118" t="s">
        <v>841</v>
      </c>
      <c r="O482" s="122">
        <v>267.95</v>
      </c>
      <c r="P482" s="122">
        <v>278</v>
      </c>
      <c r="Q482" s="122">
        <v>260.10000000000002</v>
      </c>
      <c r="R482" s="122">
        <v>275.89999999999998</v>
      </c>
      <c r="S482" s="122">
        <v>252.19</v>
      </c>
      <c r="T482" s="123">
        <v>7999917</v>
      </c>
    </row>
    <row r="483" spans="6:20" x14ac:dyDescent="0.3">
      <c r="F483" s="124">
        <v>477</v>
      </c>
      <c r="G483" s="33">
        <f t="shared" ca="1" si="20"/>
        <v>-3.245954879494839E-2</v>
      </c>
      <c r="N483" s="118" t="s">
        <v>842</v>
      </c>
      <c r="O483" s="122">
        <v>260.05</v>
      </c>
      <c r="P483" s="122">
        <v>269.25</v>
      </c>
      <c r="Q483" s="122">
        <v>260.05</v>
      </c>
      <c r="R483" s="122">
        <v>267.55</v>
      </c>
      <c r="S483" s="122">
        <v>244.56</v>
      </c>
      <c r="T483" s="123">
        <v>4170700</v>
      </c>
    </row>
    <row r="484" spans="6:20" x14ac:dyDescent="0.3">
      <c r="F484" s="124">
        <v>478</v>
      </c>
      <c r="G484" s="33">
        <f t="shared" ca="1" si="20"/>
        <v>1.1201595606328444E-2</v>
      </c>
      <c r="N484" s="118" t="s">
        <v>843</v>
      </c>
      <c r="O484" s="317" t="s">
        <v>677</v>
      </c>
      <c r="P484" s="317"/>
      <c r="Q484" s="317"/>
      <c r="R484" s="317"/>
      <c r="S484" s="317"/>
      <c r="T484" s="317"/>
    </row>
    <row r="485" spans="6:20" x14ac:dyDescent="0.3">
      <c r="F485" s="124">
        <v>479</v>
      </c>
      <c r="G485" s="33">
        <f t="shared" ca="1" si="20"/>
        <v>3.6067495155571005E-2</v>
      </c>
      <c r="N485" s="118" t="s">
        <v>844</v>
      </c>
      <c r="O485" s="122">
        <v>269.75</v>
      </c>
      <c r="P485" s="122">
        <v>272.64999999999998</v>
      </c>
      <c r="Q485" s="122">
        <v>263.55</v>
      </c>
      <c r="R485" s="122">
        <v>267.64999999999998</v>
      </c>
      <c r="S485" s="122">
        <v>243.52</v>
      </c>
      <c r="T485" s="123">
        <v>5796650</v>
      </c>
    </row>
    <row r="486" spans="6:20" x14ac:dyDescent="0.3">
      <c r="F486" s="124">
        <v>480</v>
      </c>
      <c r="G486" s="33">
        <f t="shared" ca="1" si="20"/>
        <v>-1.7268292630399421E-2</v>
      </c>
      <c r="N486" s="118" t="s">
        <v>845</v>
      </c>
      <c r="O486" s="122">
        <v>264</v>
      </c>
      <c r="P486" s="122">
        <v>274.7</v>
      </c>
      <c r="Q486" s="122">
        <v>264</v>
      </c>
      <c r="R486" s="122">
        <v>269.75</v>
      </c>
      <c r="S486" s="122">
        <v>245.43</v>
      </c>
      <c r="T486" s="123">
        <v>10119284</v>
      </c>
    </row>
    <row r="487" spans="6:20" x14ac:dyDescent="0.3">
      <c r="F487" s="124">
        <v>481</v>
      </c>
      <c r="G487" s="33">
        <f t="shared" ca="1" si="20"/>
        <v>2.3898314522294781E-2</v>
      </c>
      <c r="N487" s="118" t="s">
        <v>846</v>
      </c>
      <c r="O487" s="122">
        <v>275</v>
      </c>
      <c r="P487" s="122">
        <v>275.3</v>
      </c>
      <c r="Q487" s="122">
        <v>262</v>
      </c>
      <c r="R487" s="122">
        <v>262.89999999999998</v>
      </c>
      <c r="S487" s="122">
        <v>239.2</v>
      </c>
      <c r="T487" s="123">
        <v>4031772</v>
      </c>
    </row>
    <row r="488" spans="6:20" x14ac:dyDescent="0.3">
      <c r="F488" s="124">
        <v>482</v>
      </c>
      <c r="G488" s="33">
        <f t="shared" ca="1" si="20"/>
        <v>3.4318952267049896E-2</v>
      </c>
      <c r="N488" s="118" t="s">
        <v>847</v>
      </c>
      <c r="O488" s="122">
        <v>280.10000000000002</v>
      </c>
      <c r="P488" s="122">
        <v>283.60000000000002</v>
      </c>
      <c r="Q488" s="122">
        <v>270.5</v>
      </c>
      <c r="R488" s="122">
        <v>272.64999999999998</v>
      </c>
      <c r="S488" s="122">
        <v>248.07</v>
      </c>
      <c r="T488" s="123">
        <v>4642033</v>
      </c>
    </row>
    <row r="489" spans="6:20" x14ac:dyDescent="0.3">
      <c r="F489" s="124">
        <v>483</v>
      </c>
      <c r="G489" s="33">
        <f t="shared" ca="1" si="20"/>
        <v>1.660882885187618E-2</v>
      </c>
      <c r="N489" s="118" t="s">
        <v>848</v>
      </c>
      <c r="O489" s="122">
        <v>281.45</v>
      </c>
      <c r="P489" s="122">
        <v>286.75</v>
      </c>
      <c r="Q489" s="122">
        <v>274.10000000000002</v>
      </c>
      <c r="R489" s="122">
        <v>279.85000000000002</v>
      </c>
      <c r="S489" s="122">
        <v>254.62</v>
      </c>
      <c r="T489" s="123">
        <v>8828836</v>
      </c>
    </row>
    <row r="490" spans="6:20" x14ac:dyDescent="0.3">
      <c r="F490" s="124">
        <v>484</v>
      </c>
      <c r="G490" s="33">
        <f t="shared" ca="1" si="20"/>
        <v>-3.813340924026519E-2</v>
      </c>
      <c r="N490" s="118" t="s">
        <v>849</v>
      </c>
      <c r="O490" s="122">
        <v>276.7</v>
      </c>
      <c r="P490" s="122">
        <v>279.7</v>
      </c>
      <c r="Q490" s="122">
        <v>271.95</v>
      </c>
      <c r="R490" s="122">
        <v>278.7</v>
      </c>
      <c r="S490" s="122">
        <v>253.57</v>
      </c>
      <c r="T490" s="123">
        <v>5987082</v>
      </c>
    </row>
    <row r="491" spans="6:20" x14ac:dyDescent="0.3">
      <c r="F491" s="124">
        <v>485</v>
      </c>
      <c r="G491" s="33">
        <f t="shared" ca="1" si="20"/>
        <v>4.0412964759430077E-2</v>
      </c>
      <c r="N491" s="118" t="s">
        <v>850</v>
      </c>
      <c r="O491" s="122">
        <v>276</v>
      </c>
      <c r="P491" s="122">
        <v>280.95</v>
      </c>
      <c r="Q491" s="122">
        <v>273.05</v>
      </c>
      <c r="R491" s="122">
        <v>274.85000000000002</v>
      </c>
      <c r="S491" s="122">
        <v>250.07</v>
      </c>
      <c r="T491" s="123">
        <v>8650190</v>
      </c>
    </row>
    <row r="492" spans="6:20" x14ac:dyDescent="0.3">
      <c r="F492" s="124">
        <v>486</v>
      </c>
      <c r="G492" s="33">
        <f t="shared" ca="1" si="20"/>
        <v>-2.0655086610363582E-2</v>
      </c>
      <c r="N492" s="118" t="s">
        <v>851</v>
      </c>
      <c r="O492" s="122">
        <v>283</v>
      </c>
      <c r="P492" s="122">
        <v>285</v>
      </c>
      <c r="Q492" s="122">
        <v>269.64999999999998</v>
      </c>
      <c r="R492" s="122">
        <v>275.25</v>
      </c>
      <c r="S492" s="122">
        <v>250.43</v>
      </c>
      <c r="T492" s="123">
        <v>7427370</v>
      </c>
    </row>
    <row r="493" spans="6:20" x14ac:dyDescent="0.3">
      <c r="F493" s="124">
        <v>487</v>
      </c>
      <c r="G493" s="33">
        <f t="shared" ca="1" si="20"/>
        <v>-9.7229118549191536E-3</v>
      </c>
      <c r="N493" s="118" t="s">
        <v>852</v>
      </c>
      <c r="O493" s="122">
        <v>285</v>
      </c>
      <c r="P493" s="122">
        <v>286.5</v>
      </c>
      <c r="Q493" s="122">
        <v>268.75</v>
      </c>
      <c r="R493" s="122">
        <v>281.8</v>
      </c>
      <c r="S493" s="122">
        <v>256.39</v>
      </c>
      <c r="T493" s="123">
        <v>6046941</v>
      </c>
    </row>
    <row r="494" spans="6:20" x14ac:dyDescent="0.3">
      <c r="F494" s="124">
        <v>488</v>
      </c>
      <c r="G494" s="33">
        <f t="shared" ca="1" si="20"/>
        <v>-1.1270177360177405E-2</v>
      </c>
      <c r="N494" s="118" t="s">
        <v>853</v>
      </c>
      <c r="O494" s="122">
        <v>280.5</v>
      </c>
      <c r="P494" s="122">
        <v>289.25</v>
      </c>
      <c r="Q494" s="122">
        <v>268.25</v>
      </c>
      <c r="R494" s="122">
        <v>286.25</v>
      </c>
      <c r="S494" s="122">
        <v>260.44</v>
      </c>
      <c r="T494" s="123">
        <v>10241859</v>
      </c>
    </row>
    <row r="495" spans="6:20" x14ac:dyDescent="0.3">
      <c r="F495" s="124">
        <v>489</v>
      </c>
      <c r="G495" s="33">
        <f t="shared" ca="1" si="20"/>
        <v>3.1274834172293778E-2</v>
      </c>
      <c r="N495" s="118" t="s">
        <v>854</v>
      </c>
      <c r="O495" s="122">
        <v>290</v>
      </c>
      <c r="P495" s="122">
        <v>293.60000000000002</v>
      </c>
      <c r="Q495" s="122">
        <v>256.7</v>
      </c>
      <c r="R495" s="122">
        <v>280.3</v>
      </c>
      <c r="S495" s="122">
        <v>255.03</v>
      </c>
      <c r="T495" s="123">
        <v>12940815</v>
      </c>
    </row>
    <row r="496" spans="6:20" x14ac:dyDescent="0.3">
      <c r="F496" s="124">
        <v>490</v>
      </c>
      <c r="G496" s="33">
        <f t="shared" ca="1" si="20"/>
        <v>4.9785321100005754E-2</v>
      </c>
      <c r="N496" s="118" t="s">
        <v>855</v>
      </c>
      <c r="O496" s="122">
        <v>297.39999999999998</v>
      </c>
      <c r="P496" s="122">
        <v>308.89999999999998</v>
      </c>
      <c r="Q496" s="122">
        <v>293.45</v>
      </c>
      <c r="R496" s="122">
        <v>298.64999999999998</v>
      </c>
      <c r="S496" s="122">
        <v>271.72000000000003</v>
      </c>
      <c r="T496" s="123">
        <v>4798072</v>
      </c>
    </row>
    <row r="497" spans="6:20" x14ac:dyDescent="0.3">
      <c r="F497" s="124">
        <v>491</v>
      </c>
      <c r="G497" s="33">
        <f t="shared" ca="1" si="20"/>
        <v>-6.701388912865644E-2</v>
      </c>
      <c r="N497" s="118" t="s">
        <v>856</v>
      </c>
      <c r="O497" s="122">
        <v>310.8</v>
      </c>
      <c r="P497" s="122">
        <v>313.89999999999998</v>
      </c>
      <c r="Q497" s="122">
        <v>290.5</v>
      </c>
      <c r="R497" s="122">
        <v>294.7</v>
      </c>
      <c r="S497" s="122">
        <v>268.13</v>
      </c>
      <c r="T497" s="123">
        <v>3804253</v>
      </c>
    </row>
    <row r="498" spans="6:20" x14ac:dyDescent="0.3">
      <c r="F498" s="124">
        <v>492</v>
      </c>
      <c r="G498" s="33">
        <f t="shared" ca="1" si="20"/>
        <v>-2.9083617975228713E-2</v>
      </c>
      <c r="N498" s="118" t="s">
        <v>857</v>
      </c>
      <c r="O498" s="122">
        <v>294.95</v>
      </c>
      <c r="P498" s="122">
        <v>316.39999999999998</v>
      </c>
      <c r="Q498" s="122">
        <v>288.5</v>
      </c>
      <c r="R498" s="122">
        <v>309.10000000000002</v>
      </c>
      <c r="S498" s="122">
        <v>281.23</v>
      </c>
      <c r="T498" s="123">
        <v>6525411</v>
      </c>
    </row>
    <row r="499" spans="6:20" x14ac:dyDescent="0.3">
      <c r="F499" s="124">
        <v>493</v>
      </c>
      <c r="G499" s="33">
        <f t="shared" ca="1" si="20"/>
        <v>-1.7071043818978433E-3</v>
      </c>
      <c r="N499" s="118" t="s">
        <v>858</v>
      </c>
      <c r="O499" s="122">
        <v>295</v>
      </c>
      <c r="P499" s="122">
        <v>301.39999999999998</v>
      </c>
      <c r="Q499" s="122">
        <v>289.2</v>
      </c>
      <c r="R499" s="122">
        <v>293.3</v>
      </c>
      <c r="S499" s="122">
        <v>266.85000000000002</v>
      </c>
      <c r="T499" s="123">
        <v>7135738</v>
      </c>
    </row>
    <row r="500" spans="6:20" x14ac:dyDescent="0.3">
      <c r="F500" s="124">
        <v>494</v>
      </c>
      <c r="G500" s="33">
        <f t="shared" ca="1" si="20"/>
        <v>1.1880766436055359E-2</v>
      </c>
      <c r="N500" s="118" t="s">
        <v>859</v>
      </c>
      <c r="O500" s="122">
        <v>293.39999999999998</v>
      </c>
      <c r="P500" s="122">
        <v>304.5</v>
      </c>
      <c r="Q500" s="122">
        <v>291.5</v>
      </c>
      <c r="R500" s="122">
        <v>296.55</v>
      </c>
      <c r="S500" s="122">
        <v>269.81</v>
      </c>
      <c r="T500" s="123">
        <v>3938759</v>
      </c>
    </row>
    <row r="501" spans="6:20" x14ac:dyDescent="0.3">
      <c r="F501" s="124">
        <v>495</v>
      </c>
      <c r="G501" s="33">
        <f t="shared" ca="1" si="20"/>
        <v>4.2459625054001533E-2</v>
      </c>
      <c r="N501" s="118" t="s">
        <v>860</v>
      </c>
      <c r="O501" s="122">
        <v>281.60000000000002</v>
      </c>
      <c r="P501" s="122">
        <v>299.5</v>
      </c>
      <c r="Q501" s="122">
        <v>280.64999999999998</v>
      </c>
      <c r="R501" s="122">
        <v>292.05</v>
      </c>
      <c r="S501" s="122">
        <v>265.72000000000003</v>
      </c>
      <c r="T501" s="123">
        <v>4176203</v>
      </c>
    </row>
    <row r="502" spans="6:20" x14ac:dyDescent="0.3">
      <c r="F502" s="124">
        <v>496</v>
      </c>
      <c r="G502" s="33">
        <f t="shared" ca="1" si="20"/>
        <v>5.4953541966572039E-2</v>
      </c>
      <c r="N502" s="118" t="s">
        <v>861</v>
      </c>
      <c r="O502" s="122">
        <v>282.89999999999998</v>
      </c>
      <c r="P502" s="122">
        <v>292.8</v>
      </c>
      <c r="Q502" s="122">
        <v>260</v>
      </c>
      <c r="R502" s="122">
        <v>282.25</v>
      </c>
      <c r="S502" s="122">
        <v>256.8</v>
      </c>
      <c r="T502" s="123">
        <v>4418206</v>
      </c>
    </row>
    <row r="503" spans="6:20" x14ac:dyDescent="0.3">
      <c r="F503" s="124">
        <v>497</v>
      </c>
      <c r="G503" s="33">
        <f t="shared" ca="1" si="20"/>
        <v>-2.3585570984618793E-2</v>
      </c>
      <c r="N503" s="118" t="s">
        <v>862</v>
      </c>
      <c r="O503" s="317" t="s">
        <v>863</v>
      </c>
      <c r="P503" s="317"/>
      <c r="Q503" s="317"/>
      <c r="R503" s="317"/>
      <c r="S503" s="317"/>
      <c r="T503" s="317"/>
    </row>
    <row r="504" spans="6:20" x14ac:dyDescent="0.3">
      <c r="F504" s="124">
        <v>498</v>
      </c>
      <c r="G504" s="33">
        <f t="shared" ca="1" si="20"/>
        <v>5.6154991282948888E-2</v>
      </c>
      <c r="N504" s="118" t="s">
        <v>862</v>
      </c>
      <c r="O504" s="122">
        <v>273.3</v>
      </c>
      <c r="P504" s="122">
        <v>287.39999999999998</v>
      </c>
      <c r="Q504" s="122">
        <v>268.5</v>
      </c>
      <c r="R504" s="122">
        <v>285.55</v>
      </c>
      <c r="S504" s="122">
        <v>259.10000000000002</v>
      </c>
      <c r="T504" s="123">
        <v>9003029</v>
      </c>
    </row>
    <row r="505" spans="6:20" x14ac:dyDescent="0.3">
      <c r="F505" s="124">
        <v>499</v>
      </c>
      <c r="G505" s="33">
        <f t="shared" ca="1" si="20"/>
        <v>-6.5227146254820401E-2</v>
      </c>
      <c r="N505" s="118" t="s">
        <v>864</v>
      </c>
      <c r="O505" s="122">
        <v>271</v>
      </c>
      <c r="P505" s="122">
        <v>280.75</v>
      </c>
      <c r="Q505" s="122">
        <v>268.3</v>
      </c>
      <c r="R505" s="122">
        <v>275.7</v>
      </c>
      <c r="S505" s="122">
        <v>250.16</v>
      </c>
      <c r="T505" s="123">
        <v>6685857</v>
      </c>
    </row>
    <row r="506" spans="6:20" x14ac:dyDescent="0.3">
      <c r="F506" s="124">
        <v>500</v>
      </c>
      <c r="G506" s="33">
        <f t="shared" ca="1" si="20"/>
        <v>5.0270248395015184E-2</v>
      </c>
      <c r="N506" s="118" t="s">
        <v>865</v>
      </c>
      <c r="O506" s="122">
        <v>253.45</v>
      </c>
      <c r="P506" s="122">
        <v>275.95</v>
      </c>
      <c r="Q506" s="122">
        <v>251.85</v>
      </c>
      <c r="R506" s="122">
        <v>269.3</v>
      </c>
      <c r="S506" s="122">
        <v>244.35</v>
      </c>
      <c r="T506" s="123">
        <v>6926547</v>
      </c>
    </row>
    <row r="507" spans="6:20" x14ac:dyDescent="0.3">
      <c r="F507" s="124">
        <v>501</v>
      </c>
      <c r="G507" s="33">
        <f t="shared" ca="1" si="20"/>
        <v>9.2288419522124233E-3</v>
      </c>
      <c r="N507" s="118" t="s">
        <v>866</v>
      </c>
      <c r="O507" s="122">
        <v>258.89999999999998</v>
      </c>
      <c r="P507" s="122">
        <v>259.7</v>
      </c>
      <c r="Q507" s="122">
        <v>248.85</v>
      </c>
      <c r="R507" s="122">
        <v>252</v>
      </c>
      <c r="S507" s="122">
        <v>228.65</v>
      </c>
      <c r="T507" s="123">
        <v>3531043</v>
      </c>
    </row>
    <row r="508" spans="6:20" x14ac:dyDescent="0.3">
      <c r="F508" s="124">
        <v>502</v>
      </c>
      <c r="G508" s="33">
        <f t="shared" ca="1" si="20"/>
        <v>5.4768531304145829E-2</v>
      </c>
      <c r="N508" s="118" t="s">
        <v>867</v>
      </c>
      <c r="O508" s="122">
        <v>270</v>
      </c>
      <c r="P508" s="122">
        <v>274.45</v>
      </c>
      <c r="Q508" s="122">
        <v>253</v>
      </c>
      <c r="R508" s="122">
        <v>257.8</v>
      </c>
      <c r="S508" s="122">
        <v>233.92</v>
      </c>
      <c r="T508" s="123">
        <v>3591194</v>
      </c>
    </row>
    <row r="509" spans="6:20" x14ac:dyDescent="0.3">
      <c r="F509" s="124">
        <v>503</v>
      </c>
      <c r="G509" s="33">
        <f t="shared" ca="1" si="20"/>
        <v>1.2102463268767353E-2</v>
      </c>
      <c r="N509" s="118" t="s">
        <v>868</v>
      </c>
      <c r="O509" s="122">
        <v>266.25</v>
      </c>
      <c r="P509" s="122">
        <v>275.25</v>
      </c>
      <c r="Q509" s="122">
        <v>264</v>
      </c>
      <c r="R509" s="122">
        <v>269.85000000000002</v>
      </c>
      <c r="S509" s="122">
        <v>244.85</v>
      </c>
      <c r="T509" s="123">
        <v>8010593</v>
      </c>
    </row>
    <row r="510" spans="6:20" x14ac:dyDescent="0.3">
      <c r="F510" s="124">
        <v>504</v>
      </c>
      <c r="G510" s="33">
        <f t="shared" ca="1" si="20"/>
        <v>4.775234009700554E-2</v>
      </c>
      <c r="N510" s="118" t="s">
        <v>869</v>
      </c>
      <c r="O510" s="122">
        <v>265.8</v>
      </c>
      <c r="P510" s="122">
        <v>267.10000000000002</v>
      </c>
      <c r="Q510" s="122">
        <v>257.64999999999998</v>
      </c>
      <c r="R510" s="122">
        <v>265.25</v>
      </c>
      <c r="S510" s="122">
        <v>240.68</v>
      </c>
      <c r="T510" s="123">
        <v>3737342</v>
      </c>
    </row>
    <row r="511" spans="6:20" x14ac:dyDescent="0.3">
      <c r="F511" s="124">
        <v>505</v>
      </c>
      <c r="G511" s="33">
        <f t="shared" ca="1" si="20"/>
        <v>2.9911518202707758E-3</v>
      </c>
      <c r="N511" s="118" t="s">
        <v>870</v>
      </c>
      <c r="O511" s="122">
        <v>261.10000000000002</v>
      </c>
      <c r="P511" s="122">
        <v>267</v>
      </c>
      <c r="Q511" s="122">
        <v>253.55</v>
      </c>
      <c r="R511" s="122">
        <v>264.85000000000002</v>
      </c>
      <c r="S511" s="122">
        <v>240.31</v>
      </c>
      <c r="T511" s="123">
        <v>4651375</v>
      </c>
    </row>
    <row r="512" spans="6:20" x14ac:dyDescent="0.3">
      <c r="F512" s="124">
        <v>506</v>
      </c>
      <c r="G512" s="33">
        <f t="shared" ca="1" si="20"/>
        <v>-1.3244788882569624E-3</v>
      </c>
      <c r="N512" s="118" t="s">
        <v>871</v>
      </c>
      <c r="O512" s="122">
        <v>252.25</v>
      </c>
      <c r="P512" s="122">
        <v>271.39999999999998</v>
      </c>
      <c r="Q512" s="122">
        <v>251</v>
      </c>
      <c r="R512" s="122">
        <v>260.85000000000002</v>
      </c>
      <c r="S512" s="122">
        <v>236.68</v>
      </c>
      <c r="T512" s="123">
        <v>7080156</v>
      </c>
    </row>
    <row r="513" spans="6:20" x14ac:dyDescent="0.3">
      <c r="F513" s="124">
        <v>507</v>
      </c>
      <c r="G513" s="33">
        <f t="shared" ca="1" si="20"/>
        <v>-1.8755994578214107E-2</v>
      </c>
      <c r="N513" s="118" t="s">
        <v>872</v>
      </c>
      <c r="O513" s="122">
        <v>270.10000000000002</v>
      </c>
      <c r="P513" s="122">
        <v>272.89999999999998</v>
      </c>
      <c r="Q513" s="122">
        <v>250.5</v>
      </c>
      <c r="R513" s="122">
        <v>251.9</v>
      </c>
      <c r="S513" s="122">
        <v>228.56</v>
      </c>
      <c r="T513" s="123">
        <v>5912209</v>
      </c>
    </row>
    <row r="514" spans="6:20" x14ac:dyDescent="0.3">
      <c r="F514" s="124">
        <v>508</v>
      </c>
      <c r="G514" s="33">
        <f t="shared" ca="1" si="20"/>
        <v>2.2149682850832746E-3</v>
      </c>
      <c r="N514" s="118" t="s">
        <v>873</v>
      </c>
      <c r="O514" s="122">
        <v>273.55</v>
      </c>
      <c r="P514" s="122">
        <v>275.2</v>
      </c>
      <c r="Q514" s="122">
        <v>260.14999999999998</v>
      </c>
      <c r="R514" s="122">
        <v>270.10000000000002</v>
      </c>
      <c r="S514" s="122">
        <v>245.08</v>
      </c>
      <c r="T514" s="123">
        <v>4848138</v>
      </c>
    </row>
    <row r="515" spans="6:20" x14ac:dyDescent="0.3">
      <c r="F515" s="124">
        <v>509</v>
      </c>
      <c r="G515" s="33">
        <f t="shared" ca="1" si="20"/>
        <v>-3.6797605835670828E-2</v>
      </c>
      <c r="N515" s="118" t="s">
        <v>874</v>
      </c>
      <c r="O515" s="122">
        <v>283</v>
      </c>
      <c r="P515" s="122">
        <v>286.95</v>
      </c>
      <c r="Q515" s="122">
        <v>270.5</v>
      </c>
      <c r="R515" s="122">
        <v>272.95</v>
      </c>
      <c r="S515" s="122">
        <v>247.66</v>
      </c>
      <c r="T515" s="123">
        <v>3701777</v>
      </c>
    </row>
    <row r="516" spans="6:20" x14ac:dyDescent="0.3">
      <c r="F516" s="124">
        <v>510</v>
      </c>
      <c r="G516" s="33">
        <f t="shared" ca="1" si="20"/>
        <v>-8.225193312589911E-3</v>
      </c>
      <c r="N516" s="118" t="s">
        <v>875</v>
      </c>
      <c r="O516" s="122">
        <v>267</v>
      </c>
      <c r="P516" s="122">
        <v>286.5</v>
      </c>
      <c r="Q516" s="122">
        <v>267</v>
      </c>
      <c r="R516" s="122">
        <v>280.3</v>
      </c>
      <c r="S516" s="122">
        <v>254.33</v>
      </c>
      <c r="T516" s="123">
        <v>4564874</v>
      </c>
    </row>
    <row r="517" spans="6:20" x14ac:dyDescent="0.3">
      <c r="F517" s="124">
        <v>511</v>
      </c>
      <c r="G517" s="33">
        <f t="shared" ca="1" si="20"/>
        <v>5.4121119079698892E-3</v>
      </c>
      <c r="N517" s="118" t="s">
        <v>876</v>
      </c>
      <c r="O517" s="122">
        <v>267.8</v>
      </c>
      <c r="P517" s="122">
        <v>270.7</v>
      </c>
      <c r="Q517" s="122">
        <v>264.45</v>
      </c>
      <c r="R517" s="122">
        <v>266.55</v>
      </c>
      <c r="S517" s="122">
        <v>241.86</v>
      </c>
      <c r="T517" s="123">
        <v>2069994</v>
      </c>
    </row>
    <row r="518" spans="6:20" x14ac:dyDescent="0.3">
      <c r="F518" s="124">
        <v>512</v>
      </c>
      <c r="G518" s="33">
        <f t="shared" ca="1" si="20"/>
        <v>8.7656256132586444E-3</v>
      </c>
      <c r="N518" s="118" t="s">
        <v>877</v>
      </c>
      <c r="O518" s="122">
        <v>266.3</v>
      </c>
      <c r="P518" s="122">
        <v>276</v>
      </c>
      <c r="Q518" s="122">
        <v>261.35000000000002</v>
      </c>
      <c r="R518" s="122">
        <v>264.8</v>
      </c>
      <c r="S518" s="122">
        <v>240.27</v>
      </c>
      <c r="T518" s="123">
        <v>3551584</v>
      </c>
    </row>
    <row r="519" spans="6:20" x14ac:dyDescent="0.3">
      <c r="F519" s="124">
        <v>513</v>
      </c>
      <c r="G519" s="33">
        <f t="shared" ca="1" si="20"/>
        <v>2.6620073912086328E-2</v>
      </c>
      <c r="N519" s="118" t="s">
        <v>878</v>
      </c>
      <c r="O519" s="122">
        <v>273</v>
      </c>
      <c r="P519" s="122">
        <v>287</v>
      </c>
      <c r="Q519" s="122">
        <v>264.7</v>
      </c>
      <c r="R519" s="122">
        <v>266</v>
      </c>
      <c r="S519" s="122">
        <v>241.36</v>
      </c>
      <c r="T519" s="123">
        <v>7188796</v>
      </c>
    </row>
    <row r="520" spans="6:20" x14ac:dyDescent="0.3">
      <c r="F520" s="124">
        <v>514</v>
      </c>
      <c r="G520" s="33">
        <f t="shared" ref="G520:G583" ca="1" si="21">_xlfn.NORM.INV(RAND(),$M$9,$M$10)</f>
        <v>3.9278344909748485E-2</v>
      </c>
      <c r="N520" s="118" t="s">
        <v>879</v>
      </c>
      <c r="O520" s="122">
        <v>266</v>
      </c>
      <c r="P520" s="122">
        <v>278.5</v>
      </c>
      <c r="Q520" s="122">
        <v>260</v>
      </c>
      <c r="R520" s="122">
        <v>272.45</v>
      </c>
      <c r="S520" s="122">
        <v>247.21</v>
      </c>
      <c r="T520" s="123">
        <v>9022516</v>
      </c>
    </row>
    <row r="521" spans="6:20" x14ac:dyDescent="0.3">
      <c r="F521" s="124">
        <v>515</v>
      </c>
      <c r="G521" s="33">
        <f t="shared" ca="1" si="21"/>
        <v>3.7678874078972725E-2</v>
      </c>
      <c r="N521" s="118" t="s">
        <v>880</v>
      </c>
      <c r="O521" s="122">
        <v>264.39999999999998</v>
      </c>
      <c r="P521" s="122">
        <v>271.75</v>
      </c>
      <c r="Q521" s="122">
        <v>260.10000000000002</v>
      </c>
      <c r="R521" s="122">
        <v>266.7</v>
      </c>
      <c r="S521" s="122">
        <v>241.99</v>
      </c>
      <c r="T521" s="123">
        <v>6065730</v>
      </c>
    </row>
    <row r="522" spans="6:20" x14ac:dyDescent="0.3">
      <c r="F522" s="124">
        <v>516</v>
      </c>
      <c r="G522" s="33">
        <f t="shared" ca="1" si="21"/>
        <v>-5.7630273938916912E-2</v>
      </c>
      <c r="N522" s="118" t="s">
        <v>881</v>
      </c>
      <c r="O522" s="122">
        <v>266.05</v>
      </c>
      <c r="P522" s="122">
        <v>271.5</v>
      </c>
      <c r="Q522" s="122">
        <v>259.95</v>
      </c>
      <c r="R522" s="122">
        <v>265.14999999999998</v>
      </c>
      <c r="S522" s="122">
        <v>240.59</v>
      </c>
      <c r="T522" s="123">
        <v>5920015</v>
      </c>
    </row>
    <row r="523" spans="6:20" x14ac:dyDescent="0.3">
      <c r="F523" s="124">
        <v>517</v>
      </c>
      <c r="G523" s="33">
        <f t="shared" ca="1" si="21"/>
        <v>-2.4082467197878892E-3</v>
      </c>
      <c r="N523" s="118" t="s">
        <v>882</v>
      </c>
      <c r="O523" s="122">
        <v>270.25</v>
      </c>
      <c r="P523" s="122">
        <v>272.5</v>
      </c>
      <c r="Q523" s="122">
        <v>264.2</v>
      </c>
      <c r="R523" s="122">
        <v>265.45</v>
      </c>
      <c r="S523" s="122">
        <v>240.86</v>
      </c>
      <c r="T523" s="123">
        <v>3017948</v>
      </c>
    </row>
    <row r="524" spans="6:20" x14ac:dyDescent="0.3">
      <c r="F524" s="124">
        <v>518</v>
      </c>
      <c r="G524" s="33">
        <f t="shared" ca="1" si="21"/>
        <v>2.5887453238639582E-3</v>
      </c>
      <c r="N524" s="118" t="s">
        <v>883</v>
      </c>
      <c r="O524" s="122">
        <v>270.05</v>
      </c>
      <c r="P524" s="122">
        <v>276.89999999999998</v>
      </c>
      <c r="Q524" s="122">
        <v>258.25</v>
      </c>
      <c r="R524" s="122">
        <v>272.25</v>
      </c>
      <c r="S524" s="122">
        <v>247.03</v>
      </c>
      <c r="T524" s="123">
        <v>6585011</v>
      </c>
    </row>
    <row r="525" spans="6:20" x14ac:dyDescent="0.3">
      <c r="F525" s="124">
        <v>519</v>
      </c>
      <c r="G525" s="33">
        <f t="shared" ca="1" si="21"/>
        <v>-2.1988439163393478E-2</v>
      </c>
      <c r="N525" s="118" t="s">
        <v>884</v>
      </c>
      <c r="O525" s="122">
        <v>257.10000000000002</v>
      </c>
      <c r="P525" s="122">
        <v>275</v>
      </c>
      <c r="Q525" s="122">
        <v>255.7</v>
      </c>
      <c r="R525" s="122">
        <v>273.45</v>
      </c>
      <c r="S525" s="122">
        <v>248.12</v>
      </c>
      <c r="T525" s="123">
        <v>8049756</v>
      </c>
    </row>
    <row r="526" spans="6:20" x14ac:dyDescent="0.3">
      <c r="F526" s="124">
        <v>520</v>
      </c>
      <c r="G526" s="33">
        <f t="shared" ca="1" si="21"/>
        <v>1.9950136370359153E-2</v>
      </c>
      <c r="N526" s="118" t="s">
        <v>885</v>
      </c>
      <c r="O526" s="122">
        <v>249.6</v>
      </c>
      <c r="P526" s="122">
        <v>262.5</v>
      </c>
      <c r="Q526" s="122">
        <v>247.3</v>
      </c>
      <c r="R526" s="122">
        <v>256.25</v>
      </c>
      <c r="S526" s="122">
        <v>232.51</v>
      </c>
      <c r="T526" s="123">
        <v>7875250</v>
      </c>
    </row>
    <row r="527" spans="6:20" x14ac:dyDescent="0.3">
      <c r="F527" s="124">
        <v>521</v>
      </c>
      <c r="G527" s="33">
        <f t="shared" ca="1" si="21"/>
        <v>2.8291404978633911E-4</v>
      </c>
      <c r="N527" s="118" t="s">
        <v>886</v>
      </c>
      <c r="O527" s="122">
        <v>252.05</v>
      </c>
      <c r="P527" s="122">
        <v>262.3</v>
      </c>
      <c r="Q527" s="122">
        <v>246.35</v>
      </c>
      <c r="R527" s="122">
        <v>249.6</v>
      </c>
      <c r="S527" s="122">
        <v>226.48</v>
      </c>
      <c r="T527" s="123">
        <v>6489982</v>
      </c>
    </row>
    <row r="528" spans="6:20" x14ac:dyDescent="0.3">
      <c r="F528" s="124">
        <v>522</v>
      </c>
      <c r="G528" s="33">
        <f t="shared" ca="1" si="21"/>
        <v>-1.6135438764571325E-2</v>
      </c>
      <c r="N528" s="118" t="s">
        <v>887</v>
      </c>
      <c r="O528" s="122">
        <v>229.8</v>
      </c>
      <c r="P528" s="122">
        <v>257.89999999999998</v>
      </c>
      <c r="Q528" s="122">
        <v>228.65</v>
      </c>
      <c r="R528" s="122">
        <v>251.4</v>
      </c>
      <c r="S528" s="122">
        <v>228.11</v>
      </c>
      <c r="T528" s="123">
        <v>8186067</v>
      </c>
    </row>
    <row r="529" spans="6:20" x14ac:dyDescent="0.3">
      <c r="F529" s="124">
        <v>523</v>
      </c>
      <c r="G529" s="33">
        <f t="shared" ca="1" si="21"/>
        <v>1.6316714305319703E-2</v>
      </c>
      <c r="N529" s="118" t="s">
        <v>888</v>
      </c>
      <c r="O529" s="122">
        <v>235.95</v>
      </c>
      <c r="P529" s="122">
        <v>236.95</v>
      </c>
      <c r="Q529" s="122">
        <v>222.5</v>
      </c>
      <c r="R529" s="122">
        <v>229.45</v>
      </c>
      <c r="S529" s="122">
        <v>208.19</v>
      </c>
      <c r="T529" s="123">
        <v>3428087</v>
      </c>
    </row>
    <row r="530" spans="6:20" x14ac:dyDescent="0.3">
      <c r="F530" s="124">
        <v>524</v>
      </c>
      <c r="G530" s="33">
        <f t="shared" ca="1" si="21"/>
        <v>-1.3132747318163503E-2</v>
      </c>
      <c r="N530" s="118" t="s">
        <v>889</v>
      </c>
      <c r="O530" s="122">
        <v>228</v>
      </c>
      <c r="P530" s="122">
        <v>235.9</v>
      </c>
      <c r="Q530" s="122">
        <v>228</v>
      </c>
      <c r="R530" s="122">
        <v>234.7</v>
      </c>
      <c r="S530" s="122">
        <v>212.96</v>
      </c>
      <c r="T530" s="123">
        <v>2279675</v>
      </c>
    </row>
    <row r="531" spans="6:20" x14ac:dyDescent="0.3">
      <c r="F531" s="124">
        <v>525</v>
      </c>
      <c r="G531" s="33">
        <f t="shared" ca="1" si="21"/>
        <v>1.1837984855522694E-2</v>
      </c>
      <c r="N531" s="118" t="s">
        <v>890</v>
      </c>
      <c r="O531" s="122">
        <v>227.75</v>
      </c>
      <c r="P531" s="122">
        <v>236.75</v>
      </c>
      <c r="Q531" s="122">
        <v>225.65</v>
      </c>
      <c r="R531" s="122">
        <v>229.95</v>
      </c>
      <c r="S531" s="122">
        <v>208.65</v>
      </c>
      <c r="T531" s="123">
        <v>5051215</v>
      </c>
    </row>
    <row r="532" spans="6:20" x14ac:dyDescent="0.3">
      <c r="F532" s="124">
        <v>526</v>
      </c>
      <c r="G532" s="33">
        <f t="shared" ca="1" si="21"/>
        <v>2.7932146714520503E-2</v>
      </c>
      <c r="N532" s="118" t="s">
        <v>891</v>
      </c>
      <c r="O532" s="122">
        <v>233.05</v>
      </c>
      <c r="P532" s="122">
        <v>238.25</v>
      </c>
      <c r="Q532" s="122">
        <v>217.8</v>
      </c>
      <c r="R532" s="122">
        <v>227.8</v>
      </c>
      <c r="S532" s="122">
        <v>206.7</v>
      </c>
      <c r="T532" s="123">
        <v>4003923</v>
      </c>
    </row>
    <row r="533" spans="6:20" x14ac:dyDescent="0.3">
      <c r="F533" s="124">
        <v>527</v>
      </c>
      <c r="G533" s="33">
        <f t="shared" ca="1" si="21"/>
        <v>1.7892176192029319E-2</v>
      </c>
      <c r="N533" s="118" t="s">
        <v>892</v>
      </c>
      <c r="O533" s="122">
        <v>243.4</v>
      </c>
      <c r="P533" s="122">
        <v>243.75</v>
      </c>
      <c r="Q533" s="122">
        <v>233.55</v>
      </c>
      <c r="R533" s="122">
        <v>234.7</v>
      </c>
      <c r="S533" s="122">
        <v>212.96</v>
      </c>
      <c r="T533" s="123">
        <v>2631656</v>
      </c>
    </row>
    <row r="534" spans="6:20" x14ac:dyDescent="0.3">
      <c r="F534" s="124">
        <v>528</v>
      </c>
      <c r="G534" s="33">
        <f t="shared" ca="1" si="21"/>
        <v>-1.4804511835007406E-2</v>
      </c>
      <c r="N534" s="118" t="s">
        <v>893</v>
      </c>
      <c r="O534" s="122">
        <v>241.45</v>
      </c>
      <c r="P534" s="122">
        <v>249</v>
      </c>
      <c r="Q534" s="122">
        <v>240.35</v>
      </c>
      <c r="R534" s="122">
        <v>243.4</v>
      </c>
      <c r="S534" s="122">
        <v>220.85</v>
      </c>
      <c r="T534" s="123">
        <v>5137624</v>
      </c>
    </row>
    <row r="535" spans="6:20" x14ac:dyDescent="0.3">
      <c r="F535" s="124">
        <v>529</v>
      </c>
      <c r="G535" s="33">
        <f t="shared" ca="1" si="21"/>
        <v>1.7507523038292411E-2</v>
      </c>
      <c r="N535" s="118" t="s">
        <v>894</v>
      </c>
      <c r="O535" s="122">
        <v>231.05</v>
      </c>
      <c r="P535" s="122">
        <v>249.15</v>
      </c>
      <c r="Q535" s="122">
        <v>230.7</v>
      </c>
      <c r="R535" s="122">
        <v>240.9</v>
      </c>
      <c r="S535" s="122">
        <v>218.58</v>
      </c>
      <c r="T535" s="123">
        <v>11305468</v>
      </c>
    </row>
    <row r="536" spans="6:20" x14ac:dyDescent="0.3">
      <c r="F536" s="124">
        <v>530</v>
      </c>
      <c r="G536" s="33">
        <f t="shared" ca="1" si="21"/>
        <v>-1.313273516408886E-2</v>
      </c>
      <c r="N536" s="118" t="s">
        <v>895</v>
      </c>
      <c r="O536" s="122">
        <v>227</v>
      </c>
      <c r="P536" s="122">
        <v>239</v>
      </c>
      <c r="Q536" s="122">
        <v>226.75</v>
      </c>
      <c r="R536" s="122">
        <v>230.65</v>
      </c>
      <c r="S536" s="122">
        <v>209.28</v>
      </c>
      <c r="T536" s="123">
        <v>4024889</v>
      </c>
    </row>
    <row r="537" spans="6:20" x14ac:dyDescent="0.3">
      <c r="F537" s="124">
        <v>531</v>
      </c>
      <c r="G537" s="33">
        <f t="shared" ca="1" si="21"/>
        <v>3.4408281770541324E-2</v>
      </c>
      <c r="N537" s="118" t="s">
        <v>896</v>
      </c>
      <c r="O537" s="122">
        <v>228</v>
      </c>
      <c r="P537" s="122">
        <v>236.35</v>
      </c>
      <c r="Q537" s="122">
        <v>225.45</v>
      </c>
      <c r="R537" s="122">
        <v>231.35</v>
      </c>
      <c r="S537" s="122">
        <v>209.92</v>
      </c>
      <c r="T537" s="123">
        <v>3263757</v>
      </c>
    </row>
    <row r="538" spans="6:20" x14ac:dyDescent="0.3">
      <c r="F538" s="124">
        <v>532</v>
      </c>
      <c r="G538" s="33">
        <f t="shared" ca="1" si="21"/>
        <v>-3.3088740848117634E-3</v>
      </c>
      <c r="N538" s="118" t="s">
        <v>897</v>
      </c>
      <c r="O538" s="122">
        <v>228.25</v>
      </c>
      <c r="P538" s="122">
        <v>232.75</v>
      </c>
      <c r="Q538" s="122">
        <v>221.7</v>
      </c>
      <c r="R538" s="122">
        <v>227.85</v>
      </c>
      <c r="S538" s="122">
        <v>206.74</v>
      </c>
      <c r="T538" s="123">
        <v>6792356</v>
      </c>
    </row>
    <row r="539" spans="6:20" x14ac:dyDescent="0.3">
      <c r="F539" s="124">
        <v>533</v>
      </c>
      <c r="G539" s="33">
        <f t="shared" ca="1" si="21"/>
        <v>-1.8865855566587784E-2</v>
      </c>
      <c r="N539" s="118" t="s">
        <v>898</v>
      </c>
      <c r="O539" s="122">
        <v>218</v>
      </c>
      <c r="P539" s="122">
        <v>229</v>
      </c>
      <c r="Q539" s="122">
        <v>196.55</v>
      </c>
      <c r="R539" s="122">
        <v>226.5</v>
      </c>
      <c r="S539" s="122">
        <v>205.52</v>
      </c>
      <c r="T539" s="123">
        <v>18053141</v>
      </c>
    </row>
    <row r="540" spans="6:20" x14ac:dyDescent="0.3">
      <c r="F540" s="124">
        <v>534</v>
      </c>
      <c r="G540" s="33">
        <f t="shared" ca="1" si="21"/>
        <v>-5.2975185222637429E-3</v>
      </c>
      <c r="N540" s="118" t="s">
        <v>899</v>
      </c>
      <c r="O540" s="122">
        <v>207.85</v>
      </c>
      <c r="P540" s="122">
        <v>217.15</v>
      </c>
      <c r="Q540" s="122">
        <v>205.55</v>
      </c>
      <c r="R540" s="122">
        <v>214.85</v>
      </c>
      <c r="S540" s="122">
        <v>194.95</v>
      </c>
      <c r="T540" s="123">
        <v>2744282</v>
      </c>
    </row>
    <row r="541" spans="6:20" x14ac:dyDescent="0.3">
      <c r="F541" s="124">
        <v>535</v>
      </c>
      <c r="G541" s="33">
        <f t="shared" ca="1" si="21"/>
        <v>4.95171773677651E-4</v>
      </c>
      <c r="N541" s="118" t="s">
        <v>900</v>
      </c>
      <c r="O541" s="122">
        <v>215.1</v>
      </c>
      <c r="P541" s="122">
        <v>215.35</v>
      </c>
      <c r="Q541" s="122">
        <v>205.2</v>
      </c>
      <c r="R541" s="122">
        <v>205.85</v>
      </c>
      <c r="S541" s="122">
        <v>186.78</v>
      </c>
      <c r="T541" s="123">
        <v>4100714</v>
      </c>
    </row>
    <row r="542" spans="6:20" x14ac:dyDescent="0.3">
      <c r="F542" s="124">
        <v>536</v>
      </c>
      <c r="G542" s="33">
        <f t="shared" ca="1" si="21"/>
        <v>-6.0757192292761199E-2</v>
      </c>
      <c r="N542" s="118" t="s">
        <v>901</v>
      </c>
      <c r="O542" s="122">
        <v>221.1</v>
      </c>
      <c r="P542" s="122">
        <v>222.9</v>
      </c>
      <c r="Q542" s="122">
        <v>214.8</v>
      </c>
      <c r="R542" s="122">
        <v>215.1</v>
      </c>
      <c r="S542" s="122">
        <v>195.17</v>
      </c>
      <c r="T542" s="123">
        <v>3056300</v>
      </c>
    </row>
    <row r="543" spans="6:20" x14ac:dyDescent="0.3">
      <c r="F543" s="124">
        <v>537</v>
      </c>
      <c r="G543" s="33">
        <f t="shared" ca="1" si="21"/>
        <v>-3.8177472981457086E-2</v>
      </c>
      <c r="N543" s="118" t="s">
        <v>902</v>
      </c>
      <c r="O543" s="122">
        <v>222.7</v>
      </c>
      <c r="P543" s="122">
        <v>225.85</v>
      </c>
      <c r="Q543" s="122">
        <v>215.8</v>
      </c>
      <c r="R543" s="122">
        <v>221.1</v>
      </c>
      <c r="S543" s="122">
        <v>200.62</v>
      </c>
      <c r="T543" s="123">
        <v>3537008</v>
      </c>
    </row>
    <row r="544" spans="6:20" x14ac:dyDescent="0.3">
      <c r="F544" s="124">
        <v>538</v>
      </c>
      <c r="G544" s="33">
        <f t="shared" ca="1" si="21"/>
        <v>-3.9393891325175692E-2</v>
      </c>
      <c r="N544" s="118" t="s">
        <v>903</v>
      </c>
      <c r="O544" s="122">
        <v>223</v>
      </c>
      <c r="P544" s="122">
        <v>229.3</v>
      </c>
      <c r="Q544" s="122">
        <v>219.5</v>
      </c>
      <c r="R544" s="122">
        <v>223.75</v>
      </c>
      <c r="S544" s="122">
        <v>203.02</v>
      </c>
      <c r="T544" s="123">
        <v>7083941</v>
      </c>
    </row>
    <row r="545" spans="6:20" x14ac:dyDescent="0.3">
      <c r="F545" s="124">
        <v>539</v>
      </c>
      <c r="G545" s="33">
        <f t="shared" ca="1" si="21"/>
        <v>3.2362120032497508E-3</v>
      </c>
      <c r="N545" s="118" t="s">
        <v>904</v>
      </c>
      <c r="O545" s="317" t="s">
        <v>677</v>
      </c>
      <c r="P545" s="317"/>
      <c r="Q545" s="317"/>
      <c r="R545" s="317"/>
      <c r="S545" s="317"/>
      <c r="T545" s="317"/>
    </row>
    <row r="546" spans="6:20" x14ac:dyDescent="0.3">
      <c r="F546" s="124">
        <v>540</v>
      </c>
      <c r="G546" s="33">
        <f t="shared" ca="1" si="21"/>
        <v>-3.7538123443467422E-2</v>
      </c>
      <c r="N546" s="118" t="s">
        <v>905</v>
      </c>
      <c r="O546" s="122">
        <v>229.95</v>
      </c>
      <c r="P546" s="122">
        <v>229.95</v>
      </c>
      <c r="Q546" s="122">
        <v>220.05</v>
      </c>
      <c r="R546" s="122">
        <v>223.4</v>
      </c>
      <c r="S546" s="122">
        <v>201.57</v>
      </c>
      <c r="T546" s="123">
        <v>8295746</v>
      </c>
    </row>
    <row r="547" spans="6:20" x14ac:dyDescent="0.3">
      <c r="F547" s="124">
        <v>541</v>
      </c>
      <c r="G547" s="33">
        <f t="shared" ca="1" si="21"/>
        <v>2.0497008408427372E-2</v>
      </c>
      <c r="N547" s="118" t="s">
        <v>906</v>
      </c>
      <c r="O547" s="122">
        <v>226.3</v>
      </c>
      <c r="P547" s="122">
        <v>231.25</v>
      </c>
      <c r="Q547" s="122">
        <v>223.05</v>
      </c>
      <c r="R547" s="122">
        <v>223.7</v>
      </c>
      <c r="S547" s="122">
        <v>201.84</v>
      </c>
      <c r="T547" s="123">
        <v>8823354</v>
      </c>
    </row>
    <row r="548" spans="6:20" x14ac:dyDescent="0.3">
      <c r="F548" s="124">
        <v>542</v>
      </c>
      <c r="G548" s="33">
        <f t="shared" ca="1" si="21"/>
        <v>1.9685731213784828E-2</v>
      </c>
      <c r="N548" s="118" t="s">
        <v>907</v>
      </c>
      <c r="O548" s="122">
        <v>232.4</v>
      </c>
      <c r="P548" s="122">
        <v>234.5</v>
      </c>
      <c r="Q548" s="122">
        <v>224.7</v>
      </c>
      <c r="R548" s="122">
        <v>226</v>
      </c>
      <c r="S548" s="122">
        <v>203.91</v>
      </c>
      <c r="T548" s="123">
        <v>10589737</v>
      </c>
    </row>
    <row r="549" spans="6:20" x14ac:dyDescent="0.3">
      <c r="F549" s="124">
        <v>543</v>
      </c>
      <c r="G549" s="33">
        <f t="shared" ca="1" si="21"/>
        <v>-1.0392416537691428E-2</v>
      </c>
      <c r="N549" s="118" t="s">
        <v>908</v>
      </c>
      <c r="O549" s="122">
        <v>221.6</v>
      </c>
      <c r="P549" s="122">
        <v>235.55</v>
      </c>
      <c r="Q549" s="122">
        <v>220.1</v>
      </c>
      <c r="R549" s="122">
        <v>232.6</v>
      </c>
      <c r="S549" s="122">
        <v>209.87</v>
      </c>
      <c r="T549" s="123">
        <v>30520443</v>
      </c>
    </row>
    <row r="550" spans="6:20" x14ac:dyDescent="0.3">
      <c r="F550" s="124">
        <v>544</v>
      </c>
      <c r="G550" s="33">
        <f t="shared" ca="1" si="21"/>
        <v>-5.8514108808355274E-3</v>
      </c>
      <c r="N550" s="118" t="s">
        <v>909</v>
      </c>
      <c r="O550" s="122">
        <v>219</v>
      </c>
      <c r="P550" s="122">
        <v>230</v>
      </c>
      <c r="Q550" s="122">
        <v>216.95</v>
      </c>
      <c r="R550" s="122">
        <v>222.35</v>
      </c>
      <c r="S550" s="122">
        <v>200.62</v>
      </c>
      <c r="T550" s="123">
        <v>9588247</v>
      </c>
    </row>
    <row r="551" spans="6:20" x14ac:dyDescent="0.3">
      <c r="F551" s="124">
        <v>545</v>
      </c>
      <c r="G551" s="33">
        <f t="shared" ca="1" si="21"/>
        <v>-1.0538942760236723E-2</v>
      </c>
      <c r="N551" s="118" t="s">
        <v>910</v>
      </c>
      <c r="O551" s="122">
        <v>206.1</v>
      </c>
      <c r="P551" s="122">
        <v>220.9</v>
      </c>
      <c r="Q551" s="122">
        <v>201.65</v>
      </c>
      <c r="R551" s="122">
        <v>217.9</v>
      </c>
      <c r="S551" s="122">
        <v>196.61</v>
      </c>
      <c r="T551" s="123">
        <v>6959051</v>
      </c>
    </row>
    <row r="552" spans="6:20" x14ac:dyDescent="0.3">
      <c r="F552" s="124">
        <v>546</v>
      </c>
      <c r="G552" s="33">
        <f t="shared" ca="1" si="21"/>
        <v>2.0353505351234848E-2</v>
      </c>
      <c r="N552" s="118" t="s">
        <v>911</v>
      </c>
      <c r="O552" s="122">
        <v>202.7</v>
      </c>
      <c r="P552" s="122">
        <v>209.85</v>
      </c>
      <c r="Q552" s="122">
        <v>201.5</v>
      </c>
      <c r="R552" s="122">
        <v>205.6</v>
      </c>
      <c r="S552" s="122">
        <v>185.51</v>
      </c>
      <c r="T552" s="123">
        <v>4031994</v>
      </c>
    </row>
    <row r="553" spans="6:20" x14ac:dyDescent="0.3">
      <c r="F553" s="124">
        <v>547</v>
      </c>
      <c r="G553" s="33">
        <f t="shared" ca="1" si="21"/>
        <v>5.5257768328826777E-2</v>
      </c>
      <c r="N553" s="118" t="s">
        <v>912</v>
      </c>
      <c r="O553" s="122">
        <v>200</v>
      </c>
      <c r="P553" s="122">
        <v>208.8</v>
      </c>
      <c r="Q553" s="122">
        <v>192.85</v>
      </c>
      <c r="R553" s="122">
        <v>202.35</v>
      </c>
      <c r="S553" s="122">
        <v>182.57</v>
      </c>
      <c r="T553" s="123">
        <v>7904063</v>
      </c>
    </row>
    <row r="554" spans="6:20" x14ac:dyDescent="0.3">
      <c r="F554" s="124">
        <v>548</v>
      </c>
      <c r="G554" s="33">
        <f t="shared" ca="1" si="21"/>
        <v>2.5212422424597675E-2</v>
      </c>
      <c r="N554" s="118" t="s">
        <v>913</v>
      </c>
      <c r="O554" s="122">
        <v>195.8</v>
      </c>
      <c r="P554" s="122">
        <v>200.3</v>
      </c>
      <c r="Q554" s="122">
        <v>191.6</v>
      </c>
      <c r="R554" s="122">
        <v>199.6</v>
      </c>
      <c r="S554" s="122">
        <v>180.09</v>
      </c>
      <c r="T554" s="123">
        <v>4993682</v>
      </c>
    </row>
    <row r="555" spans="6:20" x14ac:dyDescent="0.3">
      <c r="F555" s="124">
        <v>549</v>
      </c>
      <c r="G555" s="33">
        <f t="shared" ca="1" si="21"/>
        <v>8.5445406472030253E-3</v>
      </c>
      <c r="N555" s="118" t="s">
        <v>914</v>
      </c>
      <c r="O555" s="122">
        <v>194</v>
      </c>
      <c r="P555" s="122">
        <v>196.6</v>
      </c>
      <c r="Q555" s="122">
        <v>189.3</v>
      </c>
      <c r="R555" s="122">
        <v>194.05</v>
      </c>
      <c r="S555" s="122">
        <v>175.09</v>
      </c>
      <c r="T555" s="123">
        <v>6501691</v>
      </c>
    </row>
    <row r="556" spans="6:20" x14ac:dyDescent="0.3">
      <c r="F556" s="124">
        <v>550</v>
      </c>
      <c r="G556" s="33">
        <f t="shared" ca="1" si="21"/>
        <v>3.840716542624413E-2</v>
      </c>
      <c r="N556" s="118" t="s">
        <v>915</v>
      </c>
      <c r="O556" s="122">
        <v>192</v>
      </c>
      <c r="P556" s="122">
        <v>197.9</v>
      </c>
      <c r="Q556" s="122">
        <v>190.3</v>
      </c>
      <c r="R556" s="122">
        <v>194</v>
      </c>
      <c r="S556" s="122">
        <v>175.04</v>
      </c>
      <c r="T556" s="123">
        <v>5933917</v>
      </c>
    </row>
    <row r="557" spans="6:20" x14ac:dyDescent="0.3">
      <c r="F557" s="124">
        <v>551</v>
      </c>
      <c r="G557" s="33">
        <f t="shared" ca="1" si="21"/>
        <v>-3.9001574539777031E-3</v>
      </c>
      <c r="N557" s="118" t="s">
        <v>916</v>
      </c>
      <c r="O557" s="122">
        <v>185.75</v>
      </c>
      <c r="P557" s="122">
        <v>192.75</v>
      </c>
      <c r="Q557" s="122">
        <v>184.5</v>
      </c>
      <c r="R557" s="122">
        <v>191.4</v>
      </c>
      <c r="S557" s="122">
        <v>172.69</v>
      </c>
      <c r="T557" s="123">
        <v>4040739</v>
      </c>
    </row>
    <row r="558" spans="6:20" x14ac:dyDescent="0.3">
      <c r="F558" s="124">
        <v>552</v>
      </c>
      <c r="G558" s="33">
        <f t="shared" ca="1" si="21"/>
        <v>2.5385117712674993E-3</v>
      </c>
      <c r="N558" s="118" t="s">
        <v>917</v>
      </c>
      <c r="O558" s="317" t="s">
        <v>753</v>
      </c>
      <c r="P558" s="317"/>
      <c r="Q558" s="317"/>
      <c r="R558" s="317"/>
      <c r="S558" s="317"/>
      <c r="T558" s="317"/>
    </row>
    <row r="559" spans="6:20" x14ac:dyDescent="0.3">
      <c r="F559" s="124">
        <v>553</v>
      </c>
      <c r="G559" s="33">
        <f t="shared" ca="1" si="21"/>
        <v>-6.9243621866524408E-3</v>
      </c>
      <c r="N559" s="118" t="s">
        <v>918</v>
      </c>
      <c r="O559" s="122">
        <v>189</v>
      </c>
      <c r="P559" s="122">
        <v>190</v>
      </c>
      <c r="Q559" s="122">
        <v>184</v>
      </c>
      <c r="R559" s="122">
        <v>186.05</v>
      </c>
      <c r="S559" s="122">
        <v>166.96</v>
      </c>
      <c r="T559" s="123">
        <v>4572281</v>
      </c>
    </row>
    <row r="560" spans="6:20" x14ac:dyDescent="0.3">
      <c r="F560" s="124">
        <v>554</v>
      </c>
      <c r="G560" s="33">
        <f t="shared" ca="1" si="21"/>
        <v>3.2926833138346733E-3</v>
      </c>
      <c r="N560" s="118" t="s">
        <v>919</v>
      </c>
      <c r="O560" s="122">
        <v>189.2</v>
      </c>
      <c r="P560" s="122">
        <v>192.5</v>
      </c>
      <c r="Q560" s="122">
        <v>185.2</v>
      </c>
      <c r="R560" s="122">
        <v>188.85</v>
      </c>
      <c r="S560" s="122">
        <v>169.47</v>
      </c>
      <c r="T560" s="123">
        <v>3622259</v>
      </c>
    </row>
    <row r="561" spans="6:20" x14ac:dyDescent="0.3">
      <c r="F561" s="124">
        <v>555</v>
      </c>
      <c r="G561" s="33">
        <f t="shared" ca="1" si="21"/>
        <v>-7.480118810128898E-3</v>
      </c>
      <c r="N561" s="118" t="s">
        <v>920</v>
      </c>
      <c r="O561" s="122">
        <v>193.4</v>
      </c>
      <c r="P561" s="122">
        <v>195.95</v>
      </c>
      <c r="Q561" s="122">
        <v>186.5</v>
      </c>
      <c r="R561" s="122">
        <v>189.05</v>
      </c>
      <c r="S561" s="122">
        <v>169.65</v>
      </c>
      <c r="T561" s="123">
        <v>6803042</v>
      </c>
    </row>
    <row r="562" spans="6:20" x14ac:dyDescent="0.3">
      <c r="F562" s="124">
        <v>556</v>
      </c>
      <c r="G562" s="33">
        <f t="shared" ca="1" si="21"/>
        <v>2.0564123129805469E-2</v>
      </c>
      <c r="N562" s="118" t="s">
        <v>921</v>
      </c>
      <c r="O562" s="122">
        <v>187</v>
      </c>
      <c r="P562" s="122">
        <v>192</v>
      </c>
      <c r="Q562" s="122">
        <v>183</v>
      </c>
      <c r="R562" s="122">
        <v>190.85</v>
      </c>
      <c r="S562" s="122">
        <v>171.27</v>
      </c>
      <c r="T562" s="123">
        <v>6144267</v>
      </c>
    </row>
    <row r="563" spans="6:20" x14ac:dyDescent="0.3">
      <c r="F563" s="124">
        <v>557</v>
      </c>
      <c r="G563" s="33">
        <f t="shared" ca="1" si="21"/>
        <v>4.6925051671151061E-3</v>
      </c>
      <c r="N563" s="118" t="s">
        <v>922</v>
      </c>
      <c r="O563" s="122">
        <v>186.7</v>
      </c>
      <c r="P563" s="122">
        <v>192</v>
      </c>
      <c r="Q563" s="122">
        <v>177.4</v>
      </c>
      <c r="R563" s="122">
        <v>188.45</v>
      </c>
      <c r="S563" s="122">
        <v>169.11</v>
      </c>
      <c r="T563" s="123">
        <v>13512084</v>
      </c>
    </row>
    <row r="564" spans="6:20" x14ac:dyDescent="0.3">
      <c r="F564" s="124">
        <v>558</v>
      </c>
      <c r="G564" s="33">
        <f t="shared" ca="1" si="21"/>
        <v>-6.2890276736559921E-3</v>
      </c>
      <c r="N564" s="118" t="s">
        <v>923</v>
      </c>
      <c r="O564" s="122">
        <v>183</v>
      </c>
      <c r="P564" s="122">
        <v>186.95</v>
      </c>
      <c r="Q564" s="122">
        <v>177.45</v>
      </c>
      <c r="R564" s="122">
        <v>183.15</v>
      </c>
      <c r="S564" s="122">
        <v>164.36</v>
      </c>
      <c r="T564" s="123">
        <v>8826527</v>
      </c>
    </row>
    <row r="565" spans="6:20" x14ac:dyDescent="0.3">
      <c r="F565" s="124">
        <v>559</v>
      </c>
      <c r="G565" s="33">
        <f t="shared" ca="1" si="21"/>
        <v>-1.9269092993664276E-3</v>
      </c>
      <c r="N565" s="118" t="s">
        <v>924</v>
      </c>
      <c r="O565" s="122">
        <v>179.15</v>
      </c>
      <c r="P565" s="122">
        <v>191.95</v>
      </c>
      <c r="Q565" s="122">
        <v>179.15</v>
      </c>
      <c r="R565" s="122">
        <v>181.5</v>
      </c>
      <c r="S565" s="122">
        <v>162.88</v>
      </c>
      <c r="T565" s="123">
        <v>7844413</v>
      </c>
    </row>
    <row r="566" spans="6:20" x14ac:dyDescent="0.3">
      <c r="F566" s="124">
        <v>560</v>
      </c>
      <c r="G566" s="33">
        <f t="shared" ca="1" si="21"/>
        <v>2.1582624958085096E-2</v>
      </c>
      <c r="N566" s="118" t="s">
        <v>925</v>
      </c>
      <c r="O566" s="122">
        <v>181.45</v>
      </c>
      <c r="P566" s="122">
        <v>182.1</v>
      </c>
      <c r="Q566" s="122">
        <v>177.3</v>
      </c>
      <c r="R566" s="122">
        <v>179.85</v>
      </c>
      <c r="S566" s="122">
        <v>161.4</v>
      </c>
      <c r="T566" s="123">
        <v>4603483</v>
      </c>
    </row>
    <row r="567" spans="6:20" x14ac:dyDescent="0.3">
      <c r="F567" s="124">
        <v>561</v>
      </c>
      <c r="G567" s="33">
        <f t="shared" ca="1" si="21"/>
        <v>-1.576987583928879E-2</v>
      </c>
      <c r="N567" s="118" t="s">
        <v>926</v>
      </c>
      <c r="O567" s="122">
        <v>178</v>
      </c>
      <c r="P567" s="122">
        <v>182.35</v>
      </c>
      <c r="Q567" s="122">
        <v>176.6</v>
      </c>
      <c r="R567" s="122">
        <v>180.25</v>
      </c>
      <c r="S567" s="122">
        <v>161.75</v>
      </c>
      <c r="T567" s="123">
        <v>6291101</v>
      </c>
    </row>
    <row r="568" spans="6:20" x14ac:dyDescent="0.3">
      <c r="F568" s="124">
        <v>562</v>
      </c>
      <c r="G568" s="33">
        <f t="shared" ca="1" si="21"/>
        <v>1.2034535572839102E-2</v>
      </c>
      <c r="N568" s="118" t="s">
        <v>927</v>
      </c>
      <c r="O568" s="122">
        <v>179</v>
      </c>
      <c r="P568" s="122">
        <v>180.85</v>
      </c>
      <c r="Q568" s="122">
        <v>177.1</v>
      </c>
      <c r="R568" s="122">
        <v>178.8</v>
      </c>
      <c r="S568" s="122">
        <v>160.44999999999999</v>
      </c>
      <c r="T568" s="123">
        <v>4686900</v>
      </c>
    </row>
    <row r="569" spans="6:20" x14ac:dyDescent="0.3">
      <c r="F569" s="124">
        <v>563</v>
      </c>
      <c r="G569" s="33">
        <f t="shared" ca="1" si="21"/>
        <v>3.7255776445349095E-2</v>
      </c>
      <c r="N569" s="118" t="s">
        <v>928</v>
      </c>
      <c r="O569" s="122">
        <v>179.15</v>
      </c>
      <c r="P569" s="122">
        <v>180.9</v>
      </c>
      <c r="Q569" s="122">
        <v>177.05</v>
      </c>
      <c r="R569" s="122">
        <v>179.05</v>
      </c>
      <c r="S569" s="122">
        <v>160.68</v>
      </c>
      <c r="T569" s="123">
        <v>2808901</v>
      </c>
    </row>
    <row r="570" spans="6:20" x14ac:dyDescent="0.3">
      <c r="F570" s="124">
        <v>564</v>
      </c>
      <c r="G570" s="33">
        <f t="shared" ca="1" si="21"/>
        <v>4.4689623318278027E-2</v>
      </c>
      <c r="N570" s="118" t="s">
        <v>929</v>
      </c>
      <c r="O570" s="122">
        <v>180</v>
      </c>
      <c r="P570" s="122">
        <v>184.2</v>
      </c>
      <c r="Q570" s="122">
        <v>178.7</v>
      </c>
      <c r="R570" s="122">
        <v>179.15</v>
      </c>
      <c r="S570" s="122">
        <v>160.77000000000001</v>
      </c>
      <c r="T570" s="123">
        <v>2941009</v>
      </c>
    </row>
    <row r="571" spans="6:20" x14ac:dyDescent="0.3">
      <c r="F571" s="124">
        <v>565</v>
      </c>
      <c r="G571" s="33">
        <f t="shared" ca="1" si="21"/>
        <v>-4.1677786692822336E-2</v>
      </c>
      <c r="N571" s="118" t="s">
        <v>930</v>
      </c>
      <c r="O571" s="122">
        <v>179</v>
      </c>
      <c r="P571" s="122">
        <v>189.95</v>
      </c>
      <c r="Q571" s="122">
        <v>177.85</v>
      </c>
      <c r="R571" s="122">
        <v>179.95</v>
      </c>
      <c r="S571" s="122">
        <v>161.49</v>
      </c>
      <c r="T571" s="123">
        <v>5188196</v>
      </c>
    </row>
    <row r="572" spans="6:20" x14ac:dyDescent="0.3">
      <c r="F572" s="124">
        <v>566</v>
      </c>
      <c r="G572" s="33">
        <f t="shared" ca="1" si="21"/>
        <v>-3.0531859234284595E-3</v>
      </c>
      <c r="N572" s="118" t="s">
        <v>931</v>
      </c>
      <c r="O572" s="122">
        <v>178.6</v>
      </c>
      <c r="P572" s="122">
        <v>181</v>
      </c>
      <c r="Q572" s="122">
        <v>174.1</v>
      </c>
      <c r="R572" s="122">
        <v>179.1</v>
      </c>
      <c r="S572" s="122">
        <v>160.72</v>
      </c>
      <c r="T572" s="123">
        <v>6763009</v>
      </c>
    </row>
    <row r="573" spans="6:20" x14ac:dyDescent="0.3">
      <c r="F573" s="124">
        <v>567</v>
      </c>
      <c r="G573" s="33">
        <f t="shared" ca="1" si="21"/>
        <v>1.7325292579429767E-2</v>
      </c>
      <c r="N573" s="118" t="s">
        <v>932</v>
      </c>
      <c r="O573" s="122">
        <v>173.95</v>
      </c>
      <c r="P573" s="122">
        <v>181.8</v>
      </c>
      <c r="Q573" s="122">
        <v>173</v>
      </c>
      <c r="R573" s="122">
        <v>179.95</v>
      </c>
      <c r="S573" s="122">
        <v>161.49</v>
      </c>
      <c r="T573" s="123">
        <v>4698903</v>
      </c>
    </row>
    <row r="574" spans="6:20" x14ac:dyDescent="0.3">
      <c r="F574" s="124">
        <v>568</v>
      </c>
      <c r="G574" s="33">
        <f t="shared" ca="1" si="21"/>
        <v>-4.4026644560514428E-3</v>
      </c>
      <c r="N574" s="118" t="s">
        <v>933</v>
      </c>
      <c r="O574" s="122">
        <v>171.2</v>
      </c>
      <c r="P574" s="122">
        <v>177.4</v>
      </c>
      <c r="Q574" s="122">
        <v>171</v>
      </c>
      <c r="R574" s="122">
        <v>173.95</v>
      </c>
      <c r="S574" s="122">
        <v>156.1</v>
      </c>
      <c r="T574" s="123">
        <v>5816835</v>
      </c>
    </row>
    <row r="575" spans="6:20" x14ac:dyDescent="0.3">
      <c r="F575" s="124">
        <v>569</v>
      </c>
      <c r="G575" s="33">
        <f t="shared" ca="1" si="21"/>
        <v>1.5630606326309904E-2</v>
      </c>
      <c r="N575" s="118" t="s">
        <v>934</v>
      </c>
      <c r="O575" s="122">
        <v>172.55</v>
      </c>
      <c r="P575" s="122">
        <v>177.05</v>
      </c>
      <c r="Q575" s="122">
        <v>170.35</v>
      </c>
      <c r="R575" s="122">
        <v>171.55</v>
      </c>
      <c r="S575" s="122">
        <v>153.94999999999999</v>
      </c>
      <c r="T575" s="123">
        <v>4620260</v>
      </c>
    </row>
    <row r="576" spans="6:20" x14ac:dyDescent="0.3">
      <c r="F576" s="124">
        <v>570</v>
      </c>
      <c r="G576" s="33">
        <f t="shared" ca="1" si="21"/>
        <v>4.0459752003719096E-2</v>
      </c>
      <c r="N576" s="118" t="s">
        <v>935</v>
      </c>
      <c r="O576" s="122">
        <v>173</v>
      </c>
      <c r="P576" s="122">
        <v>175.4</v>
      </c>
      <c r="Q576" s="122">
        <v>171.1</v>
      </c>
      <c r="R576" s="122">
        <v>173.45</v>
      </c>
      <c r="S576" s="122">
        <v>155.65</v>
      </c>
      <c r="T576" s="123">
        <v>3128267</v>
      </c>
    </row>
    <row r="577" spans="6:20" x14ac:dyDescent="0.3">
      <c r="F577" s="124">
        <v>571</v>
      </c>
      <c r="G577" s="33">
        <f t="shared" ca="1" si="21"/>
        <v>-8.1918891353128728E-3</v>
      </c>
      <c r="N577" s="118" t="s">
        <v>936</v>
      </c>
      <c r="O577" s="122">
        <v>173.65</v>
      </c>
      <c r="P577" s="122">
        <v>175.3</v>
      </c>
      <c r="Q577" s="122">
        <v>168.7</v>
      </c>
      <c r="R577" s="122">
        <v>173.2</v>
      </c>
      <c r="S577" s="122">
        <v>155.43</v>
      </c>
      <c r="T577" s="123">
        <v>3100333</v>
      </c>
    </row>
    <row r="578" spans="6:20" x14ac:dyDescent="0.3">
      <c r="F578" s="124">
        <v>572</v>
      </c>
      <c r="G578" s="33">
        <f t="shared" ca="1" si="21"/>
        <v>2.0710479389932219E-2</v>
      </c>
      <c r="N578" s="118" t="s">
        <v>937</v>
      </c>
      <c r="O578" s="122">
        <v>174.5</v>
      </c>
      <c r="P578" s="122">
        <v>178.15</v>
      </c>
      <c r="Q578" s="122">
        <v>170.65</v>
      </c>
      <c r="R578" s="122">
        <v>173.65</v>
      </c>
      <c r="S578" s="122">
        <v>155.83000000000001</v>
      </c>
      <c r="T578" s="123">
        <v>5393638</v>
      </c>
    </row>
    <row r="579" spans="6:20" x14ac:dyDescent="0.3">
      <c r="F579" s="124">
        <v>573</v>
      </c>
      <c r="G579" s="33">
        <f t="shared" ca="1" si="21"/>
        <v>3.2770371691745973E-2</v>
      </c>
      <c r="N579" s="118" t="s">
        <v>938</v>
      </c>
      <c r="O579" s="122">
        <v>172</v>
      </c>
      <c r="P579" s="122">
        <v>175.35</v>
      </c>
      <c r="Q579" s="122">
        <v>166</v>
      </c>
      <c r="R579" s="122">
        <v>174.8</v>
      </c>
      <c r="S579" s="122">
        <v>156.86000000000001</v>
      </c>
      <c r="T579" s="123">
        <v>5472538</v>
      </c>
    </row>
    <row r="580" spans="6:20" x14ac:dyDescent="0.3">
      <c r="F580" s="124">
        <v>574</v>
      </c>
      <c r="G580" s="33">
        <f t="shared" ca="1" si="21"/>
        <v>-6.1236045881722075E-3</v>
      </c>
      <c r="N580" s="118" t="s">
        <v>939</v>
      </c>
      <c r="O580" s="122">
        <v>162.69999999999999</v>
      </c>
      <c r="P580" s="122">
        <v>172.5</v>
      </c>
      <c r="Q580" s="122">
        <v>162.1</v>
      </c>
      <c r="R580" s="122">
        <v>172</v>
      </c>
      <c r="S580" s="122">
        <v>154.35</v>
      </c>
      <c r="T580" s="123">
        <v>9224925</v>
      </c>
    </row>
    <row r="581" spans="6:20" x14ac:dyDescent="0.3">
      <c r="F581" s="124">
        <v>575</v>
      </c>
      <c r="G581" s="33">
        <f t="shared" ca="1" si="21"/>
        <v>1.0099031465684314E-4</v>
      </c>
      <c r="N581" s="118" t="s">
        <v>940</v>
      </c>
      <c r="O581" s="122">
        <v>166.6</v>
      </c>
      <c r="P581" s="122">
        <v>170.95</v>
      </c>
      <c r="Q581" s="122">
        <v>159.5</v>
      </c>
      <c r="R581" s="122">
        <v>163.95</v>
      </c>
      <c r="S581" s="122">
        <v>147.13</v>
      </c>
      <c r="T581" s="123">
        <v>20064467</v>
      </c>
    </row>
    <row r="582" spans="6:20" x14ac:dyDescent="0.3">
      <c r="F582" s="124">
        <v>576</v>
      </c>
      <c r="G582" s="33">
        <f t="shared" ca="1" si="21"/>
        <v>-2.6635897455641586E-2</v>
      </c>
      <c r="N582" s="118" t="s">
        <v>941</v>
      </c>
      <c r="O582" s="122">
        <v>174.55</v>
      </c>
      <c r="P582" s="122">
        <v>175</v>
      </c>
      <c r="Q582" s="122">
        <v>166.55</v>
      </c>
      <c r="R582" s="122">
        <v>167.2</v>
      </c>
      <c r="S582" s="122">
        <v>150.04</v>
      </c>
      <c r="T582" s="123">
        <v>5399511</v>
      </c>
    </row>
    <row r="583" spans="6:20" x14ac:dyDescent="0.3">
      <c r="F583" s="124">
        <v>577</v>
      </c>
      <c r="G583" s="33">
        <f t="shared" ca="1" si="21"/>
        <v>-2.859078160976402E-2</v>
      </c>
      <c r="N583" s="118" t="s">
        <v>942</v>
      </c>
      <c r="O583" s="122">
        <v>168</v>
      </c>
      <c r="P583" s="122">
        <v>175</v>
      </c>
      <c r="Q583" s="122">
        <v>166.35</v>
      </c>
      <c r="R583" s="122">
        <v>173.95</v>
      </c>
      <c r="S583" s="122">
        <v>156.1</v>
      </c>
      <c r="T583" s="123">
        <v>4019827</v>
      </c>
    </row>
    <row r="584" spans="6:20" x14ac:dyDescent="0.3">
      <c r="F584" s="124">
        <v>578</v>
      </c>
      <c r="G584" s="33">
        <f t="shared" ref="G584:G647" ca="1" si="22">_xlfn.NORM.INV(RAND(),$M$9,$M$10)</f>
        <v>5.4313729266553035E-2</v>
      </c>
      <c r="N584" s="118" t="s">
        <v>943</v>
      </c>
      <c r="O584" s="122">
        <v>172.5</v>
      </c>
      <c r="P584" s="122">
        <v>174.2</v>
      </c>
      <c r="Q584" s="122">
        <v>164</v>
      </c>
      <c r="R584" s="122">
        <v>167.05</v>
      </c>
      <c r="S584" s="122">
        <v>149.91</v>
      </c>
      <c r="T584" s="123">
        <v>2988086</v>
      </c>
    </row>
    <row r="585" spans="6:20" x14ac:dyDescent="0.3">
      <c r="F585" s="124">
        <v>579</v>
      </c>
      <c r="G585" s="33">
        <f t="shared" ca="1" si="22"/>
        <v>7.0132965456223065E-2</v>
      </c>
      <c r="N585" s="118" t="s">
        <v>944</v>
      </c>
      <c r="O585" s="122">
        <v>167.5</v>
      </c>
      <c r="P585" s="122">
        <v>174.3</v>
      </c>
      <c r="Q585" s="122">
        <v>166.6</v>
      </c>
      <c r="R585" s="122">
        <v>172.4</v>
      </c>
      <c r="S585" s="122">
        <v>154.71</v>
      </c>
      <c r="T585" s="123">
        <v>3928773</v>
      </c>
    </row>
    <row r="586" spans="6:20" x14ac:dyDescent="0.3">
      <c r="F586" s="124">
        <v>580</v>
      </c>
      <c r="G586" s="33">
        <f t="shared" ca="1" si="22"/>
        <v>-6.2817758718677119E-2</v>
      </c>
      <c r="N586" s="118" t="s">
        <v>945</v>
      </c>
      <c r="O586" s="122">
        <v>165.8</v>
      </c>
      <c r="P586" s="122">
        <v>168.65</v>
      </c>
      <c r="Q586" s="122">
        <v>163.5</v>
      </c>
      <c r="R586" s="122">
        <v>167</v>
      </c>
      <c r="S586" s="122">
        <v>149.86000000000001</v>
      </c>
      <c r="T586" s="123">
        <v>7697794</v>
      </c>
    </row>
    <row r="587" spans="6:20" x14ac:dyDescent="0.3">
      <c r="F587" s="124">
        <v>581</v>
      </c>
      <c r="G587" s="33">
        <f t="shared" ca="1" si="22"/>
        <v>9.0363947602313879E-4</v>
      </c>
      <c r="N587" s="118" t="s">
        <v>946</v>
      </c>
      <c r="O587" s="122">
        <v>166</v>
      </c>
      <c r="P587" s="122">
        <v>170</v>
      </c>
      <c r="Q587" s="122">
        <v>163.15</v>
      </c>
      <c r="R587" s="122">
        <v>165.75</v>
      </c>
      <c r="S587" s="122">
        <v>148.74</v>
      </c>
      <c r="T587" s="123">
        <v>6336763</v>
      </c>
    </row>
    <row r="588" spans="6:20" x14ac:dyDescent="0.3">
      <c r="F588" s="124">
        <v>582</v>
      </c>
      <c r="G588" s="33">
        <f t="shared" ca="1" si="22"/>
        <v>9.0304852297576149E-2</v>
      </c>
      <c r="N588" s="118" t="s">
        <v>947</v>
      </c>
      <c r="O588" s="122">
        <v>165.1</v>
      </c>
      <c r="P588" s="122">
        <v>167.4</v>
      </c>
      <c r="Q588" s="122">
        <v>161.6</v>
      </c>
      <c r="R588" s="122">
        <v>164.4</v>
      </c>
      <c r="S588" s="122">
        <v>147.53</v>
      </c>
      <c r="T588" s="123">
        <v>6353162</v>
      </c>
    </row>
    <row r="589" spans="6:20" x14ac:dyDescent="0.3">
      <c r="F589" s="124">
        <v>583</v>
      </c>
      <c r="G589" s="33">
        <f t="shared" ca="1" si="22"/>
        <v>-4.5699869811626589E-2</v>
      </c>
      <c r="N589" s="118" t="s">
        <v>948</v>
      </c>
      <c r="O589" s="122">
        <v>163</v>
      </c>
      <c r="P589" s="122">
        <v>171.35</v>
      </c>
      <c r="Q589" s="122">
        <v>161</v>
      </c>
      <c r="R589" s="122">
        <v>165.65</v>
      </c>
      <c r="S589" s="122">
        <v>148.65</v>
      </c>
      <c r="T589" s="123">
        <v>20849983</v>
      </c>
    </row>
    <row r="590" spans="6:20" x14ac:dyDescent="0.3">
      <c r="F590" s="124">
        <v>584</v>
      </c>
      <c r="G590" s="33">
        <f t="shared" ca="1" si="22"/>
        <v>-3.5358683249044856E-2</v>
      </c>
      <c r="N590" s="118" t="s">
        <v>949</v>
      </c>
      <c r="O590" s="122">
        <v>164.4</v>
      </c>
      <c r="P590" s="122">
        <v>165.6</v>
      </c>
      <c r="Q590" s="122">
        <v>156.5</v>
      </c>
      <c r="R590" s="122">
        <v>161.05000000000001</v>
      </c>
      <c r="S590" s="122">
        <v>144.52000000000001</v>
      </c>
      <c r="T590" s="123">
        <v>11317531</v>
      </c>
    </row>
    <row r="591" spans="6:20" x14ac:dyDescent="0.3">
      <c r="F591" s="124">
        <v>585</v>
      </c>
      <c r="G591" s="33">
        <f t="shared" ca="1" si="22"/>
        <v>-1.5475983612694123E-2</v>
      </c>
      <c r="N591" s="118" t="s">
        <v>950</v>
      </c>
      <c r="O591" s="122">
        <v>163.4</v>
      </c>
      <c r="P591" s="122">
        <v>165.3</v>
      </c>
      <c r="Q591" s="122">
        <v>160</v>
      </c>
      <c r="R591" s="122">
        <v>164.25</v>
      </c>
      <c r="S591" s="122">
        <v>147.4</v>
      </c>
      <c r="T591" s="123">
        <v>4266985</v>
      </c>
    </row>
    <row r="592" spans="6:20" x14ac:dyDescent="0.3">
      <c r="F592" s="124">
        <v>586</v>
      </c>
      <c r="G592" s="33">
        <f t="shared" ca="1" si="22"/>
        <v>-6.8996363877139644E-2</v>
      </c>
      <c r="N592" s="118" t="s">
        <v>951</v>
      </c>
      <c r="O592" s="317" t="s">
        <v>863</v>
      </c>
      <c r="P592" s="317"/>
      <c r="Q592" s="317"/>
      <c r="R592" s="317"/>
      <c r="S592" s="317"/>
      <c r="T592" s="317"/>
    </row>
    <row r="593" spans="6:20" x14ac:dyDescent="0.3">
      <c r="F593" s="124">
        <v>587</v>
      </c>
      <c r="G593" s="33">
        <f t="shared" ca="1" si="22"/>
        <v>-1.7928803412351767E-2</v>
      </c>
      <c r="N593" s="118" t="s">
        <v>952</v>
      </c>
      <c r="O593" s="122">
        <v>176.8</v>
      </c>
      <c r="P593" s="122">
        <v>177.85</v>
      </c>
      <c r="Q593" s="122">
        <v>162.9</v>
      </c>
      <c r="R593" s="122">
        <v>163.35</v>
      </c>
      <c r="S593" s="122">
        <v>145.97</v>
      </c>
      <c r="T593" s="123">
        <v>5756998</v>
      </c>
    </row>
    <row r="594" spans="6:20" x14ac:dyDescent="0.3">
      <c r="F594" s="124">
        <v>588</v>
      </c>
      <c r="G594" s="33">
        <f t="shared" ca="1" si="22"/>
        <v>1.4637951958925935E-2</v>
      </c>
      <c r="N594" s="118" t="s">
        <v>953</v>
      </c>
      <c r="O594" s="122">
        <v>184.25</v>
      </c>
      <c r="P594" s="122">
        <v>184.45</v>
      </c>
      <c r="Q594" s="122">
        <v>174.15</v>
      </c>
      <c r="R594" s="122">
        <v>176.8</v>
      </c>
      <c r="S594" s="122">
        <v>157.99</v>
      </c>
      <c r="T594" s="123">
        <v>9671275</v>
      </c>
    </row>
    <row r="595" spans="6:20" x14ac:dyDescent="0.3">
      <c r="F595" s="124">
        <v>589</v>
      </c>
      <c r="G595" s="33">
        <f t="shared" ca="1" si="22"/>
        <v>-2.0002316741411391E-3</v>
      </c>
      <c r="N595" s="118" t="s">
        <v>954</v>
      </c>
      <c r="O595" s="122">
        <v>168.2</v>
      </c>
      <c r="P595" s="122">
        <v>183.45</v>
      </c>
      <c r="Q595" s="122">
        <v>168.2</v>
      </c>
      <c r="R595" s="122">
        <v>182.6</v>
      </c>
      <c r="S595" s="122">
        <v>163.16999999999999</v>
      </c>
      <c r="T595" s="123">
        <v>8903373</v>
      </c>
    </row>
    <row r="596" spans="6:20" x14ac:dyDescent="0.3">
      <c r="F596" s="124">
        <v>590</v>
      </c>
      <c r="G596" s="33">
        <f t="shared" ca="1" si="22"/>
        <v>-1.7021971230793433E-2</v>
      </c>
      <c r="N596" s="118" t="s">
        <v>955</v>
      </c>
      <c r="O596" s="122">
        <v>171.65</v>
      </c>
      <c r="P596" s="122">
        <v>171.65</v>
      </c>
      <c r="Q596" s="122">
        <v>165.65</v>
      </c>
      <c r="R596" s="122">
        <v>169.15</v>
      </c>
      <c r="S596" s="122">
        <v>151.15</v>
      </c>
      <c r="T596" s="123">
        <v>3709331</v>
      </c>
    </row>
    <row r="597" spans="6:20" x14ac:dyDescent="0.3">
      <c r="F597" s="124">
        <v>591</v>
      </c>
      <c r="G597" s="33">
        <f t="shared" ca="1" si="22"/>
        <v>-5.5413571606550858E-3</v>
      </c>
      <c r="N597" s="118" t="s">
        <v>956</v>
      </c>
      <c r="O597" s="122">
        <v>171</v>
      </c>
      <c r="P597" s="122">
        <v>173</v>
      </c>
      <c r="Q597" s="122">
        <v>168.75</v>
      </c>
      <c r="R597" s="122">
        <v>169.55</v>
      </c>
      <c r="S597" s="122">
        <v>151.51</v>
      </c>
      <c r="T597" s="123">
        <v>4408811</v>
      </c>
    </row>
    <row r="598" spans="6:20" x14ac:dyDescent="0.3">
      <c r="F598" s="124">
        <v>592</v>
      </c>
      <c r="G598" s="33">
        <f t="shared" ca="1" si="22"/>
        <v>-5.3956381220208261E-3</v>
      </c>
      <c r="N598" s="118" t="s">
        <v>957</v>
      </c>
      <c r="O598" s="122">
        <v>169.9</v>
      </c>
      <c r="P598" s="122">
        <v>173.2</v>
      </c>
      <c r="Q598" s="122">
        <v>166.8</v>
      </c>
      <c r="R598" s="122">
        <v>171</v>
      </c>
      <c r="S598" s="122">
        <v>152.80000000000001</v>
      </c>
      <c r="T598" s="123">
        <v>4245224</v>
      </c>
    </row>
    <row r="599" spans="6:20" x14ac:dyDescent="0.3">
      <c r="F599" s="124">
        <v>593</v>
      </c>
      <c r="G599" s="33">
        <f t="shared" ca="1" si="22"/>
        <v>1.5135747448045266E-2</v>
      </c>
      <c r="N599" s="118" t="s">
        <v>958</v>
      </c>
      <c r="O599" s="122">
        <v>167.5</v>
      </c>
      <c r="P599" s="122">
        <v>171.45</v>
      </c>
      <c r="Q599" s="122">
        <v>164.75</v>
      </c>
      <c r="R599" s="122">
        <v>170</v>
      </c>
      <c r="S599" s="122">
        <v>151.91</v>
      </c>
      <c r="T599" s="123">
        <v>5204790</v>
      </c>
    </row>
    <row r="600" spans="6:20" x14ac:dyDescent="0.3">
      <c r="F600" s="124">
        <v>594</v>
      </c>
      <c r="G600" s="33">
        <f t="shared" ca="1" si="22"/>
        <v>1.3477154913217951E-2</v>
      </c>
      <c r="N600" s="118" t="s">
        <v>959</v>
      </c>
      <c r="O600" s="122">
        <v>171</v>
      </c>
      <c r="P600" s="122">
        <v>172.9</v>
      </c>
      <c r="Q600" s="122">
        <v>166.35</v>
      </c>
      <c r="R600" s="122">
        <v>168.85</v>
      </c>
      <c r="S600" s="122">
        <v>150.88</v>
      </c>
      <c r="T600" s="123">
        <v>4460639</v>
      </c>
    </row>
    <row r="601" spans="6:20" x14ac:dyDescent="0.3">
      <c r="F601" s="124">
        <v>595</v>
      </c>
      <c r="G601" s="33">
        <f t="shared" ca="1" si="22"/>
        <v>-3.0111921767542075E-2</v>
      </c>
      <c r="N601" s="118" t="s">
        <v>960</v>
      </c>
      <c r="O601" s="122">
        <v>163.15</v>
      </c>
      <c r="P601" s="122">
        <v>171.8</v>
      </c>
      <c r="Q601" s="122">
        <v>163.15</v>
      </c>
      <c r="R601" s="122">
        <v>169.05</v>
      </c>
      <c r="S601" s="122">
        <v>151.06</v>
      </c>
      <c r="T601" s="123">
        <v>4868618</v>
      </c>
    </row>
    <row r="602" spans="6:20" x14ac:dyDescent="0.3">
      <c r="F602" s="124">
        <v>596</v>
      </c>
      <c r="G602" s="33">
        <f t="shared" ca="1" si="22"/>
        <v>3.0276038767077535E-2</v>
      </c>
      <c r="N602" s="118" t="s">
        <v>961</v>
      </c>
      <c r="O602" s="122">
        <v>165.4</v>
      </c>
      <c r="P602" s="122">
        <v>172.9</v>
      </c>
      <c r="Q602" s="122">
        <v>162.35</v>
      </c>
      <c r="R602" s="122">
        <v>163.15</v>
      </c>
      <c r="S602" s="122">
        <v>145.79</v>
      </c>
      <c r="T602" s="123">
        <v>9762285</v>
      </c>
    </row>
    <row r="603" spans="6:20" x14ac:dyDescent="0.3">
      <c r="F603" s="124">
        <v>597</v>
      </c>
      <c r="G603" s="33">
        <f t="shared" ca="1" si="22"/>
        <v>2.4854666136187385E-2</v>
      </c>
      <c r="N603" s="118" t="s">
        <v>962</v>
      </c>
      <c r="O603" s="122">
        <v>150.4</v>
      </c>
      <c r="P603" s="122">
        <v>165.05</v>
      </c>
      <c r="Q603" s="122">
        <v>150.4</v>
      </c>
      <c r="R603" s="122">
        <v>163.1</v>
      </c>
      <c r="S603" s="122">
        <v>145.74</v>
      </c>
      <c r="T603" s="123">
        <v>12062151</v>
      </c>
    </row>
    <row r="604" spans="6:20" x14ac:dyDescent="0.3">
      <c r="F604" s="124">
        <v>598</v>
      </c>
      <c r="G604" s="33">
        <f t="shared" ca="1" si="22"/>
        <v>1.3164549689560677E-2</v>
      </c>
      <c r="N604" s="118" t="s">
        <v>963</v>
      </c>
      <c r="O604" s="122">
        <v>169.7</v>
      </c>
      <c r="P604" s="122">
        <v>170.15</v>
      </c>
      <c r="Q604" s="122">
        <v>142.69999999999999</v>
      </c>
      <c r="R604" s="122">
        <v>149.5</v>
      </c>
      <c r="S604" s="122">
        <v>133.59</v>
      </c>
      <c r="T604" s="123">
        <v>16254773</v>
      </c>
    </row>
    <row r="605" spans="6:20" x14ac:dyDescent="0.3">
      <c r="F605" s="124">
        <v>599</v>
      </c>
      <c r="G605" s="33">
        <f t="shared" ca="1" si="22"/>
        <v>-4.42070529115514E-2</v>
      </c>
      <c r="N605" s="118" t="s">
        <v>964</v>
      </c>
      <c r="O605" s="122">
        <v>160.44999999999999</v>
      </c>
      <c r="P605" s="122">
        <v>175</v>
      </c>
      <c r="Q605" s="122">
        <v>160.44999999999999</v>
      </c>
      <c r="R605" s="122">
        <v>170.1</v>
      </c>
      <c r="S605" s="122">
        <v>152</v>
      </c>
      <c r="T605" s="123">
        <v>7845343</v>
      </c>
    </row>
    <row r="606" spans="6:20" x14ac:dyDescent="0.3">
      <c r="F606" s="124">
        <v>600</v>
      </c>
      <c r="G606" s="33">
        <f t="shared" ca="1" si="22"/>
        <v>2.9298023846912744E-2</v>
      </c>
      <c r="N606" s="118" t="s">
        <v>965</v>
      </c>
      <c r="O606" s="122">
        <v>158.30000000000001</v>
      </c>
      <c r="P606" s="122">
        <v>165</v>
      </c>
      <c r="Q606" s="122">
        <v>156.30000000000001</v>
      </c>
      <c r="R606" s="122">
        <v>161.35</v>
      </c>
      <c r="S606" s="122">
        <v>144.18</v>
      </c>
      <c r="T606" s="123">
        <v>3403382</v>
      </c>
    </row>
    <row r="607" spans="6:20" x14ac:dyDescent="0.3">
      <c r="F607" s="124">
        <v>601</v>
      </c>
      <c r="G607" s="33">
        <f t="shared" ca="1" si="22"/>
        <v>-5.4898318267990664E-4</v>
      </c>
      <c r="N607" s="118" t="s">
        <v>966</v>
      </c>
      <c r="O607" s="122">
        <v>172.05</v>
      </c>
      <c r="P607" s="122">
        <v>174.25</v>
      </c>
      <c r="Q607" s="122">
        <v>158</v>
      </c>
      <c r="R607" s="122">
        <v>160</v>
      </c>
      <c r="S607" s="122">
        <v>142.97</v>
      </c>
      <c r="T607" s="123">
        <v>8937885</v>
      </c>
    </row>
    <row r="608" spans="6:20" x14ac:dyDescent="0.3">
      <c r="F608" s="124">
        <v>602</v>
      </c>
      <c r="G608" s="33">
        <f t="shared" ca="1" si="22"/>
        <v>4.306852353140711E-2</v>
      </c>
      <c r="N608" s="118" t="s">
        <v>967</v>
      </c>
      <c r="O608" s="122">
        <v>165.25</v>
      </c>
      <c r="P608" s="122">
        <v>177.4</v>
      </c>
      <c r="Q608" s="122">
        <v>165.25</v>
      </c>
      <c r="R608" s="122">
        <v>171.75</v>
      </c>
      <c r="S608" s="122">
        <v>153.47</v>
      </c>
      <c r="T608" s="123">
        <v>17207258</v>
      </c>
    </row>
    <row r="609" spans="6:20" x14ac:dyDescent="0.3">
      <c r="F609" s="124">
        <v>603</v>
      </c>
      <c r="G609" s="33">
        <f t="shared" ca="1" si="22"/>
        <v>-2.6565522162341655E-2</v>
      </c>
      <c r="N609" s="118" t="s">
        <v>968</v>
      </c>
      <c r="O609" s="122">
        <v>157.55000000000001</v>
      </c>
      <c r="P609" s="122">
        <v>172.8</v>
      </c>
      <c r="Q609" s="122">
        <v>156.30000000000001</v>
      </c>
      <c r="R609" s="122">
        <v>167.65</v>
      </c>
      <c r="S609" s="122">
        <v>149.81</v>
      </c>
      <c r="T609" s="123">
        <v>9524731</v>
      </c>
    </row>
    <row r="610" spans="6:20" x14ac:dyDescent="0.3">
      <c r="F610" s="124">
        <v>604</v>
      </c>
      <c r="G610" s="33">
        <f t="shared" ca="1" si="22"/>
        <v>4.8866345942759747E-3</v>
      </c>
      <c r="N610" s="118" t="s">
        <v>969</v>
      </c>
      <c r="O610" s="122">
        <v>156.05000000000001</v>
      </c>
      <c r="P610" s="122">
        <v>159.25</v>
      </c>
      <c r="Q610" s="122">
        <v>154.1</v>
      </c>
      <c r="R610" s="122">
        <v>158.55000000000001</v>
      </c>
      <c r="S610" s="122">
        <v>141.68</v>
      </c>
      <c r="T610" s="123">
        <v>3539011</v>
      </c>
    </row>
    <row r="611" spans="6:20" x14ac:dyDescent="0.3">
      <c r="F611" s="124">
        <v>605</v>
      </c>
      <c r="G611" s="33">
        <f t="shared" ca="1" si="22"/>
        <v>-1.1909044055168589E-2</v>
      </c>
      <c r="N611" s="118" t="s">
        <v>970</v>
      </c>
      <c r="O611" s="122">
        <v>156.25</v>
      </c>
      <c r="P611" s="122">
        <v>160.85</v>
      </c>
      <c r="Q611" s="122">
        <v>153.35</v>
      </c>
      <c r="R611" s="122">
        <v>157</v>
      </c>
      <c r="S611" s="122">
        <v>140.29</v>
      </c>
      <c r="T611" s="123">
        <v>4521029</v>
      </c>
    </row>
    <row r="612" spans="6:20" x14ac:dyDescent="0.3">
      <c r="F612" s="124">
        <v>606</v>
      </c>
      <c r="G612" s="33">
        <f t="shared" ca="1" si="22"/>
        <v>-2.3319034004706307E-2</v>
      </c>
      <c r="N612" s="118" t="s">
        <v>971</v>
      </c>
      <c r="O612" s="122">
        <v>154.19999999999999</v>
      </c>
      <c r="P612" s="122">
        <v>156.85</v>
      </c>
      <c r="Q612" s="122">
        <v>149.35</v>
      </c>
      <c r="R612" s="122">
        <v>155.4</v>
      </c>
      <c r="S612" s="122">
        <v>138.86000000000001</v>
      </c>
      <c r="T612" s="123">
        <v>7267065</v>
      </c>
    </row>
    <row r="613" spans="6:20" x14ac:dyDescent="0.3">
      <c r="F613" s="124">
        <v>607</v>
      </c>
      <c r="G613" s="33">
        <f t="shared" ca="1" si="22"/>
        <v>-1.1511661890200652E-2</v>
      </c>
      <c r="N613" s="118" t="s">
        <v>972</v>
      </c>
      <c r="O613" s="317" t="s">
        <v>973</v>
      </c>
      <c r="P613" s="317"/>
      <c r="Q613" s="317"/>
      <c r="R613" s="317"/>
      <c r="S613" s="317"/>
      <c r="T613" s="317"/>
    </row>
    <row r="614" spans="6:20" x14ac:dyDescent="0.3">
      <c r="F614" s="124">
        <v>608</v>
      </c>
      <c r="G614" s="33">
        <f t="shared" ca="1" si="22"/>
        <v>1.0427986285693528E-2</v>
      </c>
      <c r="N614" s="118" t="s">
        <v>974</v>
      </c>
      <c r="O614" s="122">
        <v>153.9</v>
      </c>
      <c r="P614" s="122">
        <v>158.30000000000001</v>
      </c>
      <c r="Q614" s="122">
        <v>149</v>
      </c>
      <c r="R614" s="122">
        <v>154.05000000000001</v>
      </c>
      <c r="S614" s="122">
        <v>136.88</v>
      </c>
      <c r="T614" s="123">
        <v>7470129</v>
      </c>
    </row>
    <row r="615" spans="6:20" x14ac:dyDescent="0.3">
      <c r="F615" s="124">
        <v>609</v>
      </c>
      <c r="G615" s="33">
        <f t="shared" ca="1" si="22"/>
        <v>-1.4335144001150331E-2</v>
      </c>
      <c r="N615" s="118" t="s">
        <v>975</v>
      </c>
      <c r="O615" s="122">
        <v>157.55000000000001</v>
      </c>
      <c r="P615" s="122">
        <v>158.6</v>
      </c>
      <c r="Q615" s="122">
        <v>144.65</v>
      </c>
      <c r="R615" s="122">
        <v>152.65</v>
      </c>
      <c r="S615" s="122">
        <v>135.63999999999999</v>
      </c>
      <c r="T615" s="123">
        <v>8949744</v>
      </c>
    </row>
    <row r="616" spans="6:20" x14ac:dyDescent="0.3">
      <c r="F616" s="124">
        <v>610</v>
      </c>
      <c r="G616" s="33">
        <f t="shared" ca="1" si="22"/>
        <v>-6.6295881352743799E-3</v>
      </c>
      <c r="N616" s="118" t="s">
        <v>976</v>
      </c>
      <c r="O616" s="122">
        <v>155.6</v>
      </c>
      <c r="P616" s="122">
        <v>160.35</v>
      </c>
      <c r="Q616" s="122">
        <v>155.6</v>
      </c>
      <c r="R616" s="122">
        <v>157.15</v>
      </c>
      <c r="S616" s="122">
        <v>139.63999999999999</v>
      </c>
      <c r="T616" s="123">
        <v>2919892</v>
      </c>
    </row>
    <row r="617" spans="6:20" x14ac:dyDescent="0.3">
      <c r="F617" s="124">
        <v>611</v>
      </c>
      <c r="G617" s="33">
        <f t="shared" ca="1" si="22"/>
        <v>8.159515259066304E-3</v>
      </c>
      <c r="N617" s="118" t="s">
        <v>977</v>
      </c>
      <c r="O617" s="122">
        <v>158.5</v>
      </c>
      <c r="P617" s="122">
        <v>160.85</v>
      </c>
      <c r="Q617" s="122">
        <v>155.44999999999999</v>
      </c>
      <c r="R617" s="122">
        <v>156.35</v>
      </c>
      <c r="S617" s="122">
        <v>138.93</v>
      </c>
      <c r="T617" s="123">
        <v>5611702</v>
      </c>
    </row>
    <row r="618" spans="6:20" x14ac:dyDescent="0.3">
      <c r="F618" s="124">
        <v>612</v>
      </c>
      <c r="G618" s="33">
        <f t="shared" ca="1" si="22"/>
        <v>1.1441564053788554E-3</v>
      </c>
      <c r="N618" s="118" t="s">
        <v>978</v>
      </c>
      <c r="O618" s="122">
        <v>155.6</v>
      </c>
      <c r="P618" s="122">
        <v>158.9</v>
      </c>
      <c r="Q618" s="122">
        <v>154.25</v>
      </c>
      <c r="R618" s="122">
        <v>158.15</v>
      </c>
      <c r="S618" s="122">
        <v>140.53</v>
      </c>
      <c r="T618" s="123">
        <v>3500918</v>
      </c>
    </row>
    <row r="619" spans="6:20" x14ac:dyDescent="0.3">
      <c r="F619" s="124">
        <v>613</v>
      </c>
      <c r="G619" s="33">
        <f t="shared" ca="1" si="22"/>
        <v>2.2569293181257107E-2</v>
      </c>
      <c r="N619" s="118" t="s">
        <v>979</v>
      </c>
      <c r="O619" s="122">
        <v>161.1</v>
      </c>
      <c r="P619" s="122">
        <v>165.65</v>
      </c>
      <c r="Q619" s="122">
        <v>155.35</v>
      </c>
      <c r="R619" s="122">
        <v>157.1</v>
      </c>
      <c r="S619" s="122">
        <v>139.59</v>
      </c>
      <c r="T619" s="123">
        <v>7810191</v>
      </c>
    </row>
    <row r="620" spans="6:20" x14ac:dyDescent="0.3">
      <c r="F620" s="124">
        <v>614</v>
      </c>
      <c r="G620" s="33">
        <f t="shared" ca="1" si="22"/>
        <v>-4.6486897590353335E-2</v>
      </c>
      <c r="N620" s="118" t="s">
        <v>980</v>
      </c>
      <c r="O620" s="122">
        <v>158.35</v>
      </c>
      <c r="P620" s="122">
        <v>164.7</v>
      </c>
      <c r="Q620" s="122">
        <v>156.65</v>
      </c>
      <c r="R620" s="122">
        <v>161</v>
      </c>
      <c r="S620" s="122">
        <v>143.06</v>
      </c>
      <c r="T620" s="123">
        <v>6332913</v>
      </c>
    </row>
    <row r="621" spans="6:20" x14ac:dyDescent="0.3">
      <c r="F621" s="124">
        <v>615</v>
      </c>
      <c r="G621" s="33">
        <f t="shared" ca="1" si="22"/>
        <v>1.9105420839768964E-2</v>
      </c>
      <c r="N621" s="118" t="s">
        <v>981</v>
      </c>
      <c r="O621" s="122">
        <v>145</v>
      </c>
      <c r="P621" s="122">
        <v>163.44999999999999</v>
      </c>
      <c r="Q621" s="122">
        <v>144.65</v>
      </c>
      <c r="R621" s="122">
        <v>161.05000000000001</v>
      </c>
      <c r="S621" s="122">
        <v>143.1</v>
      </c>
      <c r="T621" s="123">
        <v>12745228</v>
      </c>
    </row>
    <row r="622" spans="6:20" x14ac:dyDescent="0.3">
      <c r="F622" s="124">
        <v>616</v>
      </c>
      <c r="G622" s="33">
        <f t="shared" ca="1" si="22"/>
        <v>-4.5133499176158672E-2</v>
      </c>
      <c r="N622" s="118" t="s">
        <v>982</v>
      </c>
      <c r="O622" s="122">
        <v>141.85</v>
      </c>
      <c r="P622" s="122">
        <v>148.5</v>
      </c>
      <c r="Q622" s="122">
        <v>141.15</v>
      </c>
      <c r="R622" s="122">
        <v>146.5</v>
      </c>
      <c r="S622" s="122">
        <v>130.18</v>
      </c>
      <c r="T622" s="123">
        <v>3315523</v>
      </c>
    </row>
    <row r="623" spans="6:20" x14ac:dyDescent="0.3">
      <c r="F623" s="124">
        <v>617</v>
      </c>
      <c r="G623" s="33">
        <f t="shared" ca="1" si="22"/>
        <v>-5.7334815175814631E-2</v>
      </c>
      <c r="N623" s="118" t="s">
        <v>983</v>
      </c>
      <c r="O623" s="122">
        <v>138.15</v>
      </c>
      <c r="P623" s="122">
        <v>143.80000000000001</v>
      </c>
      <c r="Q623" s="122">
        <v>136.6</v>
      </c>
      <c r="R623" s="122">
        <v>141.55000000000001</v>
      </c>
      <c r="S623" s="122">
        <v>125.78</v>
      </c>
      <c r="T623" s="123">
        <v>5047717</v>
      </c>
    </row>
    <row r="624" spans="6:20" x14ac:dyDescent="0.3">
      <c r="F624" s="124">
        <v>618</v>
      </c>
      <c r="G624" s="33">
        <f t="shared" ca="1" si="22"/>
        <v>2.7415417850412006E-2</v>
      </c>
      <c r="N624" s="118" t="s">
        <v>984</v>
      </c>
      <c r="O624" s="122">
        <v>142.19999999999999</v>
      </c>
      <c r="P624" s="122">
        <v>145.75</v>
      </c>
      <c r="Q624" s="122">
        <v>136.80000000000001</v>
      </c>
      <c r="R624" s="122">
        <v>138.94999999999999</v>
      </c>
      <c r="S624" s="122">
        <v>123.47</v>
      </c>
      <c r="T624" s="123">
        <v>4653925</v>
      </c>
    </row>
    <row r="625" spans="6:20" x14ac:dyDescent="0.3">
      <c r="F625" s="124">
        <v>619</v>
      </c>
      <c r="G625" s="33">
        <f t="shared" ca="1" si="22"/>
        <v>4.9348370806054566E-2</v>
      </c>
      <c r="N625" s="118" t="s">
        <v>985</v>
      </c>
      <c r="O625" s="122">
        <v>137</v>
      </c>
      <c r="P625" s="122">
        <v>144.9</v>
      </c>
      <c r="Q625" s="122">
        <v>136.94999999999999</v>
      </c>
      <c r="R625" s="122">
        <v>143.25</v>
      </c>
      <c r="S625" s="122">
        <v>127.29</v>
      </c>
      <c r="T625" s="123">
        <v>9147963</v>
      </c>
    </row>
    <row r="626" spans="6:20" x14ac:dyDescent="0.3">
      <c r="F626" s="124">
        <v>620</v>
      </c>
      <c r="G626" s="33">
        <f t="shared" ca="1" si="22"/>
        <v>2.729271338087463E-2</v>
      </c>
      <c r="N626" s="118" t="s">
        <v>986</v>
      </c>
      <c r="O626" s="122">
        <v>138</v>
      </c>
      <c r="P626" s="122">
        <v>138.85</v>
      </c>
      <c r="Q626" s="122">
        <v>129.80000000000001</v>
      </c>
      <c r="R626" s="122">
        <v>136.94999999999999</v>
      </c>
      <c r="S626" s="122">
        <v>121.69</v>
      </c>
      <c r="T626" s="123">
        <v>3034366</v>
      </c>
    </row>
    <row r="627" spans="6:20" x14ac:dyDescent="0.3">
      <c r="F627" s="124">
        <v>621</v>
      </c>
      <c r="G627" s="33">
        <f t="shared" ca="1" si="22"/>
        <v>4.6477850926496166E-2</v>
      </c>
      <c r="N627" s="118" t="s">
        <v>987</v>
      </c>
      <c r="O627" s="122">
        <v>137</v>
      </c>
      <c r="P627" s="122">
        <v>139.69999999999999</v>
      </c>
      <c r="Q627" s="122">
        <v>132.55000000000001</v>
      </c>
      <c r="R627" s="122">
        <v>133.75</v>
      </c>
      <c r="S627" s="122">
        <v>118.85</v>
      </c>
      <c r="T627" s="123">
        <v>3783659</v>
      </c>
    </row>
    <row r="628" spans="6:20" x14ac:dyDescent="0.3">
      <c r="F628" s="124">
        <v>622</v>
      </c>
      <c r="G628" s="33">
        <f t="shared" ca="1" si="22"/>
        <v>1.3687368633282359E-2</v>
      </c>
      <c r="N628" s="118" t="s">
        <v>988</v>
      </c>
      <c r="O628" s="122">
        <v>135.5</v>
      </c>
      <c r="P628" s="122">
        <v>138</v>
      </c>
      <c r="Q628" s="122">
        <v>132.19999999999999</v>
      </c>
      <c r="R628" s="122">
        <v>137.25</v>
      </c>
      <c r="S628" s="122">
        <v>121.96</v>
      </c>
      <c r="T628" s="123">
        <v>3677995</v>
      </c>
    </row>
    <row r="629" spans="6:20" x14ac:dyDescent="0.3">
      <c r="F629" s="124">
        <v>623</v>
      </c>
      <c r="G629" s="33">
        <f t="shared" ca="1" si="22"/>
        <v>9.4404459777003152E-3</v>
      </c>
      <c r="N629" s="118" t="s">
        <v>989</v>
      </c>
      <c r="O629" s="122">
        <v>123.2</v>
      </c>
      <c r="P629" s="122">
        <v>135.9</v>
      </c>
      <c r="Q629" s="122">
        <v>123.2</v>
      </c>
      <c r="R629" s="122">
        <v>135.15</v>
      </c>
      <c r="S629" s="122">
        <v>120.09</v>
      </c>
      <c r="T629" s="123">
        <v>4271632</v>
      </c>
    </row>
    <row r="630" spans="6:20" x14ac:dyDescent="0.3">
      <c r="F630" s="124">
        <v>624</v>
      </c>
      <c r="G630" s="33">
        <f t="shared" ca="1" si="22"/>
        <v>7.5681137086767811E-2</v>
      </c>
      <c r="N630" s="118" t="s">
        <v>990</v>
      </c>
      <c r="O630" s="122">
        <v>131.55000000000001</v>
      </c>
      <c r="P630" s="122">
        <v>131.55000000000001</v>
      </c>
      <c r="Q630" s="122">
        <v>124.45</v>
      </c>
      <c r="R630" s="122">
        <v>129.5</v>
      </c>
      <c r="S630" s="122">
        <v>115.07</v>
      </c>
      <c r="T630" s="123">
        <v>3695803</v>
      </c>
    </row>
    <row r="631" spans="6:20" x14ac:dyDescent="0.3">
      <c r="F631" s="124">
        <v>625</v>
      </c>
      <c r="G631" s="33">
        <f t="shared" ca="1" si="22"/>
        <v>-5.4674400755221016E-2</v>
      </c>
      <c r="N631" s="118" t="s">
        <v>991</v>
      </c>
      <c r="O631" s="122">
        <v>132.94999999999999</v>
      </c>
      <c r="P631" s="122">
        <v>133.1</v>
      </c>
      <c r="Q631" s="122">
        <v>129.30000000000001</v>
      </c>
      <c r="R631" s="122">
        <v>131.55000000000001</v>
      </c>
      <c r="S631" s="122">
        <v>116.89</v>
      </c>
      <c r="T631" s="123">
        <v>2035282</v>
      </c>
    </row>
    <row r="632" spans="6:20" x14ac:dyDescent="0.3">
      <c r="F632" s="124">
        <v>626</v>
      </c>
      <c r="G632" s="33">
        <f t="shared" ca="1" si="22"/>
        <v>6.0778372325998725E-3</v>
      </c>
      <c r="N632" s="118" t="s">
        <v>992</v>
      </c>
      <c r="O632" s="122">
        <v>131.9</v>
      </c>
      <c r="P632" s="122">
        <v>134.9</v>
      </c>
      <c r="Q632" s="122">
        <v>130.1</v>
      </c>
      <c r="R632" s="122">
        <v>133.15</v>
      </c>
      <c r="S632" s="122">
        <v>118.31</v>
      </c>
      <c r="T632" s="123">
        <v>3987898</v>
      </c>
    </row>
    <row r="633" spans="6:20" x14ac:dyDescent="0.3">
      <c r="F633" s="124">
        <v>627</v>
      </c>
      <c r="G633" s="33">
        <f t="shared" ca="1" si="22"/>
        <v>1.119072710764708E-2</v>
      </c>
      <c r="N633" s="118" t="s">
        <v>993</v>
      </c>
      <c r="O633" s="122">
        <v>133.94999999999999</v>
      </c>
      <c r="P633" s="122">
        <v>134.85</v>
      </c>
      <c r="Q633" s="122">
        <v>130.25</v>
      </c>
      <c r="R633" s="122">
        <v>131.1</v>
      </c>
      <c r="S633" s="122">
        <v>116.49</v>
      </c>
      <c r="T633" s="123">
        <v>8358830</v>
      </c>
    </row>
    <row r="634" spans="6:20" x14ac:dyDescent="0.3">
      <c r="F634" s="124">
        <v>628</v>
      </c>
      <c r="G634" s="33">
        <f t="shared" ca="1" si="22"/>
        <v>-1.1569006862726931E-2</v>
      </c>
      <c r="N634" s="118" t="s">
        <v>994</v>
      </c>
      <c r="O634" s="122">
        <v>129.44999999999999</v>
      </c>
      <c r="P634" s="122">
        <v>137.65</v>
      </c>
      <c r="Q634" s="122">
        <v>127.5</v>
      </c>
      <c r="R634" s="122">
        <v>133.65</v>
      </c>
      <c r="S634" s="122">
        <v>118.76</v>
      </c>
      <c r="T634" s="123">
        <v>8920202</v>
      </c>
    </row>
    <row r="635" spans="6:20" x14ac:dyDescent="0.3">
      <c r="F635" s="124">
        <v>629</v>
      </c>
      <c r="G635" s="33">
        <f t="shared" ca="1" si="22"/>
        <v>8.9368650082276013E-3</v>
      </c>
      <c r="N635" s="118" t="s">
        <v>995</v>
      </c>
      <c r="O635" s="122">
        <v>129</v>
      </c>
      <c r="P635" s="122">
        <v>130.4</v>
      </c>
      <c r="Q635" s="122">
        <v>127</v>
      </c>
      <c r="R635" s="122">
        <v>129.15</v>
      </c>
      <c r="S635" s="122">
        <v>114.76</v>
      </c>
      <c r="T635" s="123">
        <v>3766705</v>
      </c>
    </row>
    <row r="636" spans="6:20" x14ac:dyDescent="0.3">
      <c r="F636" s="124">
        <v>630</v>
      </c>
      <c r="G636" s="33">
        <f t="shared" ca="1" si="22"/>
        <v>-1.5872071779061848E-2</v>
      </c>
      <c r="N636" s="118" t="s">
        <v>996</v>
      </c>
      <c r="O636" s="122">
        <v>126.3</v>
      </c>
      <c r="P636" s="122">
        <v>129.94999999999999</v>
      </c>
      <c r="Q636" s="122">
        <v>124.4</v>
      </c>
      <c r="R636" s="122">
        <v>128.94999999999999</v>
      </c>
      <c r="S636" s="122">
        <v>114.58</v>
      </c>
      <c r="T636" s="123">
        <v>2989049</v>
      </c>
    </row>
    <row r="637" spans="6:20" x14ac:dyDescent="0.3">
      <c r="F637" s="124">
        <v>631</v>
      </c>
      <c r="G637" s="33">
        <f t="shared" ca="1" si="22"/>
        <v>2.2942399785287757E-2</v>
      </c>
      <c r="N637" s="118" t="s">
        <v>997</v>
      </c>
      <c r="O637" s="122">
        <v>128.69999999999999</v>
      </c>
      <c r="P637" s="122">
        <v>133</v>
      </c>
      <c r="Q637" s="122">
        <v>125.2</v>
      </c>
      <c r="R637" s="122">
        <v>126.05</v>
      </c>
      <c r="S637" s="122">
        <v>112</v>
      </c>
      <c r="T637" s="123">
        <v>5062716</v>
      </c>
    </row>
    <row r="638" spans="6:20" x14ac:dyDescent="0.3">
      <c r="F638" s="124">
        <v>632</v>
      </c>
      <c r="G638" s="33">
        <f t="shared" ca="1" si="22"/>
        <v>2.5197645705426756E-2</v>
      </c>
      <c r="N638" s="118" t="s">
        <v>998</v>
      </c>
      <c r="O638" s="122">
        <v>130.35</v>
      </c>
      <c r="P638" s="122">
        <v>133</v>
      </c>
      <c r="Q638" s="122">
        <v>127.6</v>
      </c>
      <c r="R638" s="122">
        <v>128</v>
      </c>
      <c r="S638" s="122">
        <v>113.74</v>
      </c>
      <c r="T638" s="123">
        <v>2448635</v>
      </c>
    </row>
    <row r="639" spans="6:20" x14ac:dyDescent="0.3">
      <c r="F639" s="124">
        <v>633</v>
      </c>
      <c r="G639" s="33">
        <f t="shared" ca="1" si="22"/>
        <v>2.8081643184160097E-2</v>
      </c>
      <c r="N639" s="118" t="s">
        <v>999</v>
      </c>
      <c r="O639" s="122">
        <v>128.55000000000001</v>
      </c>
      <c r="P639" s="122">
        <v>131.35</v>
      </c>
      <c r="Q639" s="122">
        <v>126.6</v>
      </c>
      <c r="R639" s="122">
        <v>129.1</v>
      </c>
      <c r="S639" s="122">
        <v>114.71</v>
      </c>
      <c r="T639" s="123">
        <v>2608872</v>
      </c>
    </row>
    <row r="640" spans="6:20" x14ac:dyDescent="0.3">
      <c r="F640" s="124">
        <v>634</v>
      </c>
      <c r="G640" s="33">
        <f t="shared" ca="1" si="22"/>
        <v>1.6813970556549412E-2</v>
      </c>
      <c r="N640" s="118" t="s">
        <v>1000</v>
      </c>
      <c r="O640" s="122">
        <v>129.4</v>
      </c>
      <c r="P640" s="122">
        <v>130.80000000000001</v>
      </c>
      <c r="Q640" s="122">
        <v>127</v>
      </c>
      <c r="R640" s="122">
        <v>128.25</v>
      </c>
      <c r="S640" s="122">
        <v>113.96</v>
      </c>
      <c r="T640" s="123">
        <v>4455176</v>
      </c>
    </row>
    <row r="641" spans="6:20" x14ac:dyDescent="0.3">
      <c r="F641" s="124">
        <v>635</v>
      </c>
      <c r="G641" s="33">
        <f t="shared" ca="1" si="22"/>
        <v>-4.5963569424748135E-2</v>
      </c>
      <c r="N641" s="118" t="s">
        <v>1001</v>
      </c>
      <c r="O641" s="122">
        <v>130.55000000000001</v>
      </c>
      <c r="P641" s="122">
        <v>132</v>
      </c>
      <c r="Q641" s="122">
        <v>127.1</v>
      </c>
      <c r="R641" s="122">
        <v>129.9</v>
      </c>
      <c r="S641" s="122">
        <v>115.42</v>
      </c>
      <c r="T641" s="123">
        <v>5369888</v>
      </c>
    </row>
    <row r="642" spans="6:20" x14ac:dyDescent="0.3">
      <c r="F642" s="124">
        <v>636</v>
      </c>
      <c r="G642" s="33">
        <f t="shared" ca="1" si="22"/>
        <v>-1.1664117266332628E-2</v>
      </c>
      <c r="N642" s="118" t="s">
        <v>1002</v>
      </c>
      <c r="O642" s="122">
        <v>128.1</v>
      </c>
      <c r="P642" s="122">
        <v>131.94999999999999</v>
      </c>
      <c r="Q642" s="122">
        <v>126.5</v>
      </c>
      <c r="R642" s="122">
        <v>130.05000000000001</v>
      </c>
      <c r="S642" s="122">
        <v>115.56</v>
      </c>
      <c r="T642" s="123">
        <v>4360175</v>
      </c>
    </row>
    <row r="643" spans="6:20" x14ac:dyDescent="0.3">
      <c r="F643" s="124">
        <v>637</v>
      </c>
      <c r="G643" s="33">
        <f t="shared" ca="1" si="22"/>
        <v>7.83302075422143E-2</v>
      </c>
      <c r="N643" s="118" t="s">
        <v>1003</v>
      </c>
      <c r="O643" s="122">
        <v>123.5</v>
      </c>
      <c r="P643" s="122">
        <v>128.80000000000001</v>
      </c>
      <c r="Q643" s="122">
        <v>121.4</v>
      </c>
      <c r="R643" s="122">
        <v>128.05000000000001</v>
      </c>
      <c r="S643" s="122">
        <v>113.78</v>
      </c>
      <c r="T643" s="123">
        <v>5412045</v>
      </c>
    </row>
    <row r="644" spans="6:20" x14ac:dyDescent="0.3">
      <c r="F644" s="124">
        <v>638</v>
      </c>
      <c r="G644" s="33">
        <f t="shared" ca="1" si="22"/>
        <v>3.0332199135746571E-3</v>
      </c>
      <c r="N644" s="118" t="s">
        <v>1004</v>
      </c>
      <c r="O644" s="122">
        <v>126</v>
      </c>
      <c r="P644" s="122">
        <v>126.6</v>
      </c>
      <c r="Q644" s="122">
        <v>121</v>
      </c>
      <c r="R644" s="122">
        <v>122.15</v>
      </c>
      <c r="S644" s="122">
        <v>108.54</v>
      </c>
      <c r="T644" s="123">
        <v>3486818</v>
      </c>
    </row>
    <row r="645" spans="6:20" x14ac:dyDescent="0.3">
      <c r="F645" s="124">
        <v>639</v>
      </c>
      <c r="G645" s="33">
        <f t="shared" ca="1" si="22"/>
        <v>1.376772689790396E-2</v>
      </c>
      <c r="N645" s="118" t="s">
        <v>1005</v>
      </c>
      <c r="O645" s="122">
        <v>128</v>
      </c>
      <c r="P645" s="122">
        <v>130</v>
      </c>
      <c r="Q645" s="122">
        <v>124.8</v>
      </c>
      <c r="R645" s="122">
        <v>125.6</v>
      </c>
      <c r="S645" s="122">
        <v>111.6</v>
      </c>
      <c r="T645" s="123">
        <v>2036667</v>
      </c>
    </row>
    <row r="646" spans="6:20" x14ac:dyDescent="0.3">
      <c r="F646" s="124">
        <v>640</v>
      </c>
      <c r="G646" s="33">
        <f t="shared" ca="1" si="22"/>
        <v>2.8219925382741779E-2</v>
      </c>
      <c r="N646" s="118" t="s">
        <v>1006</v>
      </c>
      <c r="O646" s="122">
        <v>125</v>
      </c>
      <c r="P646" s="122">
        <v>129.75</v>
      </c>
      <c r="Q646" s="122">
        <v>124.6</v>
      </c>
      <c r="R646" s="122">
        <v>128</v>
      </c>
      <c r="S646" s="122">
        <v>113.74</v>
      </c>
      <c r="T646" s="123">
        <v>4356223</v>
      </c>
    </row>
    <row r="647" spans="6:20" x14ac:dyDescent="0.3">
      <c r="F647" s="124">
        <v>641</v>
      </c>
      <c r="G647" s="33">
        <f t="shared" ca="1" si="22"/>
        <v>-6.4655792257066996E-2</v>
      </c>
      <c r="N647" s="118" t="s">
        <v>1007</v>
      </c>
      <c r="O647" s="317" t="s">
        <v>1008</v>
      </c>
      <c r="P647" s="317"/>
      <c r="Q647" s="317"/>
      <c r="R647" s="317"/>
      <c r="S647" s="317"/>
      <c r="T647" s="317"/>
    </row>
    <row r="648" spans="6:20" x14ac:dyDescent="0.3">
      <c r="F648" s="124">
        <v>642</v>
      </c>
      <c r="G648" s="33">
        <f t="shared" ref="G648:G711" ca="1" si="23">_xlfn.NORM.INV(RAND(),$M$9,$M$10)</f>
        <v>6.3365766004443977E-2</v>
      </c>
      <c r="N648" s="118" t="s">
        <v>1009</v>
      </c>
      <c r="O648" s="122">
        <v>130</v>
      </c>
      <c r="P648" s="122">
        <v>130.65</v>
      </c>
      <c r="Q648" s="122">
        <v>123.3</v>
      </c>
      <c r="R648" s="122">
        <v>124.95</v>
      </c>
      <c r="S648" s="122">
        <v>110.45</v>
      </c>
      <c r="T648" s="123">
        <v>5004671</v>
      </c>
    </row>
    <row r="649" spans="6:20" x14ac:dyDescent="0.3">
      <c r="F649" s="124">
        <v>643</v>
      </c>
      <c r="G649" s="33">
        <f t="shared" ca="1" si="23"/>
        <v>-1.6637347329772706E-2</v>
      </c>
      <c r="N649" s="118" t="s">
        <v>1010</v>
      </c>
      <c r="O649" s="122">
        <v>130</v>
      </c>
      <c r="P649" s="122">
        <v>134.80000000000001</v>
      </c>
      <c r="Q649" s="122">
        <v>129.80000000000001</v>
      </c>
      <c r="R649" s="122">
        <v>132.80000000000001</v>
      </c>
      <c r="S649" s="122">
        <v>117.39</v>
      </c>
      <c r="T649" s="123">
        <v>4670386</v>
      </c>
    </row>
    <row r="650" spans="6:20" x14ac:dyDescent="0.3">
      <c r="F650" s="124">
        <v>644</v>
      </c>
      <c r="G650" s="33">
        <f t="shared" ca="1" si="23"/>
        <v>-7.3309496350527524E-3</v>
      </c>
      <c r="N650" s="118" t="s">
        <v>1011</v>
      </c>
      <c r="O650" s="122">
        <v>136</v>
      </c>
      <c r="P650" s="122">
        <v>138.9</v>
      </c>
      <c r="Q650" s="122">
        <v>129.4</v>
      </c>
      <c r="R650" s="122">
        <v>130.19999999999999</v>
      </c>
      <c r="S650" s="122">
        <v>115.09</v>
      </c>
      <c r="T650" s="123">
        <v>6017582</v>
      </c>
    </row>
    <row r="651" spans="6:20" x14ac:dyDescent="0.3">
      <c r="F651" s="124">
        <v>645</v>
      </c>
      <c r="G651" s="33">
        <f t="shared" ca="1" si="23"/>
        <v>3.5917963876066723E-2</v>
      </c>
      <c r="N651" s="118" t="s">
        <v>1012</v>
      </c>
      <c r="O651" s="122">
        <v>134.85</v>
      </c>
      <c r="P651" s="122">
        <v>136.5</v>
      </c>
      <c r="Q651" s="122">
        <v>128.25</v>
      </c>
      <c r="R651" s="122">
        <v>135.30000000000001</v>
      </c>
      <c r="S651" s="122">
        <v>119.6</v>
      </c>
      <c r="T651" s="123">
        <v>3629987</v>
      </c>
    </row>
    <row r="652" spans="6:20" x14ac:dyDescent="0.3">
      <c r="F652" s="124">
        <v>646</v>
      </c>
      <c r="G652" s="33">
        <f t="shared" ca="1" si="23"/>
        <v>-4.0776711616793658E-2</v>
      </c>
      <c r="N652" s="118" t="s">
        <v>1013</v>
      </c>
      <c r="O652" s="122">
        <v>129.15</v>
      </c>
      <c r="P652" s="122">
        <v>133.80000000000001</v>
      </c>
      <c r="Q652" s="122">
        <v>126.4</v>
      </c>
      <c r="R652" s="122">
        <v>132.9</v>
      </c>
      <c r="S652" s="122">
        <v>117.47</v>
      </c>
      <c r="T652" s="123">
        <v>5363614</v>
      </c>
    </row>
    <row r="653" spans="6:20" x14ac:dyDescent="0.3">
      <c r="F653" s="124">
        <v>647</v>
      </c>
      <c r="G653" s="33">
        <f t="shared" ca="1" si="23"/>
        <v>-2.6197054755678559E-3</v>
      </c>
      <c r="N653" s="118" t="s">
        <v>1014</v>
      </c>
      <c r="O653" s="122">
        <v>125.05</v>
      </c>
      <c r="P653" s="122">
        <v>132</v>
      </c>
      <c r="Q653" s="122">
        <v>122.9</v>
      </c>
      <c r="R653" s="122">
        <v>128</v>
      </c>
      <c r="S653" s="122">
        <v>113.14</v>
      </c>
      <c r="T653" s="123">
        <v>7041804</v>
      </c>
    </row>
    <row r="654" spans="6:20" x14ac:dyDescent="0.3">
      <c r="F654" s="124">
        <v>648</v>
      </c>
      <c r="G654" s="33">
        <f t="shared" ca="1" si="23"/>
        <v>4.8423367473786991E-2</v>
      </c>
      <c r="N654" s="118" t="s">
        <v>1015</v>
      </c>
      <c r="O654" s="122">
        <v>128.35</v>
      </c>
      <c r="P654" s="122">
        <v>128.44999999999999</v>
      </c>
      <c r="Q654" s="122">
        <v>122.5</v>
      </c>
      <c r="R654" s="122">
        <v>125.5</v>
      </c>
      <c r="S654" s="122">
        <v>110.93</v>
      </c>
      <c r="T654" s="123">
        <v>7365349</v>
      </c>
    </row>
    <row r="655" spans="6:20" x14ac:dyDescent="0.3">
      <c r="F655" s="124">
        <v>649</v>
      </c>
      <c r="G655" s="33">
        <f t="shared" ca="1" si="23"/>
        <v>1.7439831672939794E-2</v>
      </c>
      <c r="N655" s="118" t="s">
        <v>1016</v>
      </c>
      <c r="O655" s="122">
        <v>129.80000000000001</v>
      </c>
      <c r="P655" s="122">
        <v>133.05000000000001</v>
      </c>
      <c r="Q655" s="122">
        <v>126.3</v>
      </c>
      <c r="R655" s="122">
        <v>127.25</v>
      </c>
      <c r="S655" s="122">
        <v>112.48</v>
      </c>
      <c r="T655" s="123">
        <v>6404799</v>
      </c>
    </row>
    <row r="656" spans="6:20" x14ac:dyDescent="0.3">
      <c r="F656" s="124">
        <v>650</v>
      </c>
      <c r="G656" s="33">
        <f t="shared" ca="1" si="23"/>
        <v>-2.7436187118512331E-3</v>
      </c>
      <c r="N656" s="118" t="s">
        <v>1017</v>
      </c>
      <c r="O656" s="122">
        <v>124.55</v>
      </c>
      <c r="P656" s="122">
        <v>129.80000000000001</v>
      </c>
      <c r="Q656" s="122">
        <v>123.5</v>
      </c>
      <c r="R656" s="122">
        <v>128.5</v>
      </c>
      <c r="S656" s="122">
        <v>113.59</v>
      </c>
      <c r="T656" s="123">
        <v>8595684</v>
      </c>
    </row>
    <row r="657" spans="6:20" x14ac:dyDescent="0.3">
      <c r="F657" s="124">
        <v>651</v>
      </c>
      <c r="G657" s="33">
        <f t="shared" ca="1" si="23"/>
        <v>-1.4216772441123807E-2</v>
      </c>
      <c r="N657" s="118" t="s">
        <v>1018</v>
      </c>
      <c r="O657" s="122">
        <v>122.3</v>
      </c>
      <c r="P657" s="122">
        <v>126.65</v>
      </c>
      <c r="Q657" s="122">
        <v>120</v>
      </c>
      <c r="R657" s="122">
        <v>122.55</v>
      </c>
      <c r="S657" s="122">
        <v>108.33</v>
      </c>
      <c r="T657" s="123">
        <v>6712288</v>
      </c>
    </row>
    <row r="658" spans="6:20" x14ac:dyDescent="0.3">
      <c r="F658" s="124">
        <v>652</v>
      </c>
      <c r="G658" s="33">
        <f t="shared" ca="1" si="23"/>
        <v>-2.5708915135985704E-2</v>
      </c>
      <c r="N658" s="118" t="s">
        <v>1019</v>
      </c>
      <c r="O658" s="122">
        <v>119.25</v>
      </c>
      <c r="P658" s="122">
        <v>123.45</v>
      </c>
      <c r="Q658" s="122">
        <v>117.8</v>
      </c>
      <c r="R658" s="122">
        <v>123.05</v>
      </c>
      <c r="S658" s="122">
        <v>108.77</v>
      </c>
      <c r="T658" s="123">
        <v>2595333</v>
      </c>
    </row>
    <row r="659" spans="6:20" x14ac:dyDescent="0.3">
      <c r="F659" s="124">
        <v>653</v>
      </c>
      <c r="G659" s="33">
        <f t="shared" ca="1" si="23"/>
        <v>2.9388256448536269E-2</v>
      </c>
      <c r="N659" s="118" t="s">
        <v>1020</v>
      </c>
      <c r="O659" s="122">
        <v>121.15</v>
      </c>
      <c r="P659" s="122">
        <v>124.8</v>
      </c>
      <c r="Q659" s="122">
        <v>117.3</v>
      </c>
      <c r="R659" s="122">
        <v>119.25</v>
      </c>
      <c r="S659" s="122">
        <v>105.41</v>
      </c>
      <c r="T659" s="123">
        <v>4084661</v>
      </c>
    </row>
    <row r="660" spans="6:20" x14ac:dyDescent="0.3">
      <c r="F660" s="124">
        <v>654</v>
      </c>
      <c r="G660" s="33">
        <f t="shared" ca="1" si="23"/>
        <v>3.0896092038586072E-2</v>
      </c>
      <c r="N660" s="118" t="s">
        <v>1021</v>
      </c>
      <c r="O660" s="122">
        <v>121.8</v>
      </c>
      <c r="P660" s="122">
        <v>121.8</v>
      </c>
      <c r="Q660" s="122">
        <v>118.6</v>
      </c>
      <c r="R660" s="122">
        <v>120</v>
      </c>
      <c r="S660" s="122">
        <v>106.07</v>
      </c>
      <c r="T660" s="123">
        <v>5080154</v>
      </c>
    </row>
    <row r="661" spans="6:20" x14ac:dyDescent="0.3">
      <c r="F661" s="124">
        <v>655</v>
      </c>
      <c r="G661" s="33">
        <f t="shared" ca="1" si="23"/>
        <v>-1.9258808964081633E-2</v>
      </c>
      <c r="N661" s="118" t="s">
        <v>1022</v>
      </c>
      <c r="O661" s="122">
        <v>118.7</v>
      </c>
      <c r="P661" s="122">
        <v>122</v>
      </c>
      <c r="Q661" s="122">
        <v>117.95</v>
      </c>
      <c r="R661" s="122">
        <v>121.5</v>
      </c>
      <c r="S661" s="122">
        <v>107.4</v>
      </c>
      <c r="T661" s="123">
        <v>7039346</v>
      </c>
    </row>
    <row r="662" spans="6:20" x14ac:dyDescent="0.3">
      <c r="F662" s="124">
        <v>656</v>
      </c>
      <c r="G662" s="33">
        <f t="shared" ca="1" si="23"/>
        <v>2.1047184342945603E-2</v>
      </c>
      <c r="N662" s="118" t="s">
        <v>1023</v>
      </c>
      <c r="O662" s="122">
        <v>119.4</v>
      </c>
      <c r="P662" s="122">
        <v>120</v>
      </c>
      <c r="Q662" s="122">
        <v>115</v>
      </c>
      <c r="R662" s="122">
        <v>118.7</v>
      </c>
      <c r="S662" s="122">
        <v>104.92</v>
      </c>
      <c r="T662" s="123">
        <v>7161383</v>
      </c>
    </row>
    <row r="663" spans="6:20" x14ac:dyDescent="0.3">
      <c r="F663" s="124">
        <v>657</v>
      </c>
      <c r="G663" s="33">
        <f t="shared" ca="1" si="23"/>
        <v>-4.0122278148626719E-2</v>
      </c>
      <c r="N663" s="118" t="s">
        <v>1024</v>
      </c>
      <c r="O663" s="122">
        <v>114.6</v>
      </c>
      <c r="P663" s="122">
        <v>119</v>
      </c>
      <c r="Q663" s="122">
        <v>112.65</v>
      </c>
      <c r="R663" s="122">
        <v>118.35</v>
      </c>
      <c r="S663" s="122">
        <v>104.61</v>
      </c>
      <c r="T663" s="123">
        <v>3910667</v>
      </c>
    </row>
    <row r="664" spans="6:20" x14ac:dyDescent="0.3">
      <c r="F664" s="124">
        <v>658</v>
      </c>
      <c r="G664" s="33">
        <f t="shared" ca="1" si="23"/>
        <v>3.8396990483155076E-3</v>
      </c>
      <c r="N664" s="118" t="s">
        <v>1025</v>
      </c>
      <c r="O664" s="122">
        <v>115</v>
      </c>
      <c r="P664" s="122">
        <v>117</v>
      </c>
      <c r="Q664" s="122">
        <v>114.15</v>
      </c>
      <c r="R664" s="122">
        <v>114.55</v>
      </c>
      <c r="S664" s="122">
        <v>101.25</v>
      </c>
      <c r="T664" s="123">
        <v>3548761</v>
      </c>
    </row>
    <row r="665" spans="6:20" x14ac:dyDescent="0.3">
      <c r="F665" s="124">
        <v>659</v>
      </c>
      <c r="G665" s="33">
        <f t="shared" ca="1" si="23"/>
        <v>-6.6151973600037467E-2</v>
      </c>
      <c r="N665" s="118" t="s">
        <v>1026</v>
      </c>
      <c r="O665" s="122">
        <v>114.5</v>
      </c>
      <c r="P665" s="122">
        <v>115.45</v>
      </c>
      <c r="Q665" s="122">
        <v>112.7</v>
      </c>
      <c r="R665" s="122">
        <v>115.1</v>
      </c>
      <c r="S665" s="122">
        <v>101.74</v>
      </c>
      <c r="T665" s="123">
        <v>3295734</v>
      </c>
    </row>
    <row r="666" spans="6:20" x14ac:dyDescent="0.3">
      <c r="F666" s="124">
        <v>660</v>
      </c>
      <c r="G666" s="33">
        <f t="shared" ca="1" si="23"/>
        <v>2.0506379624968579E-2</v>
      </c>
      <c r="N666" s="118" t="s">
        <v>1027</v>
      </c>
      <c r="O666" s="317" t="s">
        <v>863</v>
      </c>
      <c r="P666" s="317"/>
      <c r="Q666" s="317"/>
      <c r="R666" s="317"/>
      <c r="S666" s="317"/>
      <c r="T666" s="317"/>
    </row>
    <row r="667" spans="6:20" x14ac:dyDescent="0.3">
      <c r="F667" s="124">
        <v>661</v>
      </c>
      <c r="G667" s="33">
        <f t="shared" ca="1" si="23"/>
        <v>5.3897033291774372E-2</v>
      </c>
      <c r="N667" s="118" t="s">
        <v>1028</v>
      </c>
      <c r="O667" s="122">
        <v>111.1</v>
      </c>
      <c r="P667" s="122">
        <v>116</v>
      </c>
      <c r="Q667" s="122">
        <v>110.8</v>
      </c>
      <c r="R667" s="122">
        <v>114.55</v>
      </c>
      <c r="S667" s="122">
        <v>100.58</v>
      </c>
      <c r="T667" s="123">
        <v>4014422</v>
      </c>
    </row>
    <row r="668" spans="6:20" x14ac:dyDescent="0.3">
      <c r="F668" s="124">
        <v>662</v>
      </c>
      <c r="G668" s="33">
        <f t="shared" ca="1" si="23"/>
        <v>-3.5005389935948782E-2</v>
      </c>
      <c r="N668" s="118" t="s">
        <v>1029</v>
      </c>
      <c r="O668" s="122">
        <v>111.85</v>
      </c>
      <c r="P668" s="122">
        <v>114.95</v>
      </c>
      <c r="Q668" s="122">
        <v>107</v>
      </c>
      <c r="R668" s="122">
        <v>111.9</v>
      </c>
      <c r="S668" s="122">
        <v>98.26</v>
      </c>
      <c r="T668" s="123">
        <v>4226194</v>
      </c>
    </row>
    <row r="669" spans="6:20" x14ac:dyDescent="0.3">
      <c r="F669" s="124">
        <v>663</v>
      </c>
      <c r="G669" s="33">
        <f t="shared" ca="1" si="23"/>
        <v>8.6676882872254758E-3</v>
      </c>
      <c r="N669" s="118" t="s">
        <v>1030</v>
      </c>
      <c r="O669" s="122">
        <v>103.65</v>
      </c>
      <c r="P669" s="122">
        <v>112.2</v>
      </c>
      <c r="Q669" s="122">
        <v>103.65</v>
      </c>
      <c r="R669" s="122">
        <v>110.85</v>
      </c>
      <c r="S669" s="122">
        <v>97.34</v>
      </c>
      <c r="T669" s="123">
        <v>14803031</v>
      </c>
    </row>
    <row r="670" spans="6:20" x14ac:dyDescent="0.3">
      <c r="F670" s="124">
        <v>664</v>
      </c>
      <c r="G670" s="33">
        <f t="shared" ca="1" si="23"/>
        <v>-4.8807599008200827E-4</v>
      </c>
      <c r="N670" s="118" t="s">
        <v>1031</v>
      </c>
      <c r="O670" s="122">
        <v>103.2</v>
      </c>
      <c r="P670" s="122">
        <v>108.1</v>
      </c>
      <c r="Q670" s="122">
        <v>100.6</v>
      </c>
      <c r="R670" s="122">
        <v>103.5</v>
      </c>
      <c r="S670" s="122">
        <v>90.88</v>
      </c>
      <c r="T670" s="123">
        <v>8465638</v>
      </c>
    </row>
    <row r="671" spans="6:20" x14ac:dyDescent="0.3">
      <c r="F671" s="124">
        <v>665</v>
      </c>
      <c r="G671" s="33">
        <f t="shared" ca="1" si="23"/>
        <v>-4.3135121158566943E-2</v>
      </c>
      <c r="N671" s="118" t="s">
        <v>1032</v>
      </c>
      <c r="O671" s="122">
        <v>105.05</v>
      </c>
      <c r="P671" s="122">
        <v>105.4</v>
      </c>
      <c r="Q671" s="122">
        <v>101.25</v>
      </c>
      <c r="R671" s="122">
        <v>103.2</v>
      </c>
      <c r="S671" s="122">
        <v>90.62</v>
      </c>
      <c r="T671" s="123">
        <v>3146837</v>
      </c>
    </row>
    <row r="672" spans="6:20" x14ac:dyDescent="0.3">
      <c r="F672" s="124">
        <v>666</v>
      </c>
      <c r="G672" s="33">
        <f t="shared" ca="1" si="23"/>
        <v>-3.9060105553609366E-3</v>
      </c>
      <c r="N672" s="118" t="s">
        <v>1033</v>
      </c>
      <c r="O672" s="122">
        <v>106.1</v>
      </c>
      <c r="P672" s="122">
        <v>106.1</v>
      </c>
      <c r="Q672" s="122">
        <v>103.8</v>
      </c>
      <c r="R672" s="122">
        <v>103.95</v>
      </c>
      <c r="S672" s="122">
        <v>91.28</v>
      </c>
      <c r="T672" s="123">
        <v>1951718</v>
      </c>
    </row>
    <row r="673" spans="6:20" x14ac:dyDescent="0.3">
      <c r="F673" s="124">
        <v>667</v>
      </c>
      <c r="G673" s="33">
        <f t="shared" ca="1" si="23"/>
        <v>1.0995863374704134E-2</v>
      </c>
      <c r="N673" s="118" t="s">
        <v>1034</v>
      </c>
      <c r="O673" s="122">
        <v>105.7</v>
      </c>
      <c r="P673" s="122">
        <v>109.35</v>
      </c>
      <c r="Q673" s="122">
        <v>103</v>
      </c>
      <c r="R673" s="122">
        <v>105.85</v>
      </c>
      <c r="S673" s="122">
        <v>92.94</v>
      </c>
      <c r="T673" s="123">
        <v>6452989</v>
      </c>
    </row>
    <row r="674" spans="6:20" x14ac:dyDescent="0.3">
      <c r="F674" s="124">
        <v>668</v>
      </c>
      <c r="G674" s="33">
        <f t="shared" ca="1" si="23"/>
        <v>-2.6866145403954902E-2</v>
      </c>
      <c r="N674" s="118" t="s">
        <v>1035</v>
      </c>
      <c r="O674" s="122">
        <v>105</v>
      </c>
      <c r="P674" s="122">
        <v>108.45</v>
      </c>
      <c r="Q674" s="122">
        <v>104.5</v>
      </c>
      <c r="R674" s="122">
        <v>104.7</v>
      </c>
      <c r="S674" s="122">
        <v>91.94</v>
      </c>
      <c r="T674" s="123">
        <v>5759887</v>
      </c>
    </row>
    <row r="675" spans="6:20" x14ac:dyDescent="0.3">
      <c r="F675" s="124">
        <v>669</v>
      </c>
      <c r="G675" s="33">
        <f t="shared" ca="1" si="23"/>
        <v>-3.293502704421291E-2</v>
      </c>
      <c r="N675" s="118" t="s">
        <v>1036</v>
      </c>
      <c r="O675" s="122">
        <v>111.85</v>
      </c>
      <c r="P675" s="122">
        <v>113.45</v>
      </c>
      <c r="Q675" s="122">
        <v>103.9</v>
      </c>
      <c r="R675" s="122">
        <v>106.9</v>
      </c>
      <c r="S675" s="122">
        <v>93.87</v>
      </c>
      <c r="T675" s="123">
        <v>11875556</v>
      </c>
    </row>
    <row r="676" spans="6:20" x14ac:dyDescent="0.3">
      <c r="F676" s="124">
        <v>670</v>
      </c>
      <c r="G676" s="33">
        <f t="shared" ca="1" si="23"/>
        <v>-4.4627921975062303E-2</v>
      </c>
      <c r="N676" s="118" t="s">
        <v>1037</v>
      </c>
      <c r="O676" s="122">
        <v>112.85</v>
      </c>
      <c r="P676" s="122">
        <v>114.45</v>
      </c>
      <c r="Q676" s="122">
        <v>109</v>
      </c>
      <c r="R676" s="122">
        <v>109.6</v>
      </c>
      <c r="S676" s="122">
        <v>96.24</v>
      </c>
      <c r="T676" s="123">
        <v>3701125</v>
      </c>
    </row>
    <row r="677" spans="6:20" x14ac:dyDescent="0.3">
      <c r="F677" s="124">
        <v>671</v>
      </c>
      <c r="G677" s="33">
        <f t="shared" ca="1" si="23"/>
        <v>-2.2196680488131733E-2</v>
      </c>
      <c r="N677" s="118" t="s">
        <v>1038</v>
      </c>
      <c r="O677" s="122">
        <v>109</v>
      </c>
      <c r="P677" s="122">
        <v>114.1</v>
      </c>
      <c r="Q677" s="122">
        <v>109</v>
      </c>
      <c r="R677" s="122">
        <v>112.75</v>
      </c>
      <c r="S677" s="122">
        <v>99</v>
      </c>
      <c r="T677" s="123">
        <v>5566890</v>
      </c>
    </row>
    <row r="678" spans="6:20" x14ac:dyDescent="0.3">
      <c r="F678" s="124">
        <v>672</v>
      </c>
      <c r="G678" s="33">
        <f t="shared" ca="1" si="23"/>
        <v>-3.5779819078071047E-2</v>
      </c>
      <c r="N678" s="118" t="s">
        <v>1039</v>
      </c>
      <c r="O678" s="122">
        <v>106</v>
      </c>
      <c r="P678" s="122">
        <v>112</v>
      </c>
      <c r="Q678" s="122">
        <v>103.1</v>
      </c>
      <c r="R678" s="122">
        <v>108.95</v>
      </c>
      <c r="S678" s="122">
        <v>95.67</v>
      </c>
      <c r="T678" s="123">
        <v>5530086</v>
      </c>
    </row>
    <row r="679" spans="6:20" x14ac:dyDescent="0.3">
      <c r="F679" s="124">
        <v>673</v>
      </c>
      <c r="G679" s="33">
        <f t="shared" ca="1" si="23"/>
        <v>-7.1465548774611046E-2</v>
      </c>
      <c r="N679" s="118" t="s">
        <v>1040</v>
      </c>
      <c r="O679" s="122">
        <v>106.5</v>
      </c>
      <c r="P679" s="122">
        <v>107.4</v>
      </c>
      <c r="Q679" s="122">
        <v>105.2</v>
      </c>
      <c r="R679" s="122">
        <v>105.75</v>
      </c>
      <c r="S679" s="122">
        <v>92.86</v>
      </c>
      <c r="T679" s="123">
        <v>1370077</v>
      </c>
    </row>
    <row r="680" spans="6:20" x14ac:dyDescent="0.3">
      <c r="F680" s="124">
        <v>674</v>
      </c>
      <c r="G680" s="33">
        <f t="shared" ca="1" si="23"/>
        <v>2.8788317113547117E-2</v>
      </c>
      <c r="N680" s="118" t="s">
        <v>1041</v>
      </c>
      <c r="O680" s="122">
        <v>106</v>
      </c>
      <c r="P680" s="122">
        <v>107</v>
      </c>
      <c r="Q680" s="122">
        <v>102.05</v>
      </c>
      <c r="R680" s="122">
        <v>106.6</v>
      </c>
      <c r="S680" s="122">
        <v>93.6</v>
      </c>
      <c r="T680" s="123">
        <v>3334532</v>
      </c>
    </row>
    <row r="681" spans="6:20" x14ac:dyDescent="0.3">
      <c r="F681" s="124">
        <v>675</v>
      </c>
      <c r="G681" s="33">
        <f t="shared" ca="1" si="23"/>
        <v>2.9822150676631332E-3</v>
      </c>
      <c r="N681" s="118" t="s">
        <v>1042</v>
      </c>
      <c r="O681" s="122">
        <v>103.15</v>
      </c>
      <c r="P681" s="122">
        <v>108.3</v>
      </c>
      <c r="Q681" s="122">
        <v>102.15</v>
      </c>
      <c r="R681" s="122">
        <v>106.4</v>
      </c>
      <c r="S681" s="122">
        <v>93.43</v>
      </c>
      <c r="T681" s="123">
        <v>6539784</v>
      </c>
    </row>
    <row r="682" spans="6:20" x14ac:dyDescent="0.3">
      <c r="F682" s="124">
        <v>676</v>
      </c>
      <c r="G682" s="33">
        <f t="shared" ca="1" si="23"/>
        <v>-3.3574605468601531E-3</v>
      </c>
      <c r="N682" s="118" t="s">
        <v>1043</v>
      </c>
      <c r="O682" s="122">
        <v>103</v>
      </c>
      <c r="P682" s="122">
        <v>104.45</v>
      </c>
      <c r="Q682" s="122">
        <v>100.95</v>
      </c>
      <c r="R682" s="122">
        <v>103.1</v>
      </c>
      <c r="S682" s="122">
        <v>90.53</v>
      </c>
      <c r="T682" s="123">
        <v>3488016</v>
      </c>
    </row>
    <row r="683" spans="6:20" x14ac:dyDescent="0.3">
      <c r="F683" s="124">
        <v>677</v>
      </c>
      <c r="G683" s="33">
        <f t="shared" ca="1" si="23"/>
        <v>6.7647380475941613E-2</v>
      </c>
      <c r="N683" s="118" t="s">
        <v>1044</v>
      </c>
      <c r="O683" s="122">
        <v>106</v>
      </c>
      <c r="P683" s="122">
        <v>106.05</v>
      </c>
      <c r="Q683" s="122">
        <v>102</v>
      </c>
      <c r="R683" s="122">
        <v>103</v>
      </c>
      <c r="S683" s="122">
        <v>90.44</v>
      </c>
      <c r="T683" s="123">
        <v>2129924</v>
      </c>
    </row>
    <row r="684" spans="6:20" x14ac:dyDescent="0.3">
      <c r="F684" s="124">
        <v>678</v>
      </c>
      <c r="G684" s="33">
        <f t="shared" ca="1" si="23"/>
        <v>3.7940762582172579E-3</v>
      </c>
      <c r="N684" s="118" t="s">
        <v>1045</v>
      </c>
      <c r="O684" s="122">
        <v>102.1</v>
      </c>
      <c r="P684" s="122">
        <v>106</v>
      </c>
      <c r="Q684" s="122">
        <v>102</v>
      </c>
      <c r="R684" s="122">
        <v>105.2</v>
      </c>
      <c r="S684" s="122">
        <v>92.37</v>
      </c>
      <c r="T684" s="123">
        <v>5785068</v>
      </c>
    </row>
    <row r="685" spans="6:20" x14ac:dyDescent="0.3">
      <c r="F685" s="124">
        <v>679</v>
      </c>
      <c r="G685" s="33">
        <f t="shared" ca="1" si="23"/>
        <v>5.7273613866799366E-3</v>
      </c>
      <c r="N685" s="118" t="s">
        <v>1046</v>
      </c>
      <c r="O685" s="122">
        <v>104.5</v>
      </c>
      <c r="P685" s="122">
        <v>106.9</v>
      </c>
      <c r="Q685" s="122">
        <v>96.25</v>
      </c>
      <c r="R685" s="122">
        <v>103.05</v>
      </c>
      <c r="S685" s="122">
        <v>90.49</v>
      </c>
      <c r="T685" s="123">
        <v>5639822</v>
      </c>
    </row>
    <row r="686" spans="6:20" x14ac:dyDescent="0.3">
      <c r="F686" s="124">
        <v>680</v>
      </c>
      <c r="G686" s="33">
        <f t="shared" ca="1" si="23"/>
        <v>7.8185184782587425E-4</v>
      </c>
      <c r="N686" s="118" t="s">
        <v>1047</v>
      </c>
      <c r="O686" s="122">
        <v>100</v>
      </c>
      <c r="P686" s="122">
        <v>105.25</v>
      </c>
      <c r="Q686" s="122">
        <v>99.9</v>
      </c>
      <c r="R686" s="122">
        <v>104.5</v>
      </c>
      <c r="S686" s="122">
        <v>91.76</v>
      </c>
      <c r="T686" s="123">
        <v>7738564</v>
      </c>
    </row>
    <row r="687" spans="6:20" x14ac:dyDescent="0.3">
      <c r="F687" s="124">
        <v>681</v>
      </c>
      <c r="G687" s="33">
        <f t="shared" ca="1" si="23"/>
        <v>5.1210998717722167E-2</v>
      </c>
      <c r="N687" s="118" t="s">
        <v>1048</v>
      </c>
      <c r="O687" s="122">
        <v>101</v>
      </c>
      <c r="P687" s="122">
        <v>104</v>
      </c>
      <c r="Q687" s="122">
        <v>97.2</v>
      </c>
      <c r="R687" s="122">
        <v>103.05</v>
      </c>
      <c r="S687" s="122">
        <v>90.49</v>
      </c>
      <c r="T687" s="123">
        <v>9055307</v>
      </c>
    </row>
    <row r="688" spans="6:20" x14ac:dyDescent="0.3">
      <c r="F688" s="124">
        <v>682</v>
      </c>
      <c r="G688" s="33">
        <f t="shared" ca="1" si="23"/>
        <v>-1.7089703558046305E-2</v>
      </c>
      <c r="N688" s="118" t="s">
        <v>1049</v>
      </c>
      <c r="O688" s="122">
        <v>95</v>
      </c>
      <c r="P688" s="122">
        <v>98.2</v>
      </c>
      <c r="Q688" s="122">
        <v>92</v>
      </c>
      <c r="R688" s="122">
        <v>97.9</v>
      </c>
      <c r="S688" s="122">
        <v>85.96</v>
      </c>
      <c r="T688" s="123">
        <v>20903561</v>
      </c>
    </row>
    <row r="689" spans="6:20" x14ac:dyDescent="0.3">
      <c r="F689" s="124">
        <v>683</v>
      </c>
      <c r="G689" s="33">
        <f t="shared" ca="1" si="23"/>
        <v>-1.6918185603284428E-2</v>
      </c>
      <c r="N689" s="118" t="s">
        <v>1050</v>
      </c>
      <c r="O689" s="122">
        <v>96.95</v>
      </c>
      <c r="P689" s="122">
        <v>96.95</v>
      </c>
      <c r="Q689" s="122">
        <v>93.6</v>
      </c>
      <c r="R689" s="122">
        <v>94</v>
      </c>
      <c r="S689" s="122">
        <v>82.54</v>
      </c>
      <c r="T689" s="123">
        <v>11085546</v>
      </c>
    </row>
    <row r="690" spans="6:20" x14ac:dyDescent="0.3">
      <c r="F690" s="124">
        <v>684</v>
      </c>
      <c r="G690" s="33">
        <f t="shared" ca="1" si="23"/>
        <v>-3.1822588762861287E-2</v>
      </c>
      <c r="N690" s="118" t="s">
        <v>1051</v>
      </c>
      <c r="O690" s="122">
        <v>98</v>
      </c>
      <c r="P690" s="122">
        <v>98</v>
      </c>
      <c r="Q690" s="122">
        <v>95.1</v>
      </c>
      <c r="R690" s="122">
        <v>95.75</v>
      </c>
      <c r="S690" s="122">
        <v>84.08</v>
      </c>
      <c r="T690" s="123">
        <v>5455456</v>
      </c>
    </row>
    <row r="691" spans="6:20" x14ac:dyDescent="0.3">
      <c r="F691" s="124">
        <v>685</v>
      </c>
      <c r="G691" s="33">
        <f t="shared" ca="1" si="23"/>
        <v>-1.5628274694815626E-2</v>
      </c>
      <c r="N691" s="118" t="s">
        <v>1052</v>
      </c>
      <c r="O691" s="122">
        <v>99</v>
      </c>
      <c r="P691" s="122">
        <v>99.4</v>
      </c>
      <c r="Q691" s="122">
        <v>95.5</v>
      </c>
      <c r="R691" s="122">
        <v>97</v>
      </c>
      <c r="S691" s="122">
        <v>85.17</v>
      </c>
      <c r="T691" s="123">
        <v>3980668</v>
      </c>
    </row>
    <row r="692" spans="6:20" x14ac:dyDescent="0.3">
      <c r="F692" s="124">
        <v>686</v>
      </c>
      <c r="G692" s="33">
        <f t="shared" ca="1" si="23"/>
        <v>-3.55025707153123E-2</v>
      </c>
      <c r="N692" s="118" t="s">
        <v>1053</v>
      </c>
      <c r="O692" s="122">
        <v>99.3</v>
      </c>
      <c r="P692" s="122">
        <v>102.85</v>
      </c>
      <c r="Q692" s="122">
        <v>98.45</v>
      </c>
      <c r="R692" s="122">
        <v>98.8</v>
      </c>
      <c r="S692" s="122">
        <v>86.75</v>
      </c>
      <c r="T692" s="123">
        <v>2383097</v>
      </c>
    </row>
    <row r="693" spans="6:20" x14ac:dyDescent="0.3">
      <c r="F693" s="124">
        <v>687</v>
      </c>
      <c r="G693" s="33">
        <f t="shared" ca="1" si="23"/>
        <v>-5.5333058644015609E-2</v>
      </c>
      <c r="N693" s="118" t="s">
        <v>1054</v>
      </c>
      <c r="O693" s="122">
        <v>100</v>
      </c>
      <c r="P693" s="122">
        <v>105.5</v>
      </c>
      <c r="Q693" s="122">
        <v>98.3</v>
      </c>
      <c r="R693" s="122">
        <v>99.45</v>
      </c>
      <c r="S693" s="122">
        <v>87.33</v>
      </c>
      <c r="T693" s="123">
        <v>4237790</v>
      </c>
    </row>
    <row r="694" spans="6:20" x14ac:dyDescent="0.3">
      <c r="F694" s="124">
        <v>688</v>
      </c>
      <c r="G694" s="33">
        <f t="shared" ca="1" si="23"/>
        <v>-5.3536692943526351E-2</v>
      </c>
      <c r="N694" s="118" t="s">
        <v>1055</v>
      </c>
      <c r="O694" s="122">
        <v>96.5</v>
      </c>
      <c r="P694" s="122">
        <v>101.6</v>
      </c>
      <c r="Q694" s="122">
        <v>95.2</v>
      </c>
      <c r="R694" s="122">
        <v>100.4</v>
      </c>
      <c r="S694" s="122">
        <v>88.16</v>
      </c>
      <c r="T694" s="123">
        <v>4771863</v>
      </c>
    </row>
    <row r="695" spans="6:20" x14ac:dyDescent="0.3">
      <c r="F695" s="124">
        <v>689</v>
      </c>
      <c r="G695" s="33">
        <f t="shared" ca="1" si="23"/>
        <v>-3.78082151686105E-2</v>
      </c>
      <c r="N695" s="118" t="s">
        <v>1056</v>
      </c>
      <c r="O695" s="122">
        <v>95.65</v>
      </c>
      <c r="P695" s="122">
        <v>100.4</v>
      </c>
      <c r="Q695" s="122">
        <v>95.2</v>
      </c>
      <c r="R695" s="122">
        <v>95.8</v>
      </c>
      <c r="S695" s="122">
        <v>84.12</v>
      </c>
      <c r="T695" s="123">
        <v>4375857</v>
      </c>
    </row>
    <row r="696" spans="6:20" x14ac:dyDescent="0.3">
      <c r="F696" s="124">
        <v>690</v>
      </c>
      <c r="G696" s="33">
        <f t="shared" ca="1" si="23"/>
        <v>-4.2723952686890179E-2</v>
      </c>
      <c r="N696" s="118" t="s">
        <v>1057</v>
      </c>
      <c r="O696" s="122">
        <v>95.95</v>
      </c>
      <c r="P696" s="122">
        <v>98.15</v>
      </c>
      <c r="Q696" s="122">
        <v>94.6</v>
      </c>
      <c r="R696" s="122">
        <v>95.5</v>
      </c>
      <c r="S696" s="122">
        <v>83.86</v>
      </c>
      <c r="T696" s="123">
        <v>4748685</v>
      </c>
    </row>
    <row r="697" spans="6:20" x14ac:dyDescent="0.3">
      <c r="F697" s="124">
        <v>691</v>
      </c>
      <c r="G697" s="33">
        <f t="shared" ca="1" si="23"/>
        <v>-7.7701831310880371E-3</v>
      </c>
      <c r="N697" s="118" t="s">
        <v>1058</v>
      </c>
      <c r="O697" s="122">
        <v>96</v>
      </c>
      <c r="P697" s="122">
        <v>97.7</v>
      </c>
      <c r="Q697" s="122">
        <v>93.2</v>
      </c>
      <c r="R697" s="122">
        <v>95.4</v>
      </c>
      <c r="S697" s="122">
        <v>83.77</v>
      </c>
      <c r="T697" s="123">
        <v>8180038</v>
      </c>
    </row>
    <row r="698" spans="6:20" x14ac:dyDescent="0.3">
      <c r="F698" s="124">
        <v>692</v>
      </c>
      <c r="G698" s="33">
        <f t="shared" ca="1" si="23"/>
        <v>2.6764097710468331E-2</v>
      </c>
      <c r="N698" s="118" t="s">
        <v>1059</v>
      </c>
      <c r="O698" s="122">
        <v>96.95</v>
      </c>
      <c r="P698" s="122">
        <v>101.4</v>
      </c>
      <c r="Q698" s="122">
        <v>95.3</v>
      </c>
      <c r="R698" s="122">
        <v>95.7</v>
      </c>
      <c r="S698" s="122">
        <v>84.03</v>
      </c>
      <c r="T698" s="123">
        <v>5668077</v>
      </c>
    </row>
    <row r="699" spans="6:20" x14ac:dyDescent="0.3">
      <c r="F699" s="124">
        <v>693</v>
      </c>
      <c r="G699" s="33">
        <f t="shared" ca="1" si="23"/>
        <v>1.806700986942094E-2</v>
      </c>
      <c r="N699" s="118" t="s">
        <v>1060</v>
      </c>
      <c r="O699" s="122">
        <v>99.55</v>
      </c>
      <c r="P699" s="122">
        <v>101.4</v>
      </c>
      <c r="Q699" s="122">
        <v>93.65</v>
      </c>
      <c r="R699" s="122">
        <v>96.95</v>
      </c>
      <c r="S699" s="122">
        <v>85.13</v>
      </c>
      <c r="T699" s="123">
        <v>6562874</v>
      </c>
    </row>
    <row r="700" spans="6:20" x14ac:dyDescent="0.3">
      <c r="F700" s="124">
        <v>694</v>
      </c>
      <c r="G700" s="33">
        <f t="shared" ca="1" si="23"/>
        <v>8.2590630489190506E-2</v>
      </c>
      <c r="N700" s="118" t="s">
        <v>1061</v>
      </c>
      <c r="O700" s="122">
        <v>99.8</v>
      </c>
      <c r="P700" s="122">
        <v>100.5</v>
      </c>
      <c r="Q700" s="122">
        <v>98</v>
      </c>
      <c r="R700" s="122">
        <v>98.75</v>
      </c>
      <c r="S700" s="122">
        <v>86.71</v>
      </c>
      <c r="T700" s="123">
        <v>2244457</v>
      </c>
    </row>
    <row r="701" spans="6:20" x14ac:dyDescent="0.3">
      <c r="F701" s="124">
        <v>695</v>
      </c>
      <c r="G701" s="33">
        <f t="shared" ca="1" si="23"/>
        <v>8.226238021645689E-3</v>
      </c>
      <c r="N701" s="118" t="s">
        <v>1062</v>
      </c>
      <c r="O701" s="317" t="s">
        <v>1063</v>
      </c>
      <c r="P701" s="317"/>
      <c r="Q701" s="317"/>
      <c r="R701" s="317"/>
      <c r="S701" s="317"/>
      <c r="T701" s="317"/>
    </row>
    <row r="702" spans="6:20" x14ac:dyDescent="0.3">
      <c r="F702" s="124">
        <v>696</v>
      </c>
      <c r="G702" s="33">
        <f t="shared" ca="1" si="23"/>
        <v>5.0700785940922213E-2</v>
      </c>
      <c r="N702" s="118" t="s">
        <v>1064</v>
      </c>
      <c r="O702" s="122">
        <v>101</v>
      </c>
      <c r="P702" s="122">
        <v>102.45</v>
      </c>
      <c r="Q702" s="122">
        <v>99</v>
      </c>
      <c r="R702" s="122">
        <v>99.8</v>
      </c>
      <c r="S702" s="122">
        <v>87.15</v>
      </c>
      <c r="T702" s="123">
        <v>5422946</v>
      </c>
    </row>
    <row r="703" spans="6:20" x14ac:dyDescent="0.3">
      <c r="F703" s="124">
        <v>697</v>
      </c>
      <c r="G703" s="33">
        <f t="shared" ca="1" si="23"/>
        <v>-2.6300487714086298E-2</v>
      </c>
      <c r="N703" s="118" t="s">
        <v>1065</v>
      </c>
      <c r="O703" s="122">
        <v>98.9</v>
      </c>
      <c r="P703" s="122">
        <v>100.85</v>
      </c>
      <c r="Q703" s="122">
        <v>94.75</v>
      </c>
      <c r="R703" s="122">
        <v>100.55</v>
      </c>
      <c r="S703" s="122">
        <v>87.81</v>
      </c>
      <c r="T703" s="123">
        <v>4936331</v>
      </c>
    </row>
    <row r="704" spans="6:20" x14ac:dyDescent="0.3">
      <c r="F704" s="124">
        <v>698</v>
      </c>
      <c r="G704" s="33">
        <f t="shared" ca="1" si="23"/>
        <v>2.1591345548444975E-2</v>
      </c>
      <c r="N704" s="118" t="s">
        <v>1066</v>
      </c>
      <c r="O704" s="122">
        <v>100.95</v>
      </c>
      <c r="P704" s="122">
        <v>100.95</v>
      </c>
      <c r="Q704" s="122">
        <v>96.9</v>
      </c>
      <c r="R704" s="122">
        <v>98.75</v>
      </c>
      <c r="S704" s="122">
        <v>86.23</v>
      </c>
      <c r="T704" s="123">
        <v>4023605</v>
      </c>
    </row>
    <row r="705" spans="6:20" x14ac:dyDescent="0.3">
      <c r="F705" s="124">
        <v>699</v>
      </c>
      <c r="G705" s="33">
        <f t="shared" ca="1" si="23"/>
        <v>5.4815332099436946E-2</v>
      </c>
      <c r="N705" s="118" t="s">
        <v>1067</v>
      </c>
      <c r="O705" s="122">
        <v>100.7</v>
      </c>
      <c r="P705" s="122">
        <v>101.5</v>
      </c>
      <c r="Q705" s="122">
        <v>99.15</v>
      </c>
      <c r="R705" s="122">
        <v>100.15</v>
      </c>
      <c r="S705" s="122">
        <v>87.46</v>
      </c>
      <c r="T705" s="123">
        <v>5426238</v>
      </c>
    </row>
    <row r="706" spans="6:20" x14ac:dyDescent="0.3">
      <c r="F706" s="124">
        <v>700</v>
      </c>
      <c r="G706" s="33">
        <f t="shared" ca="1" si="23"/>
        <v>1.4460117279602572E-2</v>
      </c>
      <c r="N706" s="118" t="s">
        <v>1068</v>
      </c>
      <c r="O706" s="122">
        <v>102.25</v>
      </c>
      <c r="P706" s="122">
        <v>105</v>
      </c>
      <c r="Q706" s="122">
        <v>99.4</v>
      </c>
      <c r="R706" s="122">
        <v>100.7</v>
      </c>
      <c r="S706" s="122">
        <v>87.94</v>
      </c>
      <c r="T706" s="123">
        <v>5917197</v>
      </c>
    </row>
    <row r="707" spans="6:20" x14ac:dyDescent="0.3">
      <c r="F707" s="124">
        <v>701</v>
      </c>
      <c r="G707" s="33">
        <f t="shared" ca="1" si="23"/>
        <v>1.0921645531151662E-2</v>
      </c>
      <c r="N707" s="118" t="s">
        <v>1069</v>
      </c>
      <c r="O707" s="122">
        <v>102.5</v>
      </c>
      <c r="P707" s="122">
        <v>104.4</v>
      </c>
      <c r="Q707" s="122">
        <v>97.75</v>
      </c>
      <c r="R707" s="122">
        <v>103</v>
      </c>
      <c r="S707" s="122">
        <v>89.94</v>
      </c>
      <c r="T707" s="123">
        <v>6126052</v>
      </c>
    </row>
    <row r="708" spans="6:20" x14ac:dyDescent="0.3">
      <c r="F708" s="124">
        <v>702</v>
      </c>
      <c r="G708" s="33">
        <f t="shared" ca="1" si="23"/>
        <v>-2.0941931592380943E-2</v>
      </c>
      <c r="N708" s="118" t="s">
        <v>1070</v>
      </c>
      <c r="O708" s="122">
        <v>102.1</v>
      </c>
      <c r="P708" s="122">
        <v>107.65</v>
      </c>
      <c r="Q708" s="122">
        <v>101.5</v>
      </c>
      <c r="R708" s="122">
        <v>102.7</v>
      </c>
      <c r="S708" s="122">
        <v>89.68</v>
      </c>
      <c r="T708" s="123">
        <v>8998099</v>
      </c>
    </row>
    <row r="709" spans="6:20" x14ac:dyDescent="0.3">
      <c r="F709" s="124">
        <v>703</v>
      </c>
      <c r="G709" s="33">
        <f t="shared" ca="1" si="23"/>
        <v>-2.0767375696278172E-2</v>
      </c>
      <c r="N709" s="118" t="s">
        <v>1071</v>
      </c>
      <c r="O709" s="122">
        <v>109.3</v>
      </c>
      <c r="P709" s="122">
        <v>111</v>
      </c>
      <c r="Q709" s="122">
        <v>101.35</v>
      </c>
      <c r="R709" s="122">
        <v>102.85</v>
      </c>
      <c r="S709" s="122">
        <v>89.81</v>
      </c>
      <c r="T709" s="123">
        <v>6252366</v>
      </c>
    </row>
    <row r="710" spans="6:20" x14ac:dyDescent="0.3">
      <c r="F710" s="124">
        <v>704</v>
      </c>
      <c r="G710" s="33">
        <f t="shared" ca="1" si="23"/>
        <v>2.9924943539195139E-2</v>
      </c>
      <c r="N710" s="118" t="s">
        <v>1072</v>
      </c>
      <c r="O710" s="122">
        <v>112</v>
      </c>
      <c r="P710" s="122">
        <v>112</v>
      </c>
      <c r="Q710" s="122">
        <v>105.3</v>
      </c>
      <c r="R710" s="122">
        <v>109.5</v>
      </c>
      <c r="S710" s="122">
        <v>95.62</v>
      </c>
      <c r="T710" s="123">
        <v>8841101</v>
      </c>
    </row>
    <row r="711" spans="6:20" x14ac:dyDescent="0.3">
      <c r="F711" s="124">
        <v>705</v>
      </c>
      <c r="G711" s="33">
        <f t="shared" ca="1" si="23"/>
        <v>1.3360833022771391E-2</v>
      </c>
      <c r="N711" s="118" t="s">
        <v>1073</v>
      </c>
      <c r="O711" s="122">
        <v>110</v>
      </c>
      <c r="P711" s="122">
        <v>113.95</v>
      </c>
      <c r="Q711" s="122">
        <v>108</v>
      </c>
      <c r="R711" s="122">
        <v>112.2</v>
      </c>
      <c r="S711" s="122">
        <v>97.98</v>
      </c>
      <c r="T711" s="123">
        <v>4528055</v>
      </c>
    </row>
    <row r="712" spans="6:20" x14ac:dyDescent="0.3">
      <c r="F712" s="124">
        <v>706</v>
      </c>
      <c r="G712" s="33">
        <f t="shared" ref="G712:G775" ca="1" si="24">_xlfn.NORM.INV(RAND(),$M$9,$M$10)</f>
        <v>2.5157088268352248E-2</v>
      </c>
      <c r="N712" s="118" t="s">
        <v>1074</v>
      </c>
      <c r="O712" s="122">
        <v>103.2</v>
      </c>
      <c r="P712" s="122">
        <v>110</v>
      </c>
      <c r="Q712" s="122">
        <v>102.25</v>
      </c>
      <c r="R712" s="122">
        <v>108</v>
      </c>
      <c r="S712" s="122">
        <v>94.31</v>
      </c>
      <c r="T712" s="123">
        <v>4287091</v>
      </c>
    </row>
    <row r="713" spans="6:20" x14ac:dyDescent="0.3">
      <c r="F713" s="124">
        <v>707</v>
      </c>
      <c r="G713" s="33">
        <f t="shared" ca="1" si="24"/>
        <v>-1.7226252972669782E-2</v>
      </c>
      <c r="N713" s="118" t="s">
        <v>1075</v>
      </c>
      <c r="O713" s="122">
        <v>101.2</v>
      </c>
      <c r="P713" s="122">
        <v>106.8</v>
      </c>
      <c r="Q713" s="122">
        <v>101.2</v>
      </c>
      <c r="R713" s="122">
        <v>103.95</v>
      </c>
      <c r="S713" s="122">
        <v>90.77</v>
      </c>
      <c r="T713" s="123">
        <v>3427209</v>
      </c>
    </row>
    <row r="714" spans="6:20" x14ac:dyDescent="0.3">
      <c r="F714" s="124">
        <v>708</v>
      </c>
      <c r="G714" s="33">
        <f t="shared" ca="1" si="24"/>
        <v>-4.2108944355958945E-2</v>
      </c>
      <c r="N714" s="118" t="s">
        <v>1076</v>
      </c>
      <c r="O714" s="122">
        <v>101</v>
      </c>
      <c r="P714" s="122">
        <v>106.5</v>
      </c>
      <c r="Q714" s="122">
        <v>95.3</v>
      </c>
      <c r="R714" s="122">
        <v>101.2</v>
      </c>
      <c r="S714" s="122">
        <v>88.37</v>
      </c>
      <c r="T714" s="123">
        <v>5310757</v>
      </c>
    </row>
    <row r="715" spans="6:20" x14ac:dyDescent="0.3">
      <c r="F715" s="124">
        <v>709</v>
      </c>
      <c r="G715" s="33">
        <f t="shared" ca="1" si="24"/>
        <v>-4.3769021363488113E-2</v>
      </c>
      <c r="N715" s="118" t="s">
        <v>1077</v>
      </c>
      <c r="O715" s="122">
        <v>105.1</v>
      </c>
      <c r="P715" s="122">
        <v>109</v>
      </c>
      <c r="Q715" s="122">
        <v>98.3</v>
      </c>
      <c r="R715" s="122">
        <v>101.45</v>
      </c>
      <c r="S715" s="122">
        <v>88.59</v>
      </c>
      <c r="T715" s="123">
        <v>4535352</v>
      </c>
    </row>
    <row r="716" spans="6:20" x14ac:dyDescent="0.3">
      <c r="F716" s="124">
        <v>710</v>
      </c>
      <c r="G716" s="33">
        <f t="shared" ca="1" si="24"/>
        <v>-6.4113768397502805E-4</v>
      </c>
      <c r="N716" s="118" t="s">
        <v>1078</v>
      </c>
      <c r="O716" s="122">
        <v>111.6</v>
      </c>
      <c r="P716" s="122">
        <v>113</v>
      </c>
      <c r="Q716" s="122">
        <v>103.65</v>
      </c>
      <c r="R716" s="122">
        <v>104.05</v>
      </c>
      <c r="S716" s="122">
        <v>90.86</v>
      </c>
      <c r="T716" s="123">
        <v>5338736</v>
      </c>
    </row>
    <row r="717" spans="6:20" x14ac:dyDescent="0.3">
      <c r="F717" s="124">
        <v>711</v>
      </c>
      <c r="G717" s="33">
        <f t="shared" ca="1" si="24"/>
        <v>9.1885363360104631E-3</v>
      </c>
      <c r="N717" s="118" t="s">
        <v>1079</v>
      </c>
      <c r="O717" s="122">
        <v>113.5</v>
      </c>
      <c r="P717" s="122">
        <v>113.5</v>
      </c>
      <c r="Q717" s="122">
        <v>110</v>
      </c>
      <c r="R717" s="122">
        <v>111.95</v>
      </c>
      <c r="S717" s="122">
        <v>97.76</v>
      </c>
      <c r="T717" s="123">
        <v>1858609</v>
      </c>
    </row>
    <row r="718" spans="6:20" x14ac:dyDescent="0.3">
      <c r="F718" s="124">
        <v>712</v>
      </c>
      <c r="G718" s="33">
        <f t="shared" ca="1" si="24"/>
        <v>4.0395506300379823E-2</v>
      </c>
      <c r="N718" s="118" t="s">
        <v>1080</v>
      </c>
      <c r="O718" s="122">
        <v>111.7</v>
      </c>
      <c r="P718" s="122">
        <v>113.25</v>
      </c>
      <c r="Q718" s="122">
        <v>109.1</v>
      </c>
      <c r="R718" s="122">
        <v>111.7</v>
      </c>
      <c r="S718" s="122">
        <v>97.54</v>
      </c>
      <c r="T718" s="123">
        <v>4211630</v>
      </c>
    </row>
    <row r="719" spans="6:20" x14ac:dyDescent="0.3">
      <c r="F719" s="124">
        <v>713</v>
      </c>
      <c r="G719" s="33">
        <f t="shared" ca="1" si="24"/>
        <v>2.6051371027004101E-2</v>
      </c>
      <c r="N719" s="118" t="s">
        <v>1081</v>
      </c>
      <c r="O719" s="122">
        <v>117.2</v>
      </c>
      <c r="P719" s="122">
        <v>118</v>
      </c>
      <c r="Q719" s="122">
        <v>111.2</v>
      </c>
      <c r="R719" s="122">
        <v>111.65</v>
      </c>
      <c r="S719" s="122">
        <v>97.5</v>
      </c>
      <c r="T719" s="123">
        <v>5787497</v>
      </c>
    </row>
    <row r="720" spans="6:20" x14ac:dyDescent="0.3">
      <c r="F720" s="124">
        <v>714</v>
      </c>
      <c r="G720" s="33">
        <f t="shared" ca="1" si="24"/>
        <v>4.0149539567059474E-2</v>
      </c>
      <c r="N720" s="118" t="s">
        <v>1082</v>
      </c>
      <c r="O720" s="317" t="s">
        <v>1008</v>
      </c>
      <c r="P720" s="317"/>
      <c r="Q720" s="317"/>
      <c r="R720" s="317"/>
      <c r="S720" s="317"/>
      <c r="T720" s="317"/>
    </row>
    <row r="721" spans="6:20" x14ac:dyDescent="0.3">
      <c r="F721" s="124">
        <v>715</v>
      </c>
      <c r="G721" s="33">
        <f t="shared" ca="1" si="24"/>
        <v>-3.387032903749445E-2</v>
      </c>
      <c r="N721" s="118" t="s">
        <v>1083</v>
      </c>
      <c r="O721" s="122">
        <v>112.65</v>
      </c>
      <c r="P721" s="122">
        <v>118.9</v>
      </c>
      <c r="Q721" s="122">
        <v>112.65</v>
      </c>
      <c r="R721" s="122">
        <v>116.6</v>
      </c>
      <c r="S721" s="122">
        <v>101.24</v>
      </c>
      <c r="T721" s="123">
        <v>11453108</v>
      </c>
    </row>
    <row r="722" spans="6:20" x14ac:dyDescent="0.3">
      <c r="F722" s="124">
        <v>716</v>
      </c>
      <c r="G722" s="33">
        <f t="shared" ca="1" si="24"/>
        <v>3.1990327195493259E-2</v>
      </c>
      <c r="N722" s="118" t="s">
        <v>1084</v>
      </c>
      <c r="O722" s="122">
        <v>117</v>
      </c>
      <c r="P722" s="122">
        <v>117.75</v>
      </c>
      <c r="Q722" s="122">
        <v>110.3</v>
      </c>
      <c r="R722" s="122">
        <v>113.75</v>
      </c>
      <c r="S722" s="122">
        <v>98.77</v>
      </c>
      <c r="T722" s="123">
        <v>4640355</v>
      </c>
    </row>
    <row r="723" spans="6:20" x14ac:dyDescent="0.3">
      <c r="F723" s="124">
        <v>717</v>
      </c>
      <c r="G723" s="33">
        <f t="shared" ca="1" si="24"/>
        <v>1.6805680103624827E-2</v>
      </c>
      <c r="N723" s="118" t="s">
        <v>1085</v>
      </c>
      <c r="O723" s="122">
        <v>113.4</v>
      </c>
      <c r="P723" s="122">
        <v>120.9</v>
      </c>
      <c r="Q723" s="122">
        <v>112.55</v>
      </c>
      <c r="R723" s="122">
        <v>116.35</v>
      </c>
      <c r="S723" s="122">
        <v>101.02</v>
      </c>
      <c r="T723" s="123">
        <v>8588107</v>
      </c>
    </row>
    <row r="724" spans="6:20" x14ac:dyDescent="0.3">
      <c r="F724" s="124">
        <v>718</v>
      </c>
      <c r="G724" s="33">
        <f t="shared" ca="1" si="24"/>
        <v>1.3558386132743648E-2</v>
      </c>
      <c r="N724" s="118" t="s">
        <v>1086</v>
      </c>
      <c r="O724" s="122">
        <v>114.1</v>
      </c>
      <c r="P724" s="122">
        <v>116.45</v>
      </c>
      <c r="Q724" s="122">
        <v>112.7</v>
      </c>
      <c r="R724" s="122">
        <v>113.95</v>
      </c>
      <c r="S724" s="122">
        <v>98.94</v>
      </c>
      <c r="T724" s="123">
        <v>3870356</v>
      </c>
    </row>
    <row r="725" spans="6:20" x14ac:dyDescent="0.3">
      <c r="F725" s="124">
        <v>719</v>
      </c>
      <c r="G725" s="33">
        <f t="shared" ca="1" si="24"/>
        <v>-1.5449659022323009E-2</v>
      </c>
      <c r="N725" s="118" t="s">
        <v>1087</v>
      </c>
      <c r="O725" s="122">
        <v>108.9</v>
      </c>
      <c r="P725" s="122">
        <v>123.2</v>
      </c>
      <c r="Q725" s="122">
        <v>108.6</v>
      </c>
      <c r="R725" s="122">
        <v>115.2</v>
      </c>
      <c r="S725" s="122">
        <v>100.02</v>
      </c>
      <c r="T725" s="123">
        <v>35957330</v>
      </c>
    </row>
    <row r="726" spans="6:20" x14ac:dyDescent="0.3">
      <c r="F726" s="124">
        <v>720</v>
      </c>
      <c r="G726" s="33">
        <f t="shared" ca="1" si="24"/>
        <v>-3.6449935155770229E-3</v>
      </c>
      <c r="N726" s="118" t="s">
        <v>1088</v>
      </c>
      <c r="O726" s="122">
        <v>103.05</v>
      </c>
      <c r="P726" s="122">
        <v>111.65</v>
      </c>
      <c r="Q726" s="122">
        <v>101.6</v>
      </c>
      <c r="R726" s="122">
        <v>108.4</v>
      </c>
      <c r="S726" s="122">
        <v>94.12</v>
      </c>
      <c r="T726" s="123">
        <v>19608189</v>
      </c>
    </row>
    <row r="727" spans="6:20" x14ac:dyDescent="0.3">
      <c r="F727" s="124">
        <v>721</v>
      </c>
      <c r="G727" s="33">
        <f t="shared" ca="1" si="24"/>
        <v>1.228255032159805E-2</v>
      </c>
      <c r="N727" s="118" t="s">
        <v>1089</v>
      </c>
      <c r="O727" s="122">
        <v>99.5</v>
      </c>
      <c r="P727" s="122">
        <v>106.4</v>
      </c>
      <c r="Q727" s="122">
        <v>98.8</v>
      </c>
      <c r="R727" s="122">
        <v>103.05</v>
      </c>
      <c r="S727" s="122">
        <v>89.47</v>
      </c>
      <c r="T727" s="123">
        <v>11997079</v>
      </c>
    </row>
    <row r="728" spans="6:20" x14ac:dyDescent="0.3">
      <c r="F728" s="124">
        <v>722</v>
      </c>
      <c r="G728" s="33">
        <f t="shared" ca="1" si="24"/>
        <v>7.9767462033967333E-3</v>
      </c>
      <c r="N728" s="118" t="s">
        <v>1090</v>
      </c>
      <c r="O728" s="122">
        <v>102.85</v>
      </c>
      <c r="P728" s="122">
        <v>103.9</v>
      </c>
      <c r="Q728" s="122">
        <v>98.2</v>
      </c>
      <c r="R728" s="122">
        <v>99.45</v>
      </c>
      <c r="S728" s="122">
        <v>86.35</v>
      </c>
      <c r="T728" s="123">
        <v>3474284</v>
      </c>
    </row>
    <row r="729" spans="6:20" x14ac:dyDescent="0.3">
      <c r="F729" s="124">
        <v>723</v>
      </c>
      <c r="G729" s="33">
        <f t="shared" ca="1" si="24"/>
        <v>9.7372000090169379E-3</v>
      </c>
      <c r="N729" s="118" t="s">
        <v>1091</v>
      </c>
      <c r="O729" s="122">
        <v>102</v>
      </c>
      <c r="P729" s="122">
        <v>103.1</v>
      </c>
      <c r="Q729" s="122">
        <v>99.2</v>
      </c>
      <c r="R729" s="122">
        <v>102.1</v>
      </c>
      <c r="S729" s="122">
        <v>88.65</v>
      </c>
      <c r="T729" s="123">
        <v>5638770</v>
      </c>
    </row>
    <row r="730" spans="6:20" x14ac:dyDescent="0.3">
      <c r="F730" s="124">
        <v>724</v>
      </c>
      <c r="G730" s="33">
        <f t="shared" ca="1" si="24"/>
        <v>-2.6653506646321504E-2</v>
      </c>
      <c r="N730" s="118" t="s">
        <v>1092</v>
      </c>
      <c r="O730" s="122">
        <v>102.8</v>
      </c>
      <c r="P730" s="122">
        <v>104</v>
      </c>
      <c r="Q730" s="122">
        <v>97.7</v>
      </c>
      <c r="R730" s="122">
        <v>101.15</v>
      </c>
      <c r="S730" s="122">
        <v>87.82</v>
      </c>
      <c r="T730" s="123">
        <v>8432700</v>
      </c>
    </row>
    <row r="731" spans="6:20" x14ac:dyDescent="0.3">
      <c r="F731" s="124">
        <v>725</v>
      </c>
      <c r="G731" s="33">
        <f t="shared" ca="1" si="24"/>
        <v>-1.0351560390618893E-3</v>
      </c>
      <c r="N731" s="118" t="s">
        <v>1093</v>
      </c>
      <c r="O731" s="122">
        <v>103.5</v>
      </c>
      <c r="P731" s="122">
        <v>105.2</v>
      </c>
      <c r="Q731" s="122">
        <v>101.9</v>
      </c>
      <c r="R731" s="122">
        <v>103.15</v>
      </c>
      <c r="S731" s="122">
        <v>89.56</v>
      </c>
      <c r="T731" s="123">
        <v>3371568</v>
      </c>
    </row>
    <row r="732" spans="6:20" x14ac:dyDescent="0.3">
      <c r="F732" s="124">
        <v>726</v>
      </c>
      <c r="G732" s="33">
        <f t="shared" ca="1" si="24"/>
        <v>1.4455305647482343E-3</v>
      </c>
      <c r="N732" s="118" t="s">
        <v>1094</v>
      </c>
      <c r="O732" s="122">
        <v>101</v>
      </c>
      <c r="P732" s="122">
        <v>104.75</v>
      </c>
      <c r="Q732" s="122">
        <v>101</v>
      </c>
      <c r="R732" s="122">
        <v>103.2</v>
      </c>
      <c r="S732" s="122">
        <v>89.6</v>
      </c>
      <c r="T732" s="123">
        <v>5040394</v>
      </c>
    </row>
    <row r="733" spans="6:20" x14ac:dyDescent="0.3">
      <c r="F733" s="124">
        <v>727</v>
      </c>
      <c r="G733" s="33">
        <f t="shared" ca="1" si="24"/>
        <v>-5.3580828765353748E-3</v>
      </c>
      <c r="N733" s="118" t="s">
        <v>1095</v>
      </c>
      <c r="O733" s="122">
        <v>96.9</v>
      </c>
      <c r="P733" s="122">
        <v>103</v>
      </c>
      <c r="Q733" s="122">
        <v>96.45</v>
      </c>
      <c r="R733" s="122">
        <v>101.8</v>
      </c>
      <c r="S733" s="122">
        <v>88.39</v>
      </c>
      <c r="T733" s="123">
        <v>10484289</v>
      </c>
    </row>
    <row r="734" spans="6:20" x14ac:dyDescent="0.3">
      <c r="F734" s="124">
        <v>728</v>
      </c>
      <c r="G734" s="33">
        <f t="shared" ca="1" si="24"/>
        <v>-3.6731301668450213E-2</v>
      </c>
      <c r="N734" s="118" t="s">
        <v>1096</v>
      </c>
      <c r="O734" s="122">
        <v>95.9</v>
      </c>
      <c r="P734" s="122">
        <v>97.65</v>
      </c>
      <c r="Q734" s="122">
        <v>94.4</v>
      </c>
      <c r="R734" s="122">
        <v>96.9</v>
      </c>
      <c r="S734" s="122">
        <v>84.13</v>
      </c>
      <c r="T734" s="123">
        <v>10873352</v>
      </c>
    </row>
    <row r="735" spans="6:20" x14ac:dyDescent="0.3">
      <c r="F735" s="124">
        <v>729</v>
      </c>
      <c r="G735" s="33">
        <f t="shared" ca="1" si="24"/>
        <v>-3.9170518287992E-2</v>
      </c>
      <c r="N735" s="118" t="s">
        <v>1097</v>
      </c>
      <c r="O735" s="122">
        <v>96.85</v>
      </c>
      <c r="P735" s="122">
        <v>99.9</v>
      </c>
      <c r="Q735" s="122">
        <v>95.35</v>
      </c>
      <c r="R735" s="122">
        <v>95.9</v>
      </c>
      <c r="S735" s="122">
        <v>83.27</v>
      </c>
      <c r="T735" s="123">
        <v>2810305</v>
      </c>
    </row>
    <row r="736" spans="6:20" x14ac:dyDescent="0.3">
      <c r="F736" s="124">
        <v>730</v>
      </c>
      <c r="G736" s="33">
        <f t="shared" ca="1" si="24"/>
        <v>-4.6024942774288348E-2</v>
      </c>
      <c r="N736" s="118" t="s">
        <v>1098</v>
      </c>
      <c r="O736" s="122">
        <v>97.05</v>
      </c>
      <c r="P736" s="122">
        <v>98.95</v>
      </c>
      <c r="Q736" s="122">
        <v>95.05</v>
      </c>
      <c r="R736" s="122">
        <v>97</v>
      </c>
      <c r="S736" s="122">
        <v>84.22</v>
      </c>
      <c r="T736" s="123">
        <v>3311496</v>
      </c>
    </row>
    <row r="737" spans="6:20" x14ac:dyDescent="0.3">
      <c r="F737" s="124">
        <v>731</v>
      </c>
      <c r="G737" s="33">
        <f t="shared" ca="1" si="24"/>
        <v>4.3123331032736502E-2</v>
      </c>
      <c r="N737" s="118" t="s">
        <v>1099</v>
      </c>
      <c r="O737" s="122">
        <v>102.9</v>
      </c>
      <c r="P737" s="122">
        <v>102.9</v>
      </c>
      <c r="Q737" s="122">
        <v>93.45</v>
      </c>
      <c r="R737" s="122">
        <v>96.75</v>
      </c>
      <c r="S737" s="122">
        <v>84</v>
      </c>
      <c r="T737" s="123">
        <v>2935006</v>
      </c>
    </row>
    <row r="738" spans="6:20" x14ac:dyDescent="0.3">
      <c r="F738" s="124">
        <v>732</v>
      </c>
      <c r="G738" s="33">
        <f t="shared" ca="1" si="24"/>
        <v>-1.7829362040426577E-2</v>
      </c>
      <c r="N738" s="118" t="s">
        <v>1100</v>
      </c>
      <c r="O738" s="122">
        <v>98.15</v>
      </c>
      <c r="P738" s="122">
        <v>103.5</v>
      </c>
      <c r="Q738" s="122">
        <v>98.15</v>
      </c>
      <c r="R738" s="122">
        <v>102.9</v>
      </c>
      <c r="S738" s="122">
        <v>89.34</v>
      </c>
      <c r="T738" s="123">
        <v>2522018</v>
      </c>
    </row>
    <row r="739" spans="6:20" x14ac:dyDescent="0.3">
      <c r="F739" s="124">
        <v>733</v>
      </c>
      <c r="G739" s="33">
        <f t="shared" ca="1" si="24"/>
        <v>3.0757460449316553E-2</v>
      </c>
      <c r="N739" s="118" t="s">
        <v>1101</v>
      </c>
      <c r="O739" s="122">
        <v>97</v>
      </c>
      <c r="P739" s="122">
        <v>99.85</v>
      </c>
      <c r="Q739" s="122">
        <v>94.75</v>
      </c>
      <c r="R739" s="122">
        <v>98.95</v>
      </c>
      <c r="S739" s="122">
        <v>85.91</v>
      </c>
      <c r="T739" s="123">
        <v>3988312</v>
      </c>
    </row>
    <row r="740" spans="6:20" x14ac:dyDescent="0.3">
      <c r="F740" s="124">
        <v>734</v>
      </c>
      <c r="G740" s="33">
        <f t="shared" ca="1" si="24"/>
        <v>1.1382197140079247E-2</v>
      </c>
      <c r="N740" s="118" t="s">
        <v>1102</v>
      </c>
      <c r="O740" s="122">
        <v>92.4</v>
      </c>
      <c r="P740" s="122">
        <v>101</v>
      </c>
      <c r="Q740" s="122">
        <v>92.1</v>
      </c>
      <c r="R740" s="122">
        <v>96</v>
      </c>
      <c r="S740" s="122">
        <v>83.35</v>
      </c>
      <c r="T740" s="123">
        <v>5648841</v>
      </c>
    </row>
    <row r="741" spans="6:20" x14ac:dyDescent="0.3">
      <c r="F741" s="124">
        <v>735</v>
      </c>
      <c r="G741" s="33">
        <f t="shared" ca="1" si="24"/>
        <v>2.0433402629834842E-3</v>
      </c>
      <c r="N741" s="118" t="s">
        <v>1103</v>
      </c>
      <c r="O741" s="122">
        <v>92.45</v>
      </c>
      <c r="P741" s="122">
        <v>93.9</v>
      </c>
      <c r="Q741" s="122">
        <v>89.35</v>
      </c>
      <c r="R741" s="122">
        <v>91.8</v>
      </c>
      <c r="S741" s="122">
        <v>79.709999999999994</v>
      </c>
      <c r="T741" s="123">
        <v>4775243</v>
      </c>
    </row>
    <row r="742" spans="6:20" x14ac:dyDescent="0.3">
      <c r="F742" s="124">
        <v>736</v>
      </c>
      <c r="G742" s="33">
        <f t="shared" ca="1" si="24"/>
        <v>3.6545452780668675E-2</v>
      </c>
      <c r="N742" s="118" t="s">
        <v>1104</v>
      </c>
      <c r="O742" s="122">
        <v>89.9</v>
      </c>
      <c r="P742" s="122">
        <v>98.9</v>
      </c>
      <c r="Q742" s="122">
        <v>88.3</v>
      </c>
      <c r="R742" s="122">
        <v>92.45</v>
      </c>
      <c r="S742" s="122">
        <v>80.27</v>
      </c>
      <c r="T742" s="123">
        <v>20968354</v>
      </c>
    </row>
    <row r="743" spans="6:20" x14ac:dyDescent="0.3">
      <c r="F743" s="124">
        <v>737</v>
      </c>
      <c r="G743" s="33">
        <f t="shared" ca="1" si="24"/>
        <v>1.4231940188564371E-2</v>
      </c>
      <c r="N743" s="118" t="s">
        <v>1105</v>
      </c>
      <c r="O743" s="122">
        <v>98.25</v>
      </c>
      <c r="P743" s="122">
        <v>99.75</v>
      </c>
      <c r="Q743" s="122">
        <v>86.65</v>
      </c>
      <c r="R743" s="122">
        <v>90.8</v>
      </c>
      <c r="S743" s="122">
        <v>78.84</v>
      </c>
      <c r="T743" s="123">
        <v>13038482</v>
      </c>
    </row>
    <row r="744" spans="6:20" x14ac:dyDescent="0.3">
      <c r="F744" s="124">
        <v>738</v>
      </c>
      <c r="G744" s="33">
        <f t="shared" ca="1" si="24"/>
        <v>5.6425112283650714E-2</v>
      </c>
      <c r="N744" s="118" t="s">
        <v>1106</v>
      </c>
      <c r="O744" s="122">
        <v>101</v>
      </c>
      <c r="P744" s="122">
        <v>102.25</v>
      </c>
      <c r="Q744" s="122">
        <v>97.9</v>
      </c>
      <c r="R744" s="122">
        <v>98.25</v>
      </c>
      <c r="S744" s="122">
        <v>85.31</v>
      </c>
      <c r="T744" s="123">
        <v>9848858</v>
      </c>
    </row>
    <row r="745" spans="6:20" x14ac:dyDescent="0.3">
      <c r="F745" s="124">
        <v>739</v>
      </c>
      <c r="G745" s="33">
        <f t="shared" ca="1" si="24"/>
        <v>4.1188284409892327E-2</v>
      </c>
      <c r="N745" s="118" t="s">
        <v>1107</v>
      </c>
      <c r="O745" s="122">
        <v>100</v>
      </c>
      <c r="P745" s="122">
        <v>104.25</v>
      </c>
      <c r="Q745" s="122">
        <v>99.95</v>
      </c>
      <c r="R745" s="122">
        <v>101.1</v>
      </c>
      <c r="S745" s="122">
        <v>87.78</v>
      </c>
      <c r="T745" s="123">
        <v>12262871</v>
      </c>
    </row>
    <row r="746" spans="6:20" x14ac:dyDescent="0.3">
      <c r="F746" s="124">
        <v>740</v>
      </c>
      <c r="G746" s="33">
        <f t="shared" ca="1" si="24"/>
        <v>8.5033244248083235E-3</v>
      </c>
      <c r="N746" s="118" t="s">
        <v>1108</v>
      </c>
      <c r="O746" s="122">
        <v>101.5</v>
      </c>
      <c r="P746" s="122">
        <v>105.1</v>
      </c>
      <c r="Q746" s="122">
        <v>98.05</v>
      </c>
      <c r="R746" s="122">
        <v>100.15</v>
      </c>
      <c r="S746" s="122">
        <v>86.96</v>
      </c>
      <c r="T746" s="123">
        <v>6003120</v>
      </c>
    </row>
    <row r="747" spans="6:20" x14ac:dyDescent="0.3">
      <c r="F747" s="124">
        <v>741</v>
      </c>
      <c r="G747" s="33">
        <f t="shared" ca="1" si="24"/>
        <v>-1.5994110109307635E-2</v>
      </c>
      <c r="N747" s="118" t="s">
        <v>1109</v>
      </c>
      <c r="O747" s="122">
        <v>98.85</v>
      </c>
      <c r="P747" s="122">
        <v>101</v>
      </c>
      <c r="Q747" s="122">
        <v>97.7</v>
      </c>
      <c r="R747" s="122">
        <v>100.25</v>
      </c>
      <c r="S747" s="122">
        <v>87.04</v>
      </c>
      <c r="T747" s="123">
        <v>3965572</v>
      </c>
    </row>
    <row r="748" spans="6:20" x14ac:dyDescent="0.3">
      <c r="F748" s="124">
        <v>742</v>
      </c>
      <c r="G748" s="33">
        <f t="shared" ca="1" si="24"/>
        <v>2.5416553023646763E-2</v>
      </c>
      <c r="N748" s="118" t="s">
        <v>1110</v>
      </c>
      <c r="O748" s="122">
        <v>100.8</v>
      </c>
      <c r="P748" s="122">
        <v>102.7</v>
      </c>
      <c r="Q748" s="122">
        <v>99</v>
      </c>
      <c r="R748" s="122">
        <v>100.35</v>
      </c>
      <c r="S748" s="122">
        <v>87.13</v>
      </c>
      <c r="T748" s="123">
        <v>5859486</v>
      </c>
    </row>
    <row r="749" spans="6:20" x14ac:dyDescent="0.3">
      <c r="F749" s="124">
        <v>743</v>
      </c>
      <c r="G749" s="33">
        <f t="shared" ca="1" si="24"/>
        <v>1.8165646797389658E-2</v>
      </c>
      <c r="N749" s="118" t="s">
        <v>1111</v>
      </c>
      <c r="O749" s="122">
        <v>97.2</v>
      </c>
      <c r="P749" s="122">
        <v>104.95</v>
      </c>
      <c r="Q749" s="122">
        <v>97</v>
      </c>
      <c r="R749" s="122">
        <v>100.25</v>
      </c>
      <c r="S749" s="122">
        <v>87.04</v>
      </c>
      <c r="T749" s="123">
        <v>9767865</v>
      </c>
    </row>
    <row r="750" spans="6:20" x14ac:dyDescent="0.3">
      <c r="F750" s="124">
        <v>744</v>
      </c>
      <c r="G750" s="33">
        <f t="shared" ca="1" si="24"/>
        <v>3.0674445415470902E-2</v>
      </c>
      <c r="N750" s="118" t="s">
        <v>1112</v>
      </c>
      <c r="O750" s="122">
        <v>99</v>
      </c>
      <c r="P750" s="122">
        <v>101.45</v>
      </c>
      <c r="Q750" s="122">
        <v>95.1</v>
      </c>
      <c r="R750" s="122">
        <v>96.55</v>
      </c>
      <c r="S750" s="122">
        <v>83.83</v>
      </c>
      <c r="T750" s="123">
        <v>8192558</v>
      </c>
    </row>
    <row r="751" spans="6:20" x14ac:dyDescent="0.3">
      <c r="F751" s="124">
        <v>745</v>
      </c>
      <c r="G751" s="33">
        <f t="shared" ca="1" si="24"/>
        <v>-2.4860018476547337E-2</v>
      </c>
      <c r="N751" s="118" t="s">
        <v>1113</v>
      </c>
      <c r="O751" s="122">
        <v>94.5</v>
      </c>
      <c r="P751" s="122">
        <v>101.5</v>
      </c>
      <c r="Q751" s="122">
        <v>92</v>
      </c>
      <c r="R751" s="122">
        <v>98.95</v>
      </c>
      <c r="S751" s="122">
        <v>85.91</v>
      </c>
      <c r="T751" s="123">
        <v>12099575</v>
      </c>
    </row>
    <row r="752" spans="6:20" x14ac:dyDescent="0.3">
      <c r="F752" s="124">
        <v>746</v>
      </c>
      <c r="G752" s="33">
        <f t="shared" ca="1" si="24"/>
        <v>9.9012256246874437E-3</v>
      </c>
      <c r="N752" s="118" t="s">
        <v>1114</v>
      </c>
      <c r="O752" s="122">
        <v>98</v>
      </c>
      <c r="P752" s="122">
        <v>99.4</v>
      </c>
      <c r="Q752" s="122">
        <v>90.5</v>
      </c>
      <c r="R752" s="122">
        <v>94.5</v>
      </c>
      <c r="S752" s="122">
        <v>82.05</v>
      </c>
      <c r="T752" s="123">
        <v>11874194</v>
      </c>
    </row>
    <row r="753" spans="6:20" x14ac:dyDescent="0.3">
      <c r="F753" s="124">
        <v>747</v>
      </c>
      <c r="G753" s="33">
        <f t="shared" ca="1" si="24"/>
        <v>1.9870486991657804E-2</v>
      </c>
      <c r="N753" s="118" t="s">
        <v>1115</v>
      </c>
      <c r="O753" s="122">
        <v>98</v>
      </c>
      <c r="P753" s="122">
        <v>99.5</v>
      </c>
      <c r="Q753" s="122">
        <v>92.1</v>
      </c>
      <c r="R753" s="122">
        <v>97.55</v>
      </c>
      <c r="S753" s="122">
        <v>84.7</v>
      </c>
      <c r="T753" s="123">
        <v>12911901</v>
      </c>
    </row>
    <row r="754" spans="6:20" x14ac:dyDescent="0.3">
      <c r="F754" s="124">
        <v>748</v>
      </c>
      <c r="G754" s="33">
        <f t="shared" ca="1" si="24"/>
        <v>2.3366896790907553E-2</v>
      </c>
      <c r="N754" s="118" t="s">
        <v>1116</v>
      </c>
      <c r="O754" s="122">
        <v>101</v>
      </c>
      <c r="P754" s="122">
        <v>103.7</v>
      </c>
      <c r="Q754" s="122">
        <v>96.1</v>
      </c>
      <c r="R754" s="122">
        <v>96.6</v>
      </c>
      <c r="S754" s="122">
        <v>83.87</v>
      </c>
      <c r="T754" s="123">
        <v>7614011</v>
      </c>
    </row>
    <row r="755" spans="6:20" x14ac:dyDescent="0.3">
      <c r="F755" s="124">
        <v>749</v>
      </c>
      <c r="G755" s="33">
        <f t="shared" ca="1" si="24"/>
        <v>-1.0391640861584024E-3</v>
      </c>
      <c r="N755" s="118" t="s">
        <v>1117</v>
      </c>
      <c r="O755" s="317" t="s">
        <v>1118</v>
      </c>
      <c r="P755" s="317"/>
      <c r="Q755" s="317"/>
      <c r="R755" s="317"/>
      <c r="S755" s="317"/>
      <c r="T755" s="317"/>
    </row>
    <row r="756" spans="6:20" x14ac:dyDescent="0.3">
      <c r="F756" s="124">
        <v>750</v>
      </c>
      <c r="G756" s="33">
        <f t="shared" ca="1" si="24"/>
        <v>2.9014688351403004E-2</v>
      </c>
      <c r="N756" s="118" t="s">
        <v>1119</v>
      </c>
      <c r="O756" s="122">
        <v>100.1</v>
      </c>
      <c r="P756" s="122">
        <v>101</v>
      </c>
      <c r="Q756" s="122">
        <v>98.25</v>
      </c>
      <c r="R756" s="122">
        <v>100.3</v>
      </c>
      <c r="S756" s="122">
        <v>86.65</v>
      </c>
      <c r="T756" s="123">
        <v>3380439</v>
      </c>
    </row>
    <row r="757" spans="6:20" x14ac:dyDescent="0.3">
      <c r="F757" s="124">
        <v>751</v>
      </c>
      <c r="G757" s="33">
        <f t="shared" ca="1" si="24"/>
        <v>-5.8196141181919439E-4</v>
      </c>
      <c r="N757" s="118" t="s">
        <v>1120</v>
      </c>
      <c r="O757" s="122">
        <v>103.8</v>
      </c>
      <c r="P757" s="122">
        <v>106.4</v>
      </c>
      <c r="Q757" s="122">
        <v>98.4</v>
      </c>
      <c r="R757" s="122">
        <v>99.75</v>
      </c>
      <c r="S757" s="122">
        <v>86.17</v>
      </c>
      <c r="T757" s="123">
        <v>8946876</v>
      </c>
    </row>
    <row r="758" spans="6:20" x14ac:dyDescent="0.3">
      <c r="F758" s="124">
        <v>752</v>
      </c>
      <c r="G758" s="33">
        <f t="shared" ca="1" si="24"/>
        <v>-2.6397355375893595E-2</v>
      </c>
      <c r="N758" s="118" t="s">
        <v>1121</v>
      </c>
      <c r="O758" s="122">
        <v>103.4</v>
      </c>
      <c r="P758" s="122">
        <v>105</v>
      </c>
      <c r="Q758" s="122">
        <v>100.5</v>
      </c>
      <c r="R758" s="122">
        <v>103.5</v>
      </c>
      <c r="S758" s="122">
        <v>89.41</v>
      </c>
      <c r="T758" s="123">
        <v>5667486</v>
      </c>
    </row>
    <row r="759" spans="6:20" x14ac:dyDescent="0.3">
      <c r="F759" s="124">
        <v>753</v>
      </c>
      <c r="G759" s="33">
        <f t="shared" ca="1" si="24"/>
        <v>-2.1691595687927386E-2</v>
      </c>
      <c r="N759" s="118" t="s">
        <v>1122</v>
      </c>
      <c r="O759" s="122">
        <v>108</v>
      </c>
      <c r="P759" s="122">
        <v>109.4</v>
      </c>
      <c r="Q759" s="122">
        <v>99.2</v>
      </c>
      <c r="R759" s="122">
        <v>102.45</v>
      </c>
      <c r="S759" s="122">
        <v>88.51</v>
      </c>
      <c r="T759" s="123">
        <v>9329680</v>
      </c>
    </row>
    <row r="760" spans="6:20" x14ac:dyDescent="0.3">
      <c r="F760" s="124">
        <v>754</v>
      </c>
      <c r="G760" s="33">
        <f t="shared" ca="1" si="24"/>
        <v>3.8983653020763627E-2</v>
      </c>
      <c r="N760" s="118" t="s">
        <v>1123</v>
      </c>
      <c r="O760" s="122">
        <v>110.2</v>
      </c>
      <c r="P760" s="122">
        <v>111.4</v>
      </c>
      <c r="Q760" s="122">
        <v>105.35</v>
      </c>
      <c r="R760" s="122">
        <v>107.05</v>
      </c>
      <c r="S760" s="122">
        <v>92.48</v>
      </c>
      <c r="T760" s="123">
        <v>5844560</v>
      </c>
    </row>
    <row r="761" spans="6:20" x14ac:dyDescent="0.3">
      <c r="F761" s="124">
        <v>755</v>
      </c>
      <c r="G761" s="33">
        <f t="shared" ca="1" si="24"/>
        <v>6.8670152593524733E-3</v>
      </c>
      <c r="N761" s="118" t="s">
        <v>1124</v>
      </c>
      <c r="O761" s="122">
        <v>105.9</v>
      </c>
      <c r="P761" s="122">
        <v>109.65</v>
      </c>
      <c r="Q761" s="122">
        <v>103.4</v>
      </c>
      <c r="R761" s="122">
        <v>109.05</v>
      </c>
      <c r="S761" s="122">
        <v>94.21</v>
      </c>
      <c r="T761" s="123">
        <v>9007797</v>
      </c>
    </row>
    <row r="762" spans="6:20" x14ac:dyDescent="0.3">
      <c r="F762" s="124">
        <v>756</v>
      </c>
      <c r="G762" s="33">
        <f t="shared" ca="1" si="24"/>
        <v>1.1554356651187665E-2</v>
      </c>
      <c r="N762" s="118" t="s">
        <v>1125</v>
      </c>
      <c r="O762" s="122">
        <v>110.7</v>
      </c>
      <c r="P762" s="122">
        <v>112.4</v>
      </c>
      <c r="Q762" s="122">
        <v>103.05</v>
      </c>
      <c r="R762" s="122">
        <v>104.7</v>
      </c>
      <c r="S762" s="122">
        <v>90.45</v>
      </c>
      <c r="T762" s="123">
        <v>9072773</v>
      </c>
    </row>
    <row r="763" spans="6:20" x14ac:dyDescent="0.3">
      <c r="F763" s="124">
        <v>757</v>
      </c>
      <c r="G763" s="33">
        <f t="shared" ca="1" si="24"/>
        <v>1.393850720591059E-2</v>
      </c>
      <c r="N763" s="118" t="s">
        <v>1126</v>
      </c>
      <c r="O763" s="122">
        <v>109</v>
      </c>
      <c r="P763" s="122">
        <v>111.4</v>
      </c>
      <c r="Q763" s="122">
        <v>106.3</v>
      </c>
      <c r="R763" s="122">
        <v>109.55</v>
      </c>
      <c r="S763" s="122">
        <v>94.64</v>
      </c>
      <c r="T763" s="123">
        <v>6752628</v>
      </c>
    </row>
    <row r="764" spans="6:20" x14ac:dyDescent="0.3">
      <c r="F764" s="124">
        <v>758</v>
      </c>
      <c r="G764" s="33">
        <f t="shared" ca="1" si="24"/>
        <v>2.5971526573608378E-2</v>
      </c>
      <c r="N764" s="118" t="s">
        <v>1127</v>
      </c>
      <c r="O764" s="317" t="s">
        <v>1128</v>
      </c>
      <c r="P764" s="317"/>
      <c r="Q764" s="317"/>
      <c r="R764" s="317"/>
      <c r="S764" s="317"/>
      <c r="T764" s="317"/>
    </row>
    <row r="765" spans="6:20" x14ac:dyDescent="0.3">
      <c r="F765" s="124">
        <v>759</v>
      </c>
      <c r="G765" s="33">
        <f t="shared" ca="1" si="24"/>
        <v>8.3810282319502619E-2</v>
      </c>
      <c r="N765" s="118" t="s">
        <v>1129</v>
      </c>
      <c r="O765" s="122">
        <v>106.95</v>
      </c>
      <c r="P765" s="122">
        <v>109.45</v>
      </c>
      <c r="Q765" s="122">
        <v>105.25</v>
      </c>
      <c r="R765" s="122">
        <v>108.5</v>
      </c>
      <c r="S765" s="122">
        <v>93.73</v>
      </c>
      <c r="T765" s="123">
        <v>9918275</v>
      </c>
    </row>
    <row r="766" spans="6:20" x14ac:dyDescent="0.3">
      <c r="F766" s="124">
        <v>760</v>
      </c>
      <c r="G766" s="33">
        <f t="shared" ca="1" si="24"/>
        <v>-9.4161425189904502E-3</v>
      </c>
      <c r="N766" s="118" t="s">
        <v>1130</v>
      </c>
      <c r="O766" s="122">
        <v>103.5</v>
      </c>
      <c r="P766" s="122">
        <v>107.72</v>
      </c>
      <c r="Q766" s="122">
        <v>101.07</v>
      </c>
      <c r="R766" s="122">
        <v>105.55</v>
      </c>
      <c r="S766" s="122">
        <v>91.18</v>
      </c>
      <c r="T766" s="123">
        <v>9089516</v>
      </c>
    </row>
    <row r="767" spans="6:20" x14ac:dyDescent="0.3">
      <c r="F767" s="124">
        <v>761</v>
      </c>
      <c r="G767" s="33">
        <f t="shared" ca="1" si="24"/>
        <v>-2.5265905570102581E-2</v>
      </c>
      <c r="N767" s="118" t="s">
        <v>1131</v>
      </c>
      <c r="O767" s="122">
        <v>104.25</v>
      </c>
      <c r="P767" s="122">
        <v>106.7</v>
      </c>
      <c r="Q767" s="122">
        <v>101.8</v>
      </c>
      <c r="R767" s="122">
        <v>102.75</v>
      </c>
      <c r="S767" s="122">
        <v>88.77</v>
      </c>
      <c r="T767" s="123">
        <v>11675010</v>
      </c>
    </row>
    <row r="768" spans="6:20" x14ac:dyDescent="0.3">
      <c r="F768" s="124">
        <v>762</v>
      </c>
      <c r="G768" s="33">
        <f t="shared" ca="1" si="24"/>
        <v>3.9493934699362167E-2</v>
      </c>
      <c r="N768" s="118" t="s">
        <v>1132</v>
      </c>
      <c r="O768" s="122">
        <v>100.13</v>
      </c>
      <c r="P768" s="122">
        <v>104.5</v>
      </c>
      <c r="Q768" s="122">
        <v>99.15</v>
      </c>
      <c r="R768" s="122">
        <v>103.18</v>
      </c>
      <c r="S768" s="122">
        <v>89.13</v>
      </c>
      <c r="T768" s="123">
        <v>9418092</v>
      </c>
    </row>
    <row r="769" spans="6:20" x14ac:dyDescent="0.3">
      <c r="F769" s="124">
        <v>763</v>
      </c>
      <c r="G769" s="33">
        <f t="shared" ca="1" si="24"/>
        <v>-2.6890342956252106E-2</v>
      </c>
      <c r="N769" s="118" t="s">
        <v>1133</v>
      </c>
      <c r="O769" s="122">
        <v>101.5</v>
      </c>
      <c r="P769" s="122">
        <v>102.47</v>
      </c>
      <c r="Q769" s="122">
        <v>98.15</v>
      </c>
      <c r="R769" s="122">
        <v>100.07</v>
      </c>
      <c r="S769" s="122">
        <v>86.45</v>
      </c>
      <c r="T769" s="123">
        <v>6210780</v>
      </c>
    </row>
    <row r="770" spans="6:20" x14ac:dyDescent="0.3">
      <c r="F770" s="124">
        <v>764</v>
      </c>
      <c r="G770" s="33">
        <f t="shared" ca="1" si="24"/>
        <v>2.8454508690854315E-3</v>
      </c>
      <c r="N770" s="118" t="s">
        <v>1134</v>
      </c>
      <c r="O770" s="317" t="s">
        <v>1135</v>
      </c>
      <c r="P770" s="317"/>
      <c r="Q770" s="317"/>
      <c r="R770" s="317"/>
      <c r="S770" s="317"/>
      <c r="T770" s="317"/>
    </row>
    <row r="771" spans="6:20" x14ac:dyDescent="0.3">
      <c r="F771" s="124">
        <v>765</v>
      </c>
      <c r="G771" s="33">
        <f t="shared" ca="1" si="24"/>
        <v>-4.6272882682092682E-2</v>
      </c>
      <c r="N771" s="118" t="s">
        <v>1136</v>
      </c>
      <c r="O771" s="122">
        <v>99.95</v>
      </c>
      <c r="P771" s="122">
        <v>102.68</v>
      </c>
      <c r="Q771" s="122">
        <v>97.53</v>
      </c>
      <c r="R771" s="122">
        <v>101.7</v>
      </c>
      <c r="S771" s="122">
        <v>87.3</v>
      </c>
      <c r="T771" s="123">
        <v>8517618</v>
      </c>
    </row>
    <row r="772" spans="6:20" x14ac:dyDescent="0.3">
      <c r="F772" s="124">
        <v>766</v>
      </c>
      <c r="G772" s="33">
        <f t="shared" ca="1" si="24"/>
        <v>1.9026209468635008E-2</v>
      </c>
      <c r="N772" s="118" t="s">
        <v>1137</v>
      </c>
      <c r="O772" s="122">
        <v>107.25</v>
      </c>
      <c r="P772" s="122">
        <v>108.95</v>
      </c>
      <c r="Q772" s="122">
        <v>96.5</v>
      </c>
      <c r="R772" s="122">
        <v>98.82</v>
      </c>
      <c r="S772" s="122">
        <v>84.84</v>
      </c>
      <c r="T772" s="123">
        <v>21184262</v>
      </c>
    </row>
    <row r="773" spans="6:20" x14ac:dyDescent="0.3">
      <c r="F773" s="124">
        <v>767</v>
      </c>
      <c r="G773" s="33">
        <f t="shared" ca="1" si="24"/>
        <v>5.6157827588625808E-2</v>
      </c>
      <c r="N773" s="118" t="s">
        <v>1138</v>
      </c>
      <c r="O773" s="122">
        <v>106.5</v>
      </c>
      <c r="P773" s="122">
        <v>107.7</v>
      </c>
      <c r="Q773" s="122">
        <v>101.35</v>
      </c>
      <c r="R773" s="122">
        <v>105.75</v>
      </c>
      <c r="S773" s="122">
        <v>90.78</v>
      </c>
      <c r="T773" s="123">
        <v>11556452</v>
      </c>
    </row>
    <row r="774" spans="6:20" x14ac:dyDescent="0.3">
      <c r="F774" s="124">
        <v>768</v>
      </c>
      <c r="G774" s="33">
        <f t="shared" ca="1" si="24"/>
        <v>6.6154600126683534E-3</v>
      </c>
      <c r="N774" s="118" t="s">
        <v>1139</v>
      </c>
      <c r="O774" s="122">
        <v>106.75</v>
      </c>
      <c r="P774" s="122">
        <v>109.3</v>
      </c>
      <c r="Q774" s="122">
        <v>104.65</v>
      </c>
      <c r="R774" s="122">
        <v>106.75</v>
      </c>
      <c r="S774" s="122">
        <v>91.64</v>
      </c>
      <c r="T774" s="123">
        <v>16336306</v>
      </c>
    </row>
    <row r="775" spans="6:20" x14ac:dyDescent="0.3">
      <c r="F775" s="124">
        <v>769</v>
      </c>
      <c r="G775" s="33">
        <f t="shared" ca="1" si="24"/>
        <v>2.0958486307732328E-2</v>
      </c>
      <c r="N775" s="118" t="s">
        <v>1140</v>
      </c>
      <c r="O775" s="122">
        <v>101.28</v>
      </c>
      <c r="P775" s="122">
        <v>107.25</v>
      </c>
      <c r="Q775" s="122">
        <v>100.25</v>
      </c>
      <c r="R775" s="122">
        <v>106.25</v>
      </c>
      <c r="S775" s="122">
        <v>91.21</v>
      </c>
      <c r="T775" s="123">
        <v>9270924</v>
      </c>
    </row>
    <row r="776" spans="6:20" x14ac:dyDescent="0.3">
      <c r="F776" s="124">
        <v>770</v>
      </c>
      <c r="G776" s="33">
        <f t="shared" ref="G776:G839" ca="1" si="25">_xlfn.NORM.INV(RAND(),$M$9,$M$10)</f>
        <v>-3.1808175653896984E-3</v>
      </c>
      <c r="N776" s="118" t="s">
        <v>1141</v>
      </c>
      <c r="O776" s="122">
        <v>100.5</v>
      </c>
      <c r="P776" s="122">
        <v>105.7</v>
      </c>
      <c r="Q776" s="122">
        <v>99.78</v>
      </c>
      <c r="R776" s="122">
        <v>100.82</v>
      </c>
      <c r="S776" s="122">
        <v>86.55</v>
      </c>
      <c r="T776" s="123">
        <v>5402700</v>
      </c>
    </row>
    <row r="777" spans="6:20" x14ac:dyDescent="0.3">
      <c r="F777" s="124">
        <v>771</v>
      </c>
      <c r="G777" s="33">
        <f t="shared" ca="1" si="25"/>
        <v>4.2889245641094156E-2</v>
      </c>
      <c r="N777" s="118" t="s">
        <v>1142</v>
      </c>
      <c r="O777" s="122">
        <v>95</v>
      </c>
      <c r="P777" s="122">
        <v>102.95</v>
      </c>
      <c r="Q777" s="122">
        <v>93.32</v>
      </c>
      <c r="R777" s="122">
        <v>100.45</v>
      </c>
      <c r="S777" s="122">
        <v>86.23</v>
      </c>
      <c r="T777" s="123">
        <v>8712278</v>
      </c>
    </row>
    <row r="778" spans="6:20" x14ac:dyDescent="0.3">
      <c r="F778" s="124">
        <v>772</v>
      </c>
      <c r="G778" s="33">
        <f t="shared" ca="1" si="25"/>
        <v>-1.2958599622956375E-2</v>
      </c>
      <c r="N778" s="118" t="s">
        <v>1143</v>
      </c>
      <c r="O778" s="122">
        <v>96.35</v>
      </c>
      <c r="P778" s="122">
        <v>96.65</v>
      </c>
      <c r="Q778" s="122">
        <v>88.4</v>
      </c>
      <c r="R778" s="122">
        <v>93.07</v>
      </c>
      <c r="S778" s="122">
        <v>79.900000000000006</v>
      </c>
      <c r="T778" s="123">
        <v>2241224</v>
      </c>
    </row>
    <row r="779" spans="6:20" x14ac:dyDescent="0.3">
      <c r="F779" s="124">
        <v>773</v>
      </c>
      <c r="G779" s="33">
        <f t="shared" ca="1" si="25"/>
        <v>-1.4284265213644911E-3</v>
      </c>
      <c r="N779" s="118" t="s">
        <v>1144</v>
      </c>
      <c r="O779" s="122">
        <v>94.68</v>
      </c>
      <c r="P779" s="122">
        <v>100</v>
      </c>
      <c r="Q779" s="122">
        <v>94.68</v>
      </c>
      <c r="R779" s="122">
        <v>95.43</v>
      </c>
      <c r="S779" s="122">
        <v>81.92</v>
      </c>
      <c r="T779" s="123">
        <v>5226198</v>
      </c>
    </row>
    <row r="780" spans="6:20" x14ac:dyDescent="0.3">
      <c r="F780" s="124">
        <v>774</v>
      </c>
      <c r="G780" s="33">
        <f t="shared" ca="1" si="25"/>
        <v>-1.5564876668556417E-2</v>
      </c>
      <c r="N780" s="118" t="s">
        <v>1145</v>
      </c>
      <c r="O780" s="122">
        <v>93.25</v>
      </c>
      <c r="P780" s="122">
        <v>96.68</v>
      </c>
      <c r="Q780" s="122">
        <v>91.35</v>
      </c>
      <c r="R780" s="122">
        <v>96.2</v>
      </c>
      <c r="S780" s="122">
        <v>82.58</v>
      </c>
      <c r="T780" s="123">
        <v>2846544</v>
      </c>
    </row>
    <row r="781" spans="6:20" x14ac:dyDescent="0.3">
      <c r="F781" s="124">
        <v>775</v>
      </c>
      <c r="G781" s="33">
        <f t="shared" ca="1" si="25"/>
        <v>3.4637694192274741E-3</v>
      </c>
      <c r="N781" s="118" t="s">
        <v>1146</v>
      </c>
      <c r="O781" s="122">
        <v>92.95</v>
      </c>
      <c r="P781" s="122">
        <v>94</v>
      </c>
      <c r="Q781" s="122">
        <v>87.68</v>
      </c>
      <c r="R781" s="122">
        <v>92.68</v>
      </c>
      <c r="S781" s="122">
        <v>79.56</v>
      </c>
      <c r="T781" s="123">
        <v>2098606</v>
      </c>
    </row>
    <row r="782" spans="6:20" x14ac:dyDescent="0.3">
      <c r="F782" s="124">
        <v>776</v>
      </c>
      <c r="G782" s="33">
        <f t="shared" ca="1" si="25"/>
        <v>-1.4171858238809449E-3</v>
      </c>
      <c r="N782" s="118" t="s">
        <v>1147</v>
      </c>
      <c r="O782" s="122">
        <v>91.03</v>
      </c>
      <c r="P782" s="122">
        <v>95.2</v>
      </c>
      <c r="Q782" s="122">
        <v>90.03</v>
      </c>
      <c r="R782" s="122">
        <v>91.65</v>
      </c>
      <c r="S782" s="122">
        <v>78.680000000000007</v>
      </c>
      <c r="T782" s="123">
        <v>2392940</v>
      </c>
    </row>
    <row r="783" spans="6:20" x14ac:dyDescent="0.3">
      <c r="F783" s="124">
        <v>777</v>
      </c>
      <c r="G783" s="33">
        <f t="shared" ca="1" si="25"/>
        <v>-8.3534991444434298E-3</v>
      </c>
      <c r="N783" s="118" t="s">
        <v>1148</v>
      </c>
      <c r="O783" s="122">
        <v>91.55</v>
      </c>
      <c r="P783" s="122">
        <v>91.95</v>
      </c>
      <c r="Q783" s="122">
        <v>87.7</v>
      </c>
      <c r="R783" s="122">
        <v>91.4</v>
      </c>
      <c r="S783" s="122">
        <v>78.459999999999994</v>
      </c>
      <c r="T783" s="123">
        <v>4339406</v>
      </c>
    </row>
    <row r="784" spans="6:20" x14ac:dyDescent="0.3">
      <c r="F784" s="124">
        <v>778</v>
      </c>
      <c r="G784" s="33">
        <f t="shared" ca="1" si="25"/>
        <v>-5.1417587009299305E-2</v>
      </c>
      <c r="N784" s="118" t="s">
        <v>1149</v>
      </c>
      <c r="O784" s="122">
        <v>90.5</v>
      </c>
      <c r="P784" s="122">
        <v>95.43</v>
      </c>
      <c r="Q784" s="122">
        <v>88.68</v>
      </c>
      <c r="R784" s="122">
        <v>90.03</v>
      </c>
      <c r="S784" s="122">
        <v>77.28</v>
      </c>
      <c r="T784" s="123">
        <v>10950236</v>
      </c>
    </row>
    <row r="785" spans="6:20" x14ac:dyDescent="0.3">
      <c r="F785" s="124">
        <v>779</v>
      </c>
      <c r="G785" s="33">
        <f t="shared" ca="1" si="25"/>
        <v>-1.3819695099416728E-2</v>
      </c>
      <c r="N785" s="118" t="s">
        <v>1150</v>
      </c>
      <c r="O785" s="122">
        <v>89</v>
      </c>
      <c r="P785" s="122">
        <v>92.88</v>
      </c>
      <c r="Q785" s="122">
        <v>87.13</v>
      </c>
      <c r="R785" s="122">
        <v>90.15</v>
      </c>
      <c r="S785" s="122">
        <v>77.39</v>
      </c>
      <c r="T785" s="123">
        <v>4206924</v>
      </c>
    </row>
    <row r="786" spans="6:20" x14ac:dyDescent="0.3">
      <c r="F786" s="124">
        <v>780</v>
      </c>
      <c r="G786" s="33">
        <f t="shared" ca="1" si="25"/>
        <v>4.8319326642597908E-2</v>
      </c>
      <c r="N786" s="118" t="s">
        <v>1151</v>
      </c>
      <c r="O786" s="122">
        <v>88.57</v>
      </c>
      <c r="P786" s="122">
        <v>91.35</v>
      </c>
      <c r="Q786" s="122">
        <v>86.5</v>
      </c>
      <c r="R786" s="122">
        <v>88.65</v>
      </c>
      <c r="S786" s="122">
        <v>76.099999999999994</v>
      </c>
      <c r="T786" s="123">
        <v>4586092</v>
      </c>
    </row>
    <row r="787" spans="6:20" x14ac:dyDescent="0.3">
      <c r="F787" s="124">
        <v>781</v>
      </c>
      <c r="G787" s="33">
        <f t="shared" ca="1" si="25"/>
        <v>-7.2223265593691606E-3</v>
      </c>
      <c r="N787" s="118" t="s">
        <v>1152</v>
      </c>
      <c r="O787" s="122">
        <v>89.5</v>
      </c>
      <c r="P787" s="122">
        <v>90</v>
      </c>
      <c r="Q787" s="122">
        <v>87.55</v>
      </c>
      <c r="R787" s="122">
        <v>89.45</v>
      </c>
      <c r="S787" s="122">
        <v>76.790000000000006</v>
      </c>
      <c r="T787" s="123">
        <v>5877922</v>
      </c>
    </row>
    <row r="788" spans="6:20" x14ac:dyDescent="0.3">
      <c r="F788" s="124">
        <v>782</v>
      </c>
      <c r="G788" s="33">
        <f t="shared" ca="1" si="25"/>
        <v>-1.503747826753065E-2</v>
      </c>
      <c r="N788" s="118" t="s">
        <v>1153</v>
      </c>
      <c r="O788" s="122">
        <v>79.5</v>
      </c>
      <c r="P788" s="122">
        <v>88.95</v>
      </c>
      <c r="Q788" s="122">
        <v>79</v>
      </c>
      <c r="R788" s="122">
        <v>88.4</v>
      </c>
      <c r="S788" s="122">
        <v>75.89</v>
      </c>
      <c r="T788" s="123">
        <v>7321886</v>
      </c>
    </row>
    <row r="789" spans="6:20" x14ac:dyDescent="0.3">
      <c r="F789" s="124">
        <v>783</v>
      </c>
      <c r="G789" s="33">
        <f t="shared" ca="1" si="25"/>
        <v>-8.8805557729738985E-3</v>
      </c>
      <c r="N789" s="118" t="s">
        <v>1154</v>
      </c>
      <c r="O789" s="122">
        <v>83.25</v>
      </c>
      <c r="P789" s="122">
        <v>83.93</v>
      </c>
      <c r="Q789" s="122">
        <v>78.78</v>
      </c>
      <c r="R789" s="122">
        <v>79.38</v>
      </c>
      <c r="S789" s="122">
        <v>68.14</v>
      </c>
      <c r="T789" s="123">
        <v>4052390</v>
      </c>
    </row>
    <row r="790" spans="6:20" x14ac:dyDescent="0.3">
      <c r="F790" s="124">
        <v>784</v>
      </c>
      <c r="G790" s="33">
        <f t="shared" ca="1" si="25"/>
        <v>-3.124145725294487E-2</v>
      </c>
      <c r="N790" s="118" t="s">
        <v>1155</v>
      </c>
      <c r="O790" s="122">
        <v>81.25</v>
      </c>
      <c r="P790" s="122">
        <v>83</v>
      </c>
      <c r="Q790" s="122">
        <v>79.05</v>
      </c>
      <c r="R790" s="122">
        <v>82.6</v>
      </c>
      <c r="S790" s="122">
        <v>70.91</v>
      </c>
      <c r="T790" s="123">
        <v>3512786</v>
      </c>
    </row>
    <row r="791" spans="6:20" x14ac:dyDescent="0.3">
      <c r="F791" s="124">
        <v>785</v>
      </c>
      <c r="G791" s="33">
        <f t="shared" ca="1" si="25"/>
        <v>1.7454689273708563E-3</v>
      </c>
      <c r="N791" s="118" t="s">
        <v>1156</v>
      </c>
      <c r="O791" s="122">
        <v>84.22</v>
      </c>
      <c r="P791" s="122">
        <v>84.22</v>
      </c>
      <c r="Q791" s="122">
        <v>81.55</v>
      </c>
      <c r="R791" s="122">
        <v>82.05</v>
      </c>
      <c r="S791" s="122">
        <v>70.430000000000007</v>
      </c>
      <c r="T791" s="123">
        <v>3110268</v>
      </c>
    </row>
    <row r="792" spans="6:20" x14ac:dyDescent="0.3">
      <c r="F792" s="124">
        <v>786</v>
      </c>
      <c r="G792" s="33">
        <f t="shared" ca="1" si="25"/>
        <v>3.7011687180553955E-2</v>
      </c>
      <c r="N792" s="118" t="s">
        <v>1157</v>
      </c>
      <c r="O792" s="122">
        <v>86.5</v>
      </c>
      <c r="P792" s="122">
        <v>87.5</v>
      </c>
      <c r="Q792" s="122">
        <v>82.05</v>
      </c>
      <c r="R792" s="122">
        <v>83.72</v>
      </c>
      <c r="S792" s="122">
        <v>71.87</v>
      </c>
      <c r="T792" s="123">
        <v>4102606</v>
      </c>
    </row>
    <row r="793" spans="6:20" x14ac:dyDescent="0.3">
      <c r="F793" s="124">
        <v>787</v>
      </c>
      <c r="G793" s="33">
        <f t="shared" ca="1" si="25"/>
        <v>7.9802812340862782E-4</v>
      </c>
      <c r="N793" s="118" t="s">
        <v>1158</v>
      </c>
      <c r="O793" s="122">
        <v>84.63</v>
      </c>
      <c r="P793" s="122">
        <v>87.47</v>
      </c>
      <c r="Q793" s="122">
        <v>82.88</v>
      </c>
      <c r="R793" s="122">
        <v>84.97</v>
      </c>
      <c r="S793" s="122">
        <v>72.95</v>
      </c>
      <c r="T793" s="123">
        <v>3304774</v>
      </c>
    </row>
    <row r="794" spans="6:20" x14ac:dyDescent="0.3">
      <c r="F794" s="124">
        <v>788</v>
      </c>
      <c r="G794" s="33">
        <f t="shared" ca="1" si="25"/>
        <v>-4.367474831742958E-3</v>
      </c>
      <c r="N794" s="118" t="s">
        <v>1159</v>
      </c>
      <c r="O794" s="122">
        <v>85.9</v>
      </c>
      <c r="P794" s="122">
        <v>86</v>
      </c>
      <c r="Q794" s="122">
        <v>82.13</v>
      </c>
      <c r="R794" s="122">
        <v>84.63</v>
      </c>
      <c r="S794" s="122">
        <v>72.650000000000006</v>
      </c>
      <c r="T794" s="123">
        <v>5814402</v>
      </c>
    </row>
    <row r="795" spans="6:20" x14ac:dyDescent="0.3">
      <c r="F795" s="124">
        <v>789</v>
      </c>
      <c r="G795" s="33">
        <f t="shared" ca="1" si="25"/>
        <v>-2.5706319058132043E-3</v>
      </c>
      <c r="N795" s="118" t="s">
        <v>1160</v>
      </c>
      <c r="O795" s="122">
        <v>86.78</v>
      </c>
      <c r="P795" s="122">
        <v>86.78</v>
      </c>
      <c r="Q795" s="122">
        <v>83.75</v>
      </c>
      <c r="R795" s="122">
        <v>85.13</v>
      </c>
      <c r="S795" s="122">
        <v>73.069999999999993</v>
      </c>
      <c r="T795" s="123">
        <v>5906778</v>
      </c>
    </row>
    <row r="796" spans="6:20" x14ac:dyDescent="0.3">
      <c r="F796" s="124">
        <v>790</v>
      </c>
      <c r="G796" s="33">
        <f t="shared" ca="1" si="25"/>
        <v>1.6701040539024808E-2</v>
      </c>
      <c r="N796" s="118" t="s">
        <v>1161</v>
      </c>
      <c r="O796" s="122">
        <v>84.55</v>
      </c>
      <c r="P796" s="122">
        <v>89.47</v>
      </c>
      <c r="Q796" s="122">
        <v>84.28</v>
      </c>
      <c r="R796" s="122">
        <v>86.4</v>
      </c>
      <c r="S796" s="122">
        <v>74.17</v>
      </c>
      <c r="T796" s="123">
        <v>7907338</v>
      </c>
    </row>
    <row r="797" spans="6:20" x14ac:dyDescent="0.3">
      <c r="F797" s="124">
        <v>791</v>
      </c>
      <c r="G797" s="33">
        <f t="shared" ca="1" si="25"/>
        <v>-4.4845219474149968E-2</v>
      </c>
      <c r="N797" s="118" t="s">
        <v>1162</v>
      </c>
      <c r="O797" s="122">
        <v>80.900000000000006</v>
      </c>
      <c r="P797" s="122">
        <v>85.75</v>
      </c>
      <c r="Q797" s="122">
        <v>80.400000000000006</v>
      </c>
      <c r="R797" s="122">
        <v>85</v>
      </c>
      <c r="S797" s="122">
        <v>72.97</v>
      </c>
      <c r="T797" s="123">
        <v>6897232</v>
      </c>
    </row>
    <row r="798" spans="6:20" x14ac:dyDescent="0.3">
      <c r="F798" s="124">
        <v>792</v>
      </c>
      <c r="G798" s="33">
        <f t="shared" ca="1" si="25"/>
        <v>-3.2722639795019159E-2</v>
      </c>
      <c r="N798" s="118" t="s">
        <v>1163</v>
      </c>
      <c r="O798" s="122">
        <v>77.5</v>
      </c>
      <c r="P798" s="122">
        <v>81.25</v>
      </c>
      <c r="Q798" s="122">
        <v>73.22</v>
      </c>
      <c r="R798" s="122">
        <v>80.400000000000006</v>
      </c>
      <c r="S798" s="122">
        <v>69.02</v>
      </c>
      <c r="T798" s="123">
        <v>6533362</v>
      </c>
    </row>
    <row r="799" spans="6:20" x14ac:dyDescent="0.3">
      <c r="F799" s="124">
        <v>793</v>
      </c>
      <c r="G799" s="33">
        <f t="shared" ca="1" si="25"/>
        <v>2.3343046028812254E-2</v>
      </c>
      <c r="N799" s="118" t="s">
        <v>1164</v>
      </c>
      <c r="O799" s="122">
        <v>80.25</v>
      </c>
      <c r="P799" s="122">
        <v>81.38</v>
      </c>
      <c r="Q799" s="122">
        <v>76.75</v>
      </c>
      <c r="R799" s="122">
        <v>78.680000000000007</v>
      </c>
      <c r="S799" s="122">
        <v>67.540000000000006</v>
      </c>
      <c r="T799" s="123">
        <v>4157296</v>
      </c>
    </row>
    <row r="800" spans="6:20" x14ac:dyDescent="0.3">
      <c r="F800" s="124">
        <v>794</v>
      </c>
      <c r="G800" s="33">
        <f t="shared" ca="1" si="25"/>
        <v>-1.497825972343941E-2</v>
      </c>
      <c r="N800" s="118" t="s">
        <v>1165</v>
      </c>
      <c r="O800" s="122">
        <v>83.4</v>
      </c>
      <c r="P800" s="122">
        <v>84.07</v>
      </c>
      <c r="Q800" s="122">
        <v>80.099999999999994</v>
      </c>
      <c r="R800" s="122">
        <v>80.430000000000007</v>
      </c>
      <c r="S800" s="122">
        <v>69.040000000000006</v>
      </c>
      <c r="T800" s="123">
        <v>4042532</v>
      </c>
    </row>
    <row r="801" spans="6:20" x14ac:dyDescent="0.3">
      <c r="F801" s="124">
        <v>795</v>
      </c>
      <c r="G801" s="33">
        <f t="shared" ca="1" si="25"/>
        <v>5.5568199744604939E-2</v>
      </c>
      <c r="N801" s="118" t="s">
        <v>1166</v>
      </c>
      <c r="O801" s="122">
        <v>80</v>
      </c>
      <c r="P801" s="122">
        <v>84.5</v>
      </c>
      <c r="Q801" s="122">
        <v>79.63</v>
      </c>
      <c r="R801" s="122">
        <v>82.57</v>
      </c>
      <c r="S801" s="122">
        <v>70.89</v>
      </c>
      <c r="T801" s="123">
        <v>6668544</v>
      </c>
    </row>
    <row r="802" spans="6:20" x14ac:dyDescent="0.3">
      <c r="F802" s="124">
        <v>796</v>
      </c>
      <c r="G802" s="33">
        <f t="shared" ca="1" si="25"/>
        <v>-3.6188747395691702E-2</v>
      </c>
      <c r="N802" s="118" t="s">
        <v>1167</v>
      </c>
      <c r="O802" s="122">
        <v>81.25</v>
      </c>
      <c r="P802" s="122">
        <v>82.18</v>
      </c>
      <c r="Q802" s="122">
        <v>79</v>
      </c>
      <c r="R802" s="122">
        <v>79.25</v>
      </c>
      <c r="S802" s="122">
        <v>68.03</v>
      </c>
      <c r="T802" s="123">
        <v>2810378</v>
      </c>
    </row>
    <row r="803" spans="6:20" x14ac:dyDescent="0.3">
      <c r="F803" s="124">
        <v>797</v>
      </c>
      <c r="G803" s="33">
        <f t="shared" ca="1" si="25"/>
        <v>1.3123045635090227E-2</v>
      </c>
      <c r="N803" s="118" t="s">
        <v>1168</v>
      </c>
      <c r="O803" s="122">
        <v>82.13</v>
      </c>
      <c r="P803" s="122">
        <v>83.45</v>
      </c>
      <c r="Q803" s="122">
        <v>81</v>
      </c>
      <c r="R803" s="122">
        <v>81.25</v>
      </c>
      <c r="S803" s="122">
        <v>69.75</v>
      </c>
      <c r="T803" s="123">
        <v>2610064</v>
      </c>
    </row>
    <row r="804" spans="6:20" x14ac:dyDescent="0.3">
      <c r="F804" s="124">
        <v>798</v>
      </c>
      <c r="G804" s="33">
        <f t="shared" ca="1" si="25"/>
        <v>-2.5361304354850848E-2</v>
      </c>
      <c r="N804" s="118" t="s">
        <v>1169</v>
      </c>
      <c r="O804" s="122">
        <v>82.03</v>
      </c>
      <c r="P804" s="122">
        <v>83.45</v>
      </c>
      <c r="Q804" s="122">
        <v>80.75</v>
      </c>
      <c r="R804" s="122">
        <v>81.430000000000007</v>
      </c>
      <c r="S804" s="122">
        <v>69.900000000000006</v>
      </c>
      <c r="T804" s="123">
        <v>2180528</v>
      </c>
    </row>
    <row r="805" spans="6:20" x14ac:dyDescent="0.3">
      <c r="F805" s="124">
        <v>799</v>
      </c>
      <c r="G805" s="33">
        <f t="shared" ca="1" si="25"/>
        <v>-2.7277783667024342E-2</v>
      </c>
      <c r="N805" s="118" t="s">
        <v>1170</v>
      </c>
      <c r="O805" s="122">
        <v>81.55</v>
      </c>
      <c r="P805" s="122">
        <v>86</v>
      </c>
      <c r="Q805" s="122">
        <v>80.05</v>
      </c>
      <c r="R805" s="122">
        <v>82.65</v>
      </c>
      <c r="S805" s="122">
        <v>70.95</v>
      </c>
      <c r="T805" s="123">
        <v>5047390</v>
      </c>
    </row>
    <row r="806" spans="6:20" x14ac:dyDescent="0.3">
      <c r="F806" s="124">
        <v>800</v>
      </c>
      <c r="G806" s="33">
        <f t="shared" ca="1" si="25"/>
        <v>2.5016253601008561E-2</v>
      </c>
      <c r="N806" s="118" t="s">
        <v>1171</v>
      </c>
      <c r="O806" s="122">
        <v>82</v>
      </c>
      <c r="P806" s="122">
        <v>85.5</v>
      </c>
      <c r="Q806" s="122">
        <v>78.180000000000007</v>
      </c>
      <c r="R806" s="122">
        <v>82.5</v>
      </c>
      <c r="S806" s="122">
        <v>70.819999999999993</v>
      </c>
      <c r="T806" s="123">
        <v>6868680</v>
      </c>
    </row>
    <row r="807" spans="6:20" x14ac:dyDescent="0.3">
      <c r="F807" s="124">
        <v>801</v>
      </c>
      <c r="G807" s="33">
        <f t="shared" ca="1" si="25"/>
        <v>2.3611899590382977E-2</v>
      </c>
      <c r="N807" s="118" t="s">
        <v>1172</v>
      </c>
      <c r="O807" s="122">
        <v>80.25</v>
      </c>
      <c r="P807" s="122">
        <v>84.8</v>
      </c>
      <c r="Q807" s="122">
        <v>79.150000000000006</v>
      </c>
      <c r="R807" s="122">
        <v>81.28</v>
      </c>
      <c r="S807" s="122">
        <v>69.77</v>
      </c>
      <c r="T807" s="123">
        <v>5890018</v>
      </c>
    </row>
    <row r="808" spans="6:20" x14ac:dyDescent="0.3">
      <c r="F808" s="124">
        <v>802</v>
      </c>
      <c r="G808" s="33">
        <f t="shared" ca="1" si="25"/>
        <v>4.3764504635785836E-2</v>
      </c>
      <c r="N808" s="118" t="s">
        <v>1173</v>
      </c>
      <c r="O808" s="122">
        <v>82.25</v>
      </c>
      <c r="P808" s="122">
        <v>84.88</v>
      </c>
      <c r="Q808" s="122">
        <v>75.55</v>
      </c>
      <c r="R808" s="122">
        <v>78.97</v>
      </c>
      <c r="S808" s="122">
        <v>67.8</v>
      </c>
      <c r="T808" s="123">
        <v>9626130</v>
      </c>
    </row>
    <row r="809" spans="6:20" x14ac:dyDescent="0.3">
      <c r="F809" s="124">
        <v>803</v>
      </c>
      <c r="G809" s="33">
        <f t="shared" ca="1" si="25"/>
        <v>-4.2542532319524783E-2</v>
      </c>
      <c r="N809" s="118" t="s">
        <v>1174</v>
      </c>
      <c r="O809" s="122">
        <v>77</v>
      </c>
      <c r="P809" s="122">
        <v>84.07</v>
      </c>
      <c r="Q809" s="122">
        <v>77</v>
      </c>
      <c r="R809" s="122">
        <v>81.569999999999993</v>
      </c>
      <c r="S809" s="122">
        <v>70.03</v>
      </c>
      <c r="T809" s="123">
        <v>13503700</v>
      </c>
    </row>
    <row r="810" spans="6:20" x14ac:dyDescent="0.3">
      <c r="F810" s="124">
        <v>804</v>
      </c>
      <c r="G810" s="33">
        <f t="shared" ca="1" si="25"/>
        <v>-5.4091308743107183E-3</v>
      </c>
      <c r="N810" s="118" t="s">
        <v>1175</v>
      </c>
      <c r="O810" s="122">
        <v>76.2</v>
      </c>
      <c r="P810" s="122">
        <v>80.400000000000006</v>
      </c>
      <c r="Q810" s="122">
        <v>73.38</v>
      </c>
      <c r="R810" s="122">
        <v>76.650000000000006</v>
      </c>
      <c r="S810" s="122">
        <v>65.8</v>
      </c>
      <c r="T810" s="123">
        <v>4409644</v>
      </c>
    </row>
    <row r="811" spans="6:20" x14ac:dyDescent="0.3">
      <c r="F811" s="124">
        <v>805</v>
      </c>
      <c r="G811" s="33">
        <f t="shared" ca="1" si="25"/>
        <v>2.4773977261905642E-2</v>
      </c>
      <c r="N811" s="118" t="s">
        <v>1176</v>
      </c>
      <c r="O811" s="317" t="s">
        <v>1177</v>
      </c>
      <c r="P811" s="317"/>
      <c r="Q811" s="317"/>
      <c r="R811" s="317"/>
      <c r="S811" s="317"/>
      <c r="T811" s="317"/>
    </row>
    <row r="812" spans="6:20" x14ac:dyDescent="0.3">
      <c r="F812" s="124">
        <v>806</v>
      </c>
      <c r="G812" s="33">
        <f t="shared" ca="1" si="25"/>
        <v>1.6740419752964041E-2</v>
      </c>
      <c r="N812" s="118" t="s">
        <v>1178</v>
      </c>
      <c r="O812" s="122">
        <v>76.13</v>
      </c>
      <c r="P812" s="122">
        <v>79.400000000000006</v>
      </c>
      <c r="Q812" s="122">
        <v>72.78</v>
      </c>
      <c r="R812" s="122">
        <v>76.05</v>
      </c>
      <c r="S812" s="122">
        <v>64.97</v>
      </c>
      <c r="T812" s="123">
        <v>8777580</v>
      </c>
    </row>
    <row r="813" spans="6:20" x14ac:dyDescent="0.3">
      <c r="F813" s="124">
        <v>807</v>
      </c>
      <c r="G813" s="33">
        <f t="shared" ca="1" si="25"/>
        <v>-1.422961248731628E-2</v>
      </c>
      <c r="N813" s="118" t="s">
        <v>1179</v>
      </c>
      <c r="O813" s="122">
        <v>72.78</v>
      </c>
      <c r="P813" s="122">
        <v>76.22</v>
      </c>
      <c r="Q813" s="122">
        <v>71.05</v>
      </c>
      <c r="R813" s="122">
        <v>75.5</v>
      </c>
      <c r="S813" s="122">
        <v>64.5</v>
      </c>
      <c r="T813" s="123">
        <v>3418274</v>
      </c>
    </row>
    <row r="814" spans="6:20" x14ac:dyDescent="0.3">
      <c r="F814" s="124">
        <v>808</v>
      </c>
      <c r="G814" s="33">
        <f t="shared" ca="1" si="25"/>
        <v>-2.5129550899630201E-2</v>
      </c>
      <c r="N814" s="118" t="s">
        <v>1180</v>
      </c>
      <c r="O814" s="122">
        <v>69</v>
      </c>
      <c r="P814" s="122">
        <v>75.5</v>
      </c>
      <c r="Q814" s="122">
        <v>68.569999999999993</v>
      </c>
      <c r="R814" s="122">
        <v>72.349999999999994</v>
      </c>
      <c r="S814" s="122">
        <v>61.81</v>
      </c>
      <c r="T814" s="123">
        <v>6168128</v>
      </c>
    </row>
    <row r="815" spans="6:20" x14ac:dyDescent="0.3">
      <c r="F815" s="124">
        <v>809</v>
      </c>
      <c r="G815" s="33">
        <f t="shared" ca="1" si="25"/>
        <v>-2.1304514696982479E-2</v>
      </c>
      <c r="N815" s="118" t="s">
        <v>1181</v>
      </c>
      <c r="O815" s="122">
        <v>71</v>
      </c>
      <c r="P815" s="122">
        <v>71.95</v>
      </c>
      <c r="Q815" s="122">
        <v>67.5</v>
      </c>
      <c r="R815" s="122">
        <v>68.55</v>
      </c>
      <c r="S815" s="122">
        <v>58.56</v>
      </c>
      <c r="T815" s="123">
        <v>4063390</v>
      </c>
    </row>
    <row r="816" spans="6:20" x14ac:dyDescent="0.3">
      <c r="F816" s="124">
        <v>810</v>
      </c>
      <c r="G816" s="33">
        <f t="shared" ca="1" si="25"/>
        <v>2.942822906030269E-2</v>
      </c>
      <c r="N816" s="118" t="s">
        <v>1182</v>
      </c>
      <c r="O816" s="122">
        <v>71.650000000000006</v>
      </c>
      <c r="P816" s="122">
        <v>73.7</v>
      </c>
      <c r="Q816" s="122">
        <v>69.25</v>
      </c>
      <c r="R816" s="122">
        <v>71.22</v>
      </c>
      <c r="S816" s="122">
        <v>60.84</v>
      </c>
      <c r="T816" s="123">
        <v>5407714</v>
      </c>
    </row>
    <row r="817" spans="6:20" x14ac:dyDescent="0.3">
      <c r="F817" s="124">
        <v>811</v>
      </c>
      <c r="G817" s="33">
        <f t="shared" ca="1" si="25"/>
        <v>-2.0326226840521855E-3</v>
      </c>
      <c r="N817" s="118" t="s">
        <v>1183</v>
      </c>
      <c r="O817" s="122">
        <v>67.680000000000007</v>
      </c>
      <c r="P817" s="122">
        <v>72.2</v>
      </c>
      <c r="Q817" s="122">
        <v>65.75</v>
      </c>
      <c r="R817" s="122">
        <v>71.05</v>
      </c>
      <c r="S817" s="122">
        <v>60.7</v>
      </c>
      <c r="T817" s="123">
        <v>6866726</v>
      </c>
    </row>
    <row r="818" spans="6:20" x14ac:dyDescent="0.3">
      <c r="F818" s="124">
        <v>812</v>
      </c>
      <c r="G818" s="33">
        <f t="shared" ca="1" si="25"/>
        <v>-1.3274402712263388E-2</v>
      </c>
      <c r="N818" s="118" t="s">
        <v>1184</v>
      </c>
      <c r="O818" s="122">
        <v>63.5</v>
      </c>
      <c r="P818" s="122">
        <v>67.900000000000006</v>
      </c>
      <c r="Q818" s="122">
        <v>63.25</v>
      </c>
      <c r="R818" s="122">
        <v>67.3</v>
      </c>
      <c r="S818" s="122">
        <v>57.49</v>
      </c>
      <c r="T818" s="123">
        <v>8034816</v>
      </c>
    </row>
    <row r="819" spans="6:20" x14ac:dyDescent="0.3">
      <c r="F819" s="124">
        <v>813</v>
      </c>
      <c r="G819" s="33">
        <f t="shared" ca="1" si="25"/>
        <v>-1.8595350050256209E-2</v>
      </c>
      <c r="N819" s="118" t="s">
        <v>1185</v>
      </c>
      <c r="O819" s="122">
        <v>69.819999999999993</v>
      </c>
      <c r="P819" s="122">
        <v>69.819999999999993</v>
      </c>
      <c r="Q819" s="122">
        <v>62.7</v>
      </c>
      <c r="R819" s="122">
        <v>63.42</v>
      </c>
      <c r="S819" s="122">
        <v>54.18</v>
      </c>
      <c r="T819" s="123">
        <v>4914484</v>
      </c>
    </row>
    <row r="820" spans="6:20" x14ac:dyDescent="0.3">
      <c r="F820" s="124">
        <v>814</v>
      </c>
      <c r="G820" s="33">
        <f t="shared" ca="1" si="25"/>
        <v>1.8507625536831031E-2</v>
      </c>
      <c r="N820" s="118" t="s">
        <v>1186</v>
      </c>
      <c r="O820" s="122">
        <v>62</v>
      </c>
      <c r="P820" s="122">
        <v>70.55</v>
      </c>
      <c r="Q820" s="122">
        <v>60.75</v>
      </c>
      <c r="R820" s="122">
        <v>68.819999999999993</v>
      </c>
      <c r="S820" s="122">
        <v>58.79</v>
      </c>
      <c r="T820" s="123">
        <v>7369462</v>
      </c>
    </row>
    <row r="821" spans="6:20" x14ac:dyDescent="0.3">
      <c r="F821" s="124">
        <v>815</v>
      </c>
      <c r="G821" s="33">
        <f t="shared" ca="1" si="25"/>
        <v>-5.6656006051370696E-3</v>
      </c>
      <c r="N821" s="118" t="s">
        <v>1187</v>
      </c>
      <c r="O821" s="122">
        <v>61.75</v>
      </c>
      <c r="P821" s="122">
        <v>63.9</v>
      </c>
      <c r="Q821" s="122">
        <v>60.63</v>
      </c>
      <c r="R821" s="122">
        <v>62.35</v>
      </c>
      <c r="S821" s="122">
        <v>53.26</v>
      </c>
      <c r="T821" s="123">
        <v>5356816</v>
      </c>
    </row>
    <row r="822" spans="6:20" x14ac:dyDescent="0.3">
      <c r="F822" s="124">
        <v>816</v>
      </c>
      <c r="G822" s="33">
        <f t="shared" ca="1" si="25"/>
        <v>-1.6655939431827933E-2</v>
      </c>
      <c r="N822" s="118" t="s">
        <v>1188</v>
      </c>
      <c r="O822" s="122">
        <v>63.67</v>
      </c>
      <c r="P822" s="122">
        <v>64.2</v>
      </c>
      <c r="Q822" s="122">
        <v>53.95</v>
      </c>
      <c r="R822" s="122">
        <v>61.1</v>
      </c>
      <c r="S822" s="122">
        <v>52.2</v>
      </c>
      <c r="T822" s="123">
        <v>5558046</v>
      </c>
    </row>
    <row r="823" spans="6:20" x14ac:dyDescent="0.3">
      <c r="F823" s="124">
        <v>817</v>
      </c>
      <c r="G823" s="33">
        <f t="shared" ca="1" si="25"/>
        <v>-7.5860481586743521E-3</v>
      </c>
      <c r="N823" s="118" t="s">
        <v>1189</v>
      </c>
      <c r="O823" s="122">
        <v>66</v>
      </c>
      <c r="P823" s="122">
        <v>67.95</v>
      </c>
      <c r="Q823" s="122">
        <v>61.55</v>
      </c>
      <c r="R823" s="122">
        <v>63.67</v>
      </c>
      <c r="S823" s="122">
        <v>54.39</v>
      </c>
      <c r="T823" s="123">
        <v>3597212</v>
      </c>
    </row>
    <row r="824" spans="6:20" x14ac:dyDescent="0.3">
      <c r="F824" s="124">
        <v>818</v>
      </c>
      <c r="G824" s="33">
        <f t="shared" ca="1" si="25"/>
        <v>1.6294847688698148E-2</v>
      </c>
      <c r="N824" s="118" t="s">
        <v>1190</v>
      </c>
      <c r="O824" s="122">
        <v>69</v>
      </c>
      <c r="P824" s="122">
        <v>70.97</v>
      </c>
      <c r="Q824" s="122">
        <v>66</v>
      </c>
      <c r="R824" s="122">
        <v>66.349999999999994</v>
      </c>
      <c r="S824" s="122">
        <v>56.68</v>
      </c>
      <c r="T824" s="123">
        <v>10534558</v>
      </c>
    </row>
    <row r="825" spans="6:20" x14ac:dyDescent="0.3">
      <c r="F825" s="124">
        <v>819</v>
      </c>
      <c r="G825" s="33">
        <f t="shared" ca="1" si="25"/>
        <v>2.947984819758095E-3</v>
      </c>
      <c r="N825" s="118" t="s">
        <v>1191</v>
      </c>
      <c r="O825" s="122">
        <v>65.900000000000006</v>
      </c>
      <c r="P825" s="122">
        <v>69.72</v>
      </c>
      <c r="Q825" s="122">
        <v>65.75</v>
      </c>
      <c r="R825" s="122">
        <v>68.819999999999993</v>
      </c>
      <c r="S825" s="122">
        <v>58.79</v>
      </c>
      <c r="T825" s="123">
        <v>7313428</v>
      </c>
    </row>
    <row r="826" spans="6:20" x14ac:dyDescent="0.3">
      <c r="F826" s="124">
        <v>820</v>
      </c>
      <c r="G826" s="33">
        <f t="shared" ca="1" si="25"/>
        <v>-4.1379197612856231E-2</v>
      </c>
      <c r="N826" s="118" t="s">
        <v>1192</v>
      </c>
      <c r="O826" s="122">
        <v>66.5</v>
      </c>
      <c r="P826" s="122">
        <v>69.5</v>
      </c>
      <c r="Q826" s="122">
        <v>64.319999999999993</v>
      </c>
      <c r="R826" s="122">
        <v>64.88</v>
      </c>
      <c r="S826" s="122">
        <v>55.42</v>
      </c>
      <c r="T826" s="123">
        <v>4524166</v>
      </c>
    </row>
    <row r="827" spans="6:20" x14ac:dyDescent="0.3">
      <c r="F827" s="124">
        <v>821</v>
      </c>
      <c r="G827" s="33">
        <f t="shared" ca="1" si="25"/>
        <v>-3.0172234194833711E-3</v>
      </c>
      <c r="N827" s="118" t="s">
        <v>1193</v>
      </c>
      <c r="O827" s="122">
        <v>65.75</v>
      </c>
      <c r="P827" s="122">
        <v>67.5</v>
      </c>
      <c r="Q827" s="122">
        <v>64.150000000000006</v>
      </c>
      <c r="R827" s="122">
        <v>66</v>
      </c>
      <c r="S827" s="122">
        <v>56.38</v>
      </c>
      <c r="T827" s="123">
        <v>7204562</v>
      </c>
    </row>
    <row r="828" spans="6:20" x14ac:dyDescent="0.3">
      <c r="F828" s="124">
        <v>822</v>
      </c>
      <c r="G828" s="33">
        <f t="shared" ca="1" si="25"/>
        <v>1.1901081355986693E-3</v>
      </c>
      <c r="N828" s="118" t="s">
        <v>1194</v>
      </c>
      <c r="O828" s="122">
        <v>65.45</v>
      </c>
      <c r="P828" s="122">
        <v>66.47</v>
      </c>
      <c r="Q828" s="122">
        <v>62.03</v>
      </c>
      <c r="R828" s="122">
        <v>65.599999999999994</v>
      </c>
      <c r="S828" s="122">
        <v>56.04</v>
      </c>
      <c r="T828" s="123">
        <v>7769532</v>
      </c>
    </row>
    <row r="829" spans="6:20" x14ac:dyDescent="0.3">
      <c r="F829" s="124">
        <v>823</v>
      </c>
      <c r="G829" s="33">
        <f t="shared" ca="1" si="25"/>
        <v>1.7031302952919325E-2</v>
      </c>
      <c r="N829" s="118" t="s">
        <v>1195</v>
      </c>
      <c r="O829" s="317" t="s">
        <v>1118</v>
      </c>
      <c r="P829" s="317"/>
      <c r="Q829" s="317"/>
      <c r="R829" s="317"/>
      <c r="S829" s="317"/>
      <c r="T829" s="317"/>
    </row>
    <row r="830" spans="6:20" x14ac:dyDescent="0.3">
      <c r="F830" s="124">
        <v>824</v>
      </c>
      <c r="G830" s="33">
        <f t="shared" ca="1" si="25"/>
        <v>-5.4878695376333652E-3</v>
      </c>
      <c r="N830" s="118" t="s">
        <v>1195</v>
      </c>
      <c r="O830" s="122">
        <v>60.6</v>
      </c>
      <c r="P830" s="122">
        <v>66</v>
      </c>
      <c r="Q830" s="122">
        <v>60</v>
      </c>
      <c r="R830" s="122">
        <v>65.2</v>
      </c>
      <c r="S830" s="122">
        <v>55.24</v>
      </c>
      <c r="T830" s="123">
        <v>5668132</v>
      </c>
    </row>
    <row r="831" spans="6:20" x14ac:dyDescent="0.3">
      <c r="F831" s="124">
        <v>825</v>
      </c>
      <c r="G831" s="33">
        <f t="shared" ca="1" si="25"/>
        <v>2.3218393832314149E-2</v>
      </c>
      <c r="N831" s="118" t="s">
        <v>1196</v>
      </c>
      <c r="O831" s="122">
        <v>56.8</v>
      </c>
      <c r="P831" s="122">
        <v>61.45</v>
      </c>
      <c r="Q831" s="122">
        <v>56.8</v>
      </c>
      <c r="R831" s="122">
        <v>60.75</v>
      </c>
      <c r="S831" s="122">
        <v>51.47</v>
      </c>
      <c r="T831" s="123">
        <v>10358458</v>
      </c>
    </row>
    <row r="832" spans="6:20" x14ac:dyDescent="0.3">
      <c r="F832" s="124">
        <v>826</v>
      </c>
      <c r="G832" s="33">
        <f t="shared" ca="1" si="25"/>
        <v>2.3606245316370685E-2</v>
      </c>
      <c r="N832" s="118" t="s">
        <v>1197</v>
      </c>
      <c r="O832" s="122">
        <v>57</v>
      </c>
      <c r="P832" s="122">
        <v>58.4</v>
      </c>
      <c r="Q832" s="122">
        <v>55.65</v>
      </c>
      <c r="R832" s="122">
        <v>57.55</v>
      </c>
      <c r="S832" s="122">
        <v>48.76</v>
      </c>
      <c r="T832" s="123">
        <v>5782476</v>
      </c>
    </row>
    <row r="833" spans="6:20" x14ac:dyDescent="0.3">
      <c r="F833" s="124">
        <v>827</v>
      </c>
      <c r="G833" s="33">
        <f t="shared" ca="1" si="25"/>
        <v>-1.4646575161068223E-2</v>
      </c>
      <c r="N833" s="118" t="s">
        <v>1198</v>
      </c>
      <c r="O833" s="122">
        <v>56.45</v>
      </c>
      <c r="P833" s="122">
        <v>58.83</v>
      </c>
      <c r="Q833" s="122">
        <v>52.55</v>
      </c>
      <c r="R833" s="122">
        <v>57.58</v>
      </c>
      <c r="S833" s="122">
        <v>48.78</v>
      </c>
      <c r="T833" s="123">
        <v>12896836</v>
      </c>
    </row>
    <row r="834" spans="6:20" x14ac:dyDescent="0.3">
      <c r="F834" s="124">
        <v>828</v>
      </c>
      <c r="G834" s="33">
        <f t="shared" ca="1" si="25"/>
        <v>2.6649178815800235E-2</v>
      </c>
      <c r="N834" s="118" t="s">
        <v>1199</v>
      </c>
      <c r="O834" s="122">
        <v>56.25</v>
      </c>
      <c r="P834" s="122">
        <v>58.4</v>
      </c>
      <c r="Q834" s="122">
        <v>52.9</v>
      </c>
      <c r="R834" s="122">
        <v>56.88</v>
      </c>
      <c r="S834" s="122">
        <v>48.19</v>
      </c>
      <c r="T834" s="123">
        <v>17098182</v>
      </c>
    </row>
    <row r="835" spans="6:20" x14ac:dyDescent="0.3">
      <c r="F835" s="124">
        <v>829</v>
      </c>
      <c r="G835" s="33">
        <f t="shared" ca="1" si="25"/>
        <v>4.5267053383441563E-3</v>
      </c>
      <c r="N835" s="118" t="s">
        <v>1200</v>
      </c>
      <c r="O835" s="122">
        <v>55</v>
      </c>
      <c r="P835" s="122">
        <v>60</v>
      </c>
      <c r="Q835" s="122">
        <v>55</v>
      </c>
      <c r="R835" s="122">
        <v>55.22</v>
      </c>
      <c r="S835" s="122">
        <v>46.79</v>
      </c>
      <c r="T835" s="123">
        <v>16051398</v>
      </c>
    </row>
    <row r="836" spans="6:20" x14ac:dyDescent="0.3">
      <c r="F836" s="124">
        <v>830</v>
      </c>
      <c r="G836" s="33">
        <f t="shared" ca="1" si="25"/>
        <v>2.1150557917458547E-2</v>
      </c>
      <c r="N836" s="118" t="s">
        <v>1201</v>
      </c>
      <c r="O836" s="122">
        <v>56.35</v>
      </c>
      <c r="P836" s="122">
        <v>61.5</v>
      </c>
      <c r="Q836" s="122">
        <v>52.5</v>
      </c>
      <c r="R836" s="122">
        <v>55.47</v>
      </c>
      <c r="S836" s="122">
        <v>47</v>
      </c>
      <c r="T836" s="123">
        <v>6276336</v>
      </c>
    </row>
    <row r="837" spans="6:20" x14ac:dyDescent="0.3">
      <c r="F837" s="124">
        <v>831</v>
      </c>
      <c r="G837" s="33">
        <f t="shared" ca="1" si="25"/>
        <v>2.4307839953922057E-2</v>
      </c>
      <c r="N837" s="118" t="s">
        <v>1202</v>
      </c>
      <c r="O837" s="122">
        <v>55.5</v>
      </c>
      <c r="P837" s="122">
        <v>57.17</v>
      </c>
      <c r="Q837" s="122">
        <v>52.9</v>
      </c>
      <c r="R837" s="122">
        <v>53.17</v>
      </c>
      <c r="S837" s="122">
        <v>45.05</v>
      </c>
      <c r="T837" s="123">
        <v>10999052</v>
      </c>
    </row>
    <row r="838" spans="6:20" x14ac:dyDescent="0.3">
      <c r="F838" s="124">
        <v>832</v>
      </c>
      <c r="G838" s="33">
        <f t="shared" ca="1" si="25"/>
        <v>-4.3096876434541E-2</v>
      </c>
      <c r="N838" s="118" t="s">
        <v>1203</v>
      </c>
      <c r="O838" s="122">
        <v>52.5</v>
      </c>
      <c r="P838" s="122">
        <v>56.38</v>
      </c>
      <c r="Q838" s="122">
        <v>51.55</v>
      </c>
      <c r="R838" s="122">
        <v>55.4</v>
      </c>
      <c r="S838" s="122">
        <v>46.94</v>
      </c>
      <c r="T838" s="123">
        <v>7088174</v>
      </c>
    </row>
    <row r="839" spans="6:20" x14ac:dyDescent="0.3">
      <c r="F839" s="124">
        <v>833</v>
      </c>
      <c r="G839" s="33">
        <f t="shared" ca="1" si="25"/>
        <v>2.8825631587166528E-2</v>
      </c>
      <c r="N839" s="118" t="s">
        <v>1204</v>
      </c>
      <c r="O839" s="122">
        <v>53.55</v>
      </c>
      <c r="P839" s="122">
        <v>54.4</v>
      </c>
      <c r="Q839" s="122">
        <v>50.22</v>
      </c>
      <c r="R839" s="122">
        <v>51.5</v>
      </c>
      <c r="S839" s="122">
        <v>43.63</v>
      </c>
      <c r="T839" s="123">
        <v>6381966</v>
      </c>
    </row>
    <row r="840" spans="6:20" x14ac:dyDescent="0.3">
      <c r="F840" s="124">
        <v>834</v>
      </c>
      <c r="G840" s="33">
        <f t="shared" ref="G840:G903" ca="1" si="26">_xlfn.NORM.INV(RAND(),$M$9,$M$10)</f>
        <v>1.4510764284173621E-2</v>
      </c>
      <c r="N840" s="118" t="s">
        <v>1205</v>
      </c>
      <c r="O840" s="122">
        <v>50</v>
      </c>
      <c r="P840" s="122">
        <v>54.3</v>
      </c>
      <c r="Q840" s="122">
        <v>49.17</v>
      </c>
      <c r="R840" s="122">
        <v>53.85</v>
      </c>
      <c r="S840" s="122">
        <v>45.62</v>
      </c>
      <c r="T840" s="123">
        <v>14350436</v>
      </c>
    </row>
    <row r="841" spans="6:20" x14ac:dyDescent="0.3">
      <c r="F841" s="124">
        <v>835</v>
      </c>
      <c r="G841" s="33">
        <f t="shared" ca="1" si="26"/>
        <v>4.7510268844842982E-2</v>
      </c>
      <c r="N841" s="118" t="s">
        <v>1206</v>
      </c>
      <c r="O841" s="122">
        <v>48</v>
      </c>
      <c r="P841" s="122">
        <v>50.5</v>
      </c>
      <c r="Q841" s="122">
        <v>47.5</v>
      </c>
      <c r="R841" s="122">
        <v>49.83</v>
      </c>
      <c r="S841" s="122">
        <v>42.21</v>
      </c>
      <c r="T841" s="123">
        <v>2681734</v>
      </c>
    </row>
    <row r="842" spans="6:20" x14ac:dyDescent="0.3">
      <c r="F842" s="124">
        <v>836</v>
      </c>
      <c r="G842" s="33">
        <f t="shared" ca="1" si="26"/>
        <v>2.6611235557656415E-2</v>
      </c>
      <c r="N842" s="118" t="s">
        <v>1207</v>
      </c>
      <c r="O842" s="122">
        <v>48</v>
      </c>
      <c r="P842" s="122">
        <v>49</v>
      </c>
      <c r="Q842" s="122">
        <v>46.5</v>
      </c>
      <c r="R842" s="122">
        <v>47.55</v>
      </c>
      <c r="S842" s="122">
        <v>40.29</v>
      </c>
      <c r="T842" s="123">
        <v>1128560</v>
      </c>
    </row>
    <row r="843" spans="6:20" x14ac:dyDescent="0.3">
      <c r="F843" s="124">
        <v>837</v>
      </c>
      <c r="G843" s="33">
        <f t="shared" ca="1" si="26"/>
        <v>9.853587265557847E-3</v>
      </c>
      <c r="N843" s="118" t="s">
        <v>1208</v>
      </c>
      <c r="O843" s="122">
        <v>46.85</v>
      </c>
      <c r="P843" s="122">
        <v>50</v>
      </c>
      <c r="Q843" s="122">
        <v>46.5</v>
      </c>
      <c r="R843" s="122">
        <v>47.8</v>
      </c>
      <c r="S843" s="122">
        <v>40.5</v>
      </c>
      <c r="T843" s="123">
        <v>1435344</v>
      </c>
    </row>
    <row r="844" spans="6:20" x14ac:dyDescent="0.3">
      <c r="F844" s="124">
        <v>838</v>
      </c>
      <c r="G844" s="33">
        <f t="shared" ca="1" si="26"/>
        <v>-6.9780052429032199E-3</v>
      </c>
      <c r="N844" s="118" t="s">
        <v>1209</v>
      </c>
      <c r="O844" s="122">
        <v>47</v>
      </c>
      <c r="P844" s="122">
        <v>48.5</v>
      </c>
      <c r="Q844" s="122">
        <v>45.67</v>
      </c>
      <c r="R844" s="122">
        <v>46.85</v>
      </c>
      <c r="S844" s="122">
        <v>39.69</v>
      </c>
      <c r="T844" s="123">
        <v>2974366</v>
      </c>
    </row>
    <row r="845" spans="6:20" x14ac:dyDescent="0.3">
      <c r="F845" s="124">
        <v>839</v>
      </c>
      <c r="G845" s="33">
        <f t="shared" ca="1" si="26"/>
        <v>9.7370110783772321E-3</v>
      </c>
      <c r="N845" s="118" t="s">
        <v>1210</v>
      </c>
      <c r="O845" s="122">
        <v>45.05</v>
      </c>
      <c r="P845" s="122">
        <v>47.88</v>
      </c>
      <c r="Q845" s="122">
        <v>45.05</v>
      </c>
      <c r="R845" s="122">
        <v>46.5</v>
      </c>
      <c r="S845" s="122">
        <v>39.4</v>
      </c>
      <c r="T845" s="123">
        <v>3829458</v>
      </c>
    </row>
    <row r="846" spans="6:20" x14ac:dyDescent="0.3">
      <c r="F846" s="124">
        <v>840</v>
      </c>
      <c r="G846" s="33">
        <f t="shared" ca="1" si="26"/>
        <v>1.284607433651766E-2</v>
      </c>
      <c r="N846" s="118" t="s">
        <v>1211</v>
      </c>
      <c r="O846" s="122">
        <v>43.72</v>
      </c>
      <c r="P846" s="122">
        <v>46.05</v>
      </c>
      <c r="Q846" s="122">
        <v>43.28</v>
      </c>
      <c r="R846" s="122">
        <v>45.88</v>
      </c>
      <c r="S846" s="122">
        <v>38.869999999999997</v>
      </c>
      <c r="T846" s="123">
        <v>3873074</v>
      </c>
    </row>
    <row r="847" spans="6:20" x14ac:dyDescent="0.3">
      <c r="F847" s="124">
        <v>841</v>
      </c>
      <c r="G847" s="33">
        <f t="shared" ca="1" si="26"/>
        <v>7.3624019480837369E-2</v>
      </c>
      <c r="N847" s="118" t="s">
        <v>1212</v>
      </c>
      <c r="O847" s="122">
        <v>45</v>
      </c>
      <c r="P847" s="122">
        <v>45.7</v>
      </c>
      <c r="Q847" s="122">
        <v>43.25</v>
      </c>
      <c r="R847" s="122">
        <v>44.45</v>
      </c>
      <c r="S847" s="122">
        <v>37.659999999999997</v>
      </c>
      <c r="T847" s="123">
        <v>3525224</v>
      </c>
    </row>
    <row r="848" spans="6:20" x14ac:dyDescent="0.3">
      <c r="F848" s="124">
        <v>842</v>
      </c>
      <c r="G848" s="33">
        <f t="shared" ca="1" si="26"/>
        <v>1.6745373795676328E-2</v>
      </c>
      <c r="N848" s="118" t="s">
        <v>1213</v>
      </c>
      <c r="O848" s="122">
        <v>45.47</v>
      </c>
      <c r="P848" s="122">
        <v>47.5</v>
      </c>
      <c r="Q848" s="122">
        <v>43.2</v>
      </c>
      <c r="R848" s="122">
        <v>45.58</v>
      </c>
      <c r="S848" s="122">
        <v>38.61</v>
      </c>
      <c r="T848" s="123">
        <v>2405762</v>
      </c>
    </row>
    <row r="849" spans="6:20" x14ac:dyDescent="0.3">
      <c r="F849" s="124">
        <v>843</v>
      </c>
      <c r="G849" s="33">
        <f t="shared" ca="1" si="26"/>
        <v>2.6050907837609664E-2</v>
      </c>
      <c r="N849" s="118" t="s">
        <v>1214</v>
      </c>
      <c r="O849" s="122">
        <v>47.25</v>
      </c>
      <c r="P849" s="122">
        <v>47.72</v>
      </c>
      <c r="Q849" s="122">
        <v>45</v>
      </c>
      <c r="R849" s="122">
        <v>45.47</v>
      </c>
      <c r="S849" s="122">
        <v>38.53</v>
      </c>
      <c r="T849" s="123">
        <v>2811176</v>
      </c>
    </row>
    <row r="850" spans="6:20" x14ac:dyDescent="0.3">
      <c r="F850" s="124">
        <v>844</v>
      </c>
      <c r="G850" s="33">
        <f t="shared" ca="1" si="26"/>
        <v>4.2903807041390032E-2</v>
      </c>
      <c r="N850" s="118" t="s">
        <v>1215</v>
      </c>
      <c r="O850" s="122">
        <v>46.2</v>
      </c>
      <c r="P850" s="122">
        <v>46.5</v>
      </c>
      <c r="Q850" s="122">
        <v>44.13</v>
      </c>
      <c r="R850" s="122">
        <v>46.25</v>
      </c>
      <c r="S850" s="122">
        <v>39.18</v>
      </c>
      <c r="T850" s="123">
        <v>2621414</v>
      </c>
    </row>
    <row r="851" spans="6:20" x14ac:dyDescent="0.3">
      <c r="F851" s="124">
        <v>845</v>
      </c>
      <c r="G851" s="33">
        <f t="shared" ca="1" si="26"/>
        <v>-1.1577961805917976E-2</v>
      </c>
      <c r="N851" s="118" t="s">
        <v>1216</v>
      </c>
      <c r="O851" s="317" t="s">
        <v>1177</v>
      </c>
      <c r="P851" s="317"/>
      <c r="Q851" s="317"/>
      <c r="R851" s="317"/>
      <c r="S851" s="317"/>
      <c r="T851" s="317"/>
    </row>
    <row r="852" spans="6:20" x14ac:dyDescent="0.3">
      <c r="F852" s="124">
        <v>846</v>
      </c>
      <c r="G852" s="33">
        <f t="shared" ca="1" si="26"/>
        <v>-3.0838098469818141E-2</v>
      </c>
      <c r="N852" s="118" t="s">
        <v>1216</v>
      </c>
      <c r="O852" s="122">
        <v>43.15</v>
      </c>
      <c r="P852" s="122">
        <v>46.47</v>
      </c>
      <c r="Q852" s="122">
        <v>42.78</v>
      </c>
      <c r="R852" s="122">
        <v>45.67</v>
      </c>
      <c r="S852" s="122">
        <v>38.369999999999997</v>
      </c>
      <c r="T852" s="123">
        <v>7872946</v>
      </c>
    </row>
    <row r="853" spans="6:20" x14ac:dyDescent="0.3">
      <c r="F853" s="124">
        <v>847</v>
      </c>
      <c r="G853" s="33">
        <f t="shared" ca="1" si="26"/>
        <v>-1.5685062449846746E-2</v>
      </c>
      <c r="N853" s="118" t="s">
        <v>1217</v>
      </c>
      <c r="O853" s="122">
        <v>44.58</v>
      </c>
      <c r="P853" s="122">
        <v>44.95</v>
      </c>
      <c r="Q853" s="122">
        <v>42.2</v>
      </c>
      <c r="R853" s="122">
        <v>43.97</v>
      </c>
      <c r="S853" s="122">
        <v>36.94</v>
      </c>
      <c r="T853" s="123">
        <v>8368040</v>
      </c>
    </row>
    <row r="854" spans="6:20" x14ac:dyDescent="0.3">
      <c r="F854" s="124">
        <v>848</v>
      </c>
      <c r="G854" s="33">
        <f t="shared" ca="1" si="26"/>
        <v>2.4060909357524513E-4</v>
      </c>
      <c r="N854" s="118" t="s">
        <v>1218</v>
      </c>
      <c r="O854" s="122">
        <v>46.25</v>
      </c>
      <c r="P854" s="122">
        <v>46.25</v>
      </c>
      <c r="Q854" s="122">
        <v>43.13</v>
      </c>
      <c r="R854" s="122">
        <v>44.58</v>
      </c>
      <c r="S854" s="122">
        <v>37.44</v>
      </c>
      <c r="T854" s="123">
        <v>2409446</v>
      </c>
    </row>
    <row r="855" spans="6:20" x14ac:dyDescent="0.3">
      <c r="F855" s="124">
        <v>849</v>
      </c>
      <c r="G855" s="33">
        <f t="shared" ca="1" si="26"/>
        <v>-1.7785455454977433E-2</v>
      </c>
      <c r="N855" s="118" t="s">
        <v>1219</v>
      </c>
      <c r="O855" s="122">
        <v>44.88</v>
      </c>
      <c r="P855" s="122">
        <v>47.13</v>
      </c>
      <c r="Q855" s="122">
        <v>43.25</v>
      </c>
      <c r="R855" s="122">
        <v>45</v>
      </c>
      <c r="S855" s="122">
        <v>37.799999999999997</v>
      </c>
      <c r="T855" s="123">
        <v>4500322</v>
      </c>
    </row>
    <row r="856" spans="6:20" x14ac:dyDescent="0.3">
      <c r="F856" s="124">
        <v>850</v>
      </c>
      <c r="G856" s="33">
        <f t="shared" ca="1" si="26"/>
        <v>1.0948090598816004E-2</v>
      </c>
      <c r="N856" s="118" t="s">
        <v>1220</v>
      </c>
      <c r="O856" s="122">
        <v>42.55</v>
      </c>
      <c r="P856" s="122">
        <v>45</v>
      </c>
      <c r="Q856" s="122">
        <v>42.1</v>
      </c>
      <c r="R856" s="122">
        <v>44.08</v>
      </c>
      <c r="S856" s="122">
        <v>37.020000000000003</v>
      </c>
      <c r="T856" s="123">
        <v>2880630</v>
      </c>
    </row>
    <row r="857" spans="6:20" x14ac:dyDescent="0.3">
      <c r="F857" s="124">
        <v>851</v>
      </c>
      <c r="G857" s="33">
        <f t="shared" ca="1" si="26"/>
        <v>2.932903971127921E-2</v>
      </c>
      <c r="N857" s="118" t="s">
        <v>1221</v>
      </c>
      <c r="O857" s="122">
        <v>42</v>
      </c>
      <c r="P857" s="122">
        <v>42.78</v>
      </c>
      <c r="Q857" s="122">
        <v>40.78</v>
      </c>
      <c r="R857" s="122">
        <v>42.47</v>
      </c>
      <c r="S857" s="122">
        <v>35.68</v>
      </c>
      <c r="T857" s="123">
        <v>2605614</v>
      </c>
    </row>
    <row r="858" spans="6:20" x14ac:dyDescent="0.3">
      <c r="F858" s="124">
        <v>852</v>
      </c>
      <c r="G858" s="33">
        <f t="shared" ca="1" si="26"/>
        <v>-1.9733363491063385E-2</v>
      </c>
      <c r="N858" s="118" t="s">
        <v>1222</v>
      </c>
      <c r="O858" s="122">
        <v>41.92</v>
      </c>
      <c r="P858" s="122">
        <v>42.67</v>
      </c>
      <c r="Q858" s="122">
        <v>40</v>
      </c>
      <c r="R858" s="122">
        <v>41.55</v>
      </c>
      <c r="S858" s="122">
        <v>34.9</v>
      </c>
      <c r="T858" s="123">
        <v>1583398</v>
      </c>
    </row>
    <row r="859" spans="6:20" x14ac:dyDescent="0.3">
      <c r="F859" s="124">
        <v>853</v>
      </c>
      <c r="G859" s="33">
        <f t="shared" ca="1" si="26"/>
        <v>7.38023757391673E-2</v>
      </c>
      <c r="N859" s="118" t="s">
        <v>1223</v>
      </c>
      <c r="O859" s="122">
        <v>39</v>
      </c>
      <c r="P859" s="122">
        <v>42.47</v>
      </c>
      <c r="Q859" s="122">
        <v>38.700000000000003</v>
      </c>
      <c r="R859" s="122">
        <v>41.92</v>
      </c>
      <c r="S859" s="122">
        <v>35.22</v>
      </c>
      <c r="T859" s="123">
        <v>7670908</v>
      </c>
    </row>
    <row r="860" spans="6:20" x14ac:dyDescent="0.3">
      <c r="F860" s="124">
        <v>854</v>
      </c>
      <c r="G860" s="33">
        <f t="shared" ca="1" si="26"/>
        <v>4.9369429095943086E-2</v>
      </c>
      <c r="N860" s="118" t="s">
        <v>1224</v>
      </c>
      <c r="O860" s="122">
        <v>42.4</v>
      </c>
      <c r="P860" s="122">
        <v>42.4</v>
      </c>
      <c r="Q860" s="122">
        <v>37.5</v>
      </c>
      <c r="R860" s="122">
        <v>39.15</v>
      </c>
      <c r="S860" s="122">
        <v>32.89</v>
      </c>
      <c r="T860" s="123">
        <v>7060242</v>
      </c>
    </row>
    <row r="861" spans="6:20" x14ac:dyDescent="0.3">
      <c r="F861" s="124">
        <v>855</v>
      </c>
      <c r="G861" s="33">
        <f t="shared" ca="1" si="26"/>
        <v>-2.4275004893434876E-3</v>
      </c>
      <c r="N861" s="118" t="s">
        <v>1225</v>
      </c>
      <c r="O861" s="122">
        <v>41.47</v>
      </c>
      <c r="P861" s="122">
        <v>42.75</v>
      </c>
      <c r="Q861" s="122">
        <v>39.15</v>
      </c>
      <c r="R861" s="122">
        <v>40.65</v>
      </c>
      <c r="S861" s="122">
        <v>34.15</v>
      </c>
      <c r="T861" s="123">
        <v>8558708</v>
      </c>
    </row>
    <row r="862" spans="6:20" x14ac:dyDescent="0.3">
      <c r="F862" s="124">
        <v>856</v>
      </c>
      <c r="G862" s="33">
        <f t="shared" ca="1" si="26"/>
        <v>2.032255457571051E-2</v>
      </c>
      <c r="N862" s="118" t="s">
        <v>1226</v>
      </c>
      <c r="O862" s="122">
        <v>37.75</v>
      </c>
      <c r="P862" s="122">
        <v>41.17</v>
      </c>
      <c r="Q862" s="122">
        <v>36.799999999999997</v>
      </c>
      <c r="R862" s="122">
        <v>40.97</v>
      </c>
      <c r="S862" s="122">
        <v>34.42</v>
      </c>
      <c r="T862" s="123">
        <v>8005830</v>
      </c>
    </row>
    <row r="863" spans="6:20" x14ac:dyDescent="0.3">
      <c r="F863" s="124">
        <v>857</v>
      </c>
      <c r="G863" s="33">
        <f t="shared" ca="1" si="26"/>
        <v>4.5598236918593112E-2</v>
      </c>
      <c r="N863" s="118" t="s">
        <v>1227</v>
      </c>
      <c r="O863" s="122">
        <v>42.85</v>
      </c>
      <c r="P863" s="122">
        <v>42.85</v>
      </c>
      <c r="Q863" s="122">
        <v>36.83</v>
      </c>
      <c r="R863" s="122">
        <v>37.4</v>
      </c>
      <c r="S863" s="122">
        <v>31.42</v>
      </c>
      <c r="T863" s="123">
        <v>9220994</v>
      </c>
    </row>
    <row r="864" spans="6:20" x14ac:dyDescent="0.3">
      <c r="F864" s="124">
        <v>858</v>
      </c>
      <c r="G864" s="33">
        <f t="shared" ca="1" si="26"/>
        <v>2.1701281568705603E-2</v>
      </c>
      <c r="N864" s="118" t="s">
        <v>1228</v>
      </c>
      <c r="O864" s="122">
        <v>43.75</v>
      </c>
      <c r="P864" s="122">
        <v>45.5</v>
      </c>
      <c r="Q864" s="122">
        <v>41.9</v>
      </c>
      <c r="R864" s="122">
        <v>42.67</v>
      </c>
      <c r="S864" s="122">
        <v>35.85</v>
      </c>
      <c r="T864" s="123">
        <v>5531838</v>
      </c>
    </row>
    <row r="865" spans="6:20" x14ac:dyDescent="0.3">
      <c r="F865" s="124">
        <v>859</v>
      </c>
      <c r="G865" s="33">
        <f t="shared" ca="1" si="26"/>
        <v>-9.0752767302680927E-3</v>
      </c>
      <c r="N865" s="118" t="s">
        <v>1229</v>
      </c>
      <c r="O865" s="122">
        <v>41</v>
      </c>
      <c r="P865" s="122">
        <v>45.45</v>
      </c>
      <c r="Q865" s="122">
        <v>39.049999999999997</v>
      </c>
      <c r="R865" s="122">
        <v>43.05</v>
      </c>
      <c r="S865" s="122">
        <v>36.159999999999997</v>
      </c>
      <c r="T865" s="123">
        <v>5335824</v>
      </c>
    </row>
    <row r="866" spans="6:20" x14ac:dyDescent="0.3">
      <c r="F866" s="124">
        <v>860</v>
      </c>
      <c r="G866" s="33">
        <f t="shared" ca="1" si="26"/>
        <v>1.8599690830759474E-2</v>
      </c>
      <c r="N866" s="118" t="s">
        <v>1230</v>
      </c>
      <c r="O866" s="122">
        <v>36</v>
      </c>
      <c r="P866" s="122">
        <v>42.47</v>
      </c>
      <c r="Q866" s="122">
        <v>30.08</v>
      </c>
      <c r="R866" s="122">
        <v>40.799999999999997</v>
      </c>
      <c r="S866" s="122">
        <v>34.270000000000003</v>
      </c>
      <c r="T866" s="123">
        <v>1955216</v>
      </c>
    </row>
    <row r="867" spans="6:20" x14ac:dyDescent="0.3">
      <c r="F867" s="124">
        <v>861</v>
      </c>
      <c r="G867" s="33">
        <f t="shared" ca="1" si="26"/>
        <v>-3.5290663664758914E-2</v>
      </c>
      <c r="N867" s="118" t="s">
        <v>1231</v>
      </c>
      <c r="O867" s="122">
        <v>41.25</v>
      </c>
      <c r="P867" s="122">
        <v>41.5</v>
      </c>
      <c r="Q867" s="122">
        <v>35</v>
      </c>
      <c r="R867" s="122">
        <v>35.85</v>
      </c>
      <c r="S867" s="122">
        <v>30.11</v>
      </c>
      <c r="T867" s="123">
        <v>1912430</v>
      </c>
    </row>
    <row r="868" spans="6:20" x14ac:dyDescent="0.3">
      <c r="F868" s="124">
        <v>862</v>
      </c>
      <c r="G868" s="33">
        <f t="shared" ca="1" si="26"/>
        <v>1.9092603780949347E-2</v>
      </c>
      <c r="N868" s="118" t="s">
        <v>1232</v>
      </c>
      <c r="O868" s="122">
        <v>40.130000000000003</v>
      </c>
      <c r="P868" s="122">
        <v>41.13</v>
      </c>
      <c r="Q868" s="122">
        <v>36.03</v>
      </c>
      <c r="R868" s="122">
        <v>40.5</v>
      </c>
      <c r="S868" s="122">
        <v>34.020000000000003</v>
      </c>
      <c r="T868" s="123">
        <v>4095486</v>
      </c>
    </row>
    <row r="869" spans="6:20" x14ac:dyDescent="0.3">
      <c r="F869" s="124">
        <v>863</v>
      </c>
      <c r="G869" s="33">
        <f t="shared" ca="1" si="26"/>
        <v>5.0751470147649039E-2</v>
      </c>
      <c r="N869" s="118" t="s">
        <v>1233</v>
      </c>
      <c r="O869" s="122">
        <v>44.5</v>
      </c>
      <c r="P869" s="122">
        <v>44.85</v>
      </c>
      <c r="Q869" s="122">
        <v>37.630000000000003</v>
      </c>
      <c r="R869" s="122">
        <v>39.799999999999997</v>
      </c>
      <c r="S869" s="122">
        <v>33.43</v>
      </c>
      <c r="T869" s="123">
        <v>10999462</v>
      </c>
    </row>
    <row r="870" spans="6:20" x14ac:dyDescent="0.3">
      <c r="F870" s="124">
        <v>864</v>
      </c>
      <c r="G870" s="33">
        <f t="shared" ca="1" si="26"/>
        <v>-3.3371243956179207E-2</v>
      </c>
      <c r="N870" s="118" t="s">
        <v>1234</v>
      </c>
      <c r="O870" s="122">
        <v>44.5</v>
      </c>
      <c r="P870" s="122">
        <v>45.92</v>
      </c>
      <c r="Q870" s="122">
        <v>42.03</v>
      </c>
      <c r="R870" s="122">
        <v>45.03</v>
      </c>
      <c r="S870" s="122">
        <v>37.82</v>
      </c>
      <c r="T870" s="123">
        <v>6548272</v>
      </c>
    </row>
    <row r="871" spans="6:20" x14ac:dyDescent="0.3">
      <c r="F871" s="124">
        <v>865</v>
      </c>
      <c r="G871" s="33">
        <f t="shared" ca="1" si="26"/>
        <v>-1.9383681173479033E-2</v>
      </c>
      <c r="N871" s="118" t="s">
        <v>1235</v>
      </c>
      <c r="O871" s="122">
        <v>44.3</v>
      </c>
      <c r="P871" s="122">
        <v>45.95</v>
      </c>
      <c r="Q871" s="122">
        <v>42.7</v>
      </c>
      <c r="R871" s="122">
        <v>44.47</v>
      </c>
      <c r="S871" s="122">
        <v>37.36</v>
      </c>
      <c r="T871" s="123">
        <v>3628612</v>
      </c>
    </row>
    <row r="872" spans="6:20" x14ac:dyDescent="0.3">
      <c r="F872" s="124">
        <v>866</v>
      </c>
      <c r="G872" s="33">
        <f t="shared" ca="1" si="26"/>
        <v>1.4450677405417386E-2</v>
      </c>
      <c r="N872" s="118" t="s">
        <v>1236</v>
      </c>
      <c r="O872" s="122">
        <v>44.9</v>
      </c>
      <c r="P872" s="122">
        <v>45.5</v>
      </c>
      <c r="Q872" s="122">
        <v>42.5</v>
      </c>
      <c r="R872" s="122">
        <v>44.45</v>
      </c>
      <c r="S872" s="122">
        <v>37.340000000000003</v>
      </c>
      <c r="T872" s="123">
        <v>5337396</v>
      </c>
    </row>
    <row r="873" spans="6:20" x14ac:dyDescent="0.3">
      <c r="F873" s="124">
        <v>867</v>
      </c>
      <c r="G873" s="33">
        <f t="shared" ca="1" si="26"/>
        <v>1.2527711585140284E-2</v>
      </c>
      <c r="N873" s="118" t="s">
        <v>1237</v>
      </c>
      <c r="O873" s="122">
        <v>49</v>
      </c>
      <c r="P873" s="122">
        <v>49.25</v>
      </c>
      <c r="Q873" s="122">
        <v>44.3</v>
      </c>
      <c r="R873" s="122">
        <v>44.9</v>
      </c>
      <c r="S873" s="122">
        <v>37.72</v>
      </c>
      <c r="T873" s="123">
        <v>3942606</v>
      </c>
    </row>
    <row r="874" spans="6:20" x14ac:dyDescent="0.3">
      <c r="F874" s="124">
        <v>868</v>
      </c>
      <c r="G874" s="33">
        <f t="shared" ca="1" si="26"/>
        <v>1.8767428348119734E-2</v>
      </c>
      <c r="N874" s="118" t="s">
        <v>1238</v>
      </c>
      <c r="O874" s="122">
        <v>45.72</v>
      </c>
      <c r="P874" s="122">
        <v>49.22</v>
      </c>
      <c r="Q874" s="122">
        <v>45.5</v>
      </c>
      <c r="R874" s="122">
        <v>48.3</v>
      </c>
      <c r="S874" s="122">
        <v>40.57</v>
      </c>
      <c r="T874" s="123">
        <v>13808682</v>
      </c>
    </row>
    <row r="875" spans="6:20" x14ac:dyDescent="0.3">
      <c r="F875" s="124">
        <v>869</v>
      </c>
      <c r="G875" s="33">
        <f t="shared" ca="1" si="26"/>
        <v>5.6670377355109644E-2</v>
      </c>
      <c r="N875" s="118" t="s">
        <v>1239</v>
      </c>
      <c r="O875" s="122">
        <v>45.3</v>
      </c>
      <c r="P875" s="122">
        <v>46.85</v>
      </c>
      <c r="Q875" s="122">
        <v>42.63</v>
      </c>
      <c r="R875" s="122">
        <v>45.72</v>
      </c>
      <c r="S875" s="122">
        <v>38.409999999999997</v>
      </c>
      <c r="T875" s="123">
        <v>4289816</v>
      </c>
    </row>
    <row r="876" spans="6:20" x14ac:dyDescent="0.3">
      <c r="F876" s="124">
        <v>870</v>
      </c>
      <c r="G876" s="33">
        <f t="shared" ca="1" si="26"/>
        <v>-2.2607486712786191E-2</v>
      </c>
      <c r="N876" s="118" t="s">
        <v>1240</v>
      </c>
      <c r="O876" s="122">
        <v>45.25</v>
      </c>
      <c r="P876" s="122">
        <v>48.25</v>
      </c>
      <c r="Q876" s="122">
        <v>43</v>
      </c>
      <c r="R876" s="122">
        <v>44.7</v>
      </c>
      <c r="S876" s="122">
        <v>37.549999999999997</v>
      </c>
      <c r="T876" s="123">
        <v>8742310</v>
      </c>
    </row>
    <row r="877" spans="6:20" x14ac:dyDescent="0.3">
      <c r="F877" s="124">
        <v>871</v>
      </c>
      <c r="G877" s="33">
        <f t="shared" ca="1" si="26"/>
        <v>-3.2183924867078231E-2</v>
      </c>
      <c r="N877" s="118" t="s">
        <v>1241</v>
      </c>
      <c r="O877" s="122">
        <v>45.55</v>
      </c>
      <c r="P877" s="122">
        <v>46.45</v>
      </c>
      <c r="Q877" s="122">
        <v>44.55</v>
      </c>
      <c r="R877" s="122">
        <v>45.5</v>
      </c>
      <c r="S877" s="122">
        <v>38.22</v>
      </c>
      <c r="T877" s="123">
        <v>5311776</v>
      </c>
    </row>
    <row r="878" spans="6:20" x14ac:dyDescent="0.3">
      <c r="F878" s="124">
        <v>872</v>
      </c>
      <c r="G878" s="33">
        <f t="shared" ca="1" si="26"/>
        <v>3.93497654900179E-3</v>
      </c>
      <c r="N878" s="118" t="s">
        <v>1242</v>
      </c>
      <c r="O878" s="122">
        <v>46.4</v>
      </c>
      <c r="P878" s="122">
        <v>47.45</v>
      </c>
      <c r="Q878" s="122">
        <v>44.5</v>
      </c>
      <c r="R878" s="122">
        <v>45.03</v>
      </c>
      <c r="S878" s="122">
        <v>37.82</v>
      </c>
      <c r="T878" s="123">
        <v>2640750</v>
      </c>
    </row>
    <row r="879" spans="6:20" x14ac:dyDescent="0.3">
      <c r="F879" s="124">
        <v>873</v>
      </c>
      <c r="G879" s="33">
        <f t="shared" ca="1" si="26"/>
        <v>3.4962138898658728E-2</v>
      </c>
      <c r="N879" s="118" t="s">
        <v>1243</v>
      </c>
      <c r="O879" s="122">
        <v>46.05</v>
      </c>
      <c r="P879" s="122">
        <v>47.85</v>
      </c>
      <c r="Q879" s="122">
        <v>44.05</v>
      </c>
      <c r="R879" s="122">
        <v>45.2</v>
      </c>
      <c r="S879" s="122">
        <v>37.97</v>
      </c>
      <c r="T879" s="123">
        <v>6259072</v>
      </c>
    </row>
    <row r="880" spans="6:20" x14ac:dyDescent="0.3">
      <c r="F880" s="124">
        <v>874</v>
      </c>
      <c r="G880" s="33">
        <f t="shared" ca="1" si="26"/>
        <v>-7.8293102614159921E-3</v>
      </c>
      <c r="N880" s="118" t="s">
        <v>1244</v>
      </c>
      <c r="O880" s="122">
        <v>44.97</v>
      </c>
      <c r="P880" s="122">
        <v>47.45</v>
      </c>
      <c r="Q880" s="122">
        <v>44.03</v>
      </c>
      <c r="R880" s="122">
        <v>46.08</v>
      </c>
      <c r="S880" s="122">
        <v>38.700000000000003</v>
      </c>
      <c r="T880" s="123">
        <v>2638296</v>
      </c>
    </row>
    <row r="881" spans="6:20" x14ac:dyDescent="0.3">
      <c r="F881" s="124">
        <v>875</v>
      </c>
      <c r="G881" s="33">
        <f t="shared" ca="1" si="26"/>
        <v>2.694178239580897E-2</v>
      </c>
      <c r="N881" s="118" t="s">
        <v>1245</v>
      </c>
      <c r="O881" s="122">
        <v>47.45</v>
      </c>
      <c r="P881" s="122">
        <v>47.75</v>
      </c>
      <c r="Q881" s="122">
        <v>42.95</v>
      </c>
      <c r="R881" s="122">
        <v>44.45</v>
      </c>
      <c r="S881" s="122">
        <v>37.340000000000003</v>
      </c>
      <c r="T881" s="123">
        <v>3539388</v>
      </c>
    </row>
    <row r="882" spans="6:20" x14ac:dyDescent="0.3">
      <c r="F882" s="124">
        <v>876</v>
      </c>
      <c r="G882" s="33">
        <f t="shared" ca="1" si="26"/>
        <v>-2.6530063246329907E-2</v>
      </c>
      <c r="N882" s="118" t="s">
        <v>1246</v>
      </c>
      <c r="O882" s="122">
        <v>39.25</v>
      </c>
      <c r="P882" s="122">
        <v>49.7</v>
      </c>
      <c r="Q882" s="122">
        <v>38.58</v>
      </c>
      <c r="R882" s="122">
        <v>47.33</v>
      </c>
      <c r="S882" s="122">
        <v>39.75</v>
      </c>
      <c r="T882" s="123">
        <v>5635410</v>
      </c>
    </row>
    <row r="883" spans="6:20" x14ac:dyDescent="0.3">
      <c r="F883" s="124">
        <v>877</v>
      </c>
      <c r="G883" s="33">
        <f t="shared" ca="1" si="26"/>
        <v>5.502419864913044E-2</v>
      </c>
      <c r="N883" s="118" t="s">
        <v>1247</v>
      </c>
      <c r="O883" s="122">
        <v>41.95</v>
      </c>
      <c r="P883" s="122">
        <v>41.95</v>
      </c>
      <c r="Q883" s="122">
        <v>37.130000000000003</v>
      </c>
      <c r="R883" s="122">
        <v>38.880000000000003</v>
      </c>
      <c r="S883" s="122">
        <v>32.659999999999997</v>
      </c>
      <c r="T883" s="123">
        <v>5507866</v>
      </c>
    </row>
    <row r="884" spans="6:20" x14ac:dyDescent="0.3">
      <c r="F884" s="124">
        <v>878</v>
      </c>
      <c r="G884" s="33">
        <f t="shared" ca="1" si="26"/>
        <v>-6.867274694020333E-3</v>
      </c>
      <c r="N884" s="118" t="s">
        <v>1248</v>
      </c>
      <c r="O884" s="122">
        <v>46.5</v>
      </c>
      <c r="P884" s="122">
        <v>53.15</v>
      </c>
      <c r="Q884" s="122">
        <v>41.15</v>
      </c>
      <c r="R884" s="122">
        <v>41.35</v>
      </c>
      <c r="S884" s="122">
        <v>34.729999999999997</v>
      </c>
      <c r="T884" s="123">
        <v>6205444</v>
      </c>
    </row>
    <row r="885" spans="6:20" x14ac:dyDescent="0.3">
      <c r="F885" s="124">
        <v>879</v>
      </c>
      <c r="G885" s="33">
        <f t="shared" ca="1" si="26"/>
        <v>3.6706409332916373E-3</v>
      </c>
      <c r="N885" s="118" t="s">
        <v>1249</v>
      </c>
      <c r="O885" s="317" t="s">
        <v>1177</v>
      </c>
      <c r="P885" s="317"/>
      <c r="Q885" s="317"/>
      <c r="R885" s="317"/>
      <c r="S885" s="317"/>
      <c r="T885" s="317"/>
    </row>
    <row r="886" spans="6:20" x14ac:dyDescent="0.3">
      <c r="F886" s="124">
        <v>880</v>
      </c>
      <c r="G886" s="33">
        <f t="shared" ca="1" si="26"/>
        <v>1.7306426613034866E-2</v>
      </c>
      <c r="N886" s="118" t="s">
        <v>1250</v>
      </c>
      <c r="O886" s="122">
        <v>49.97</v>
      </c>
      <c r="P886" s="122">
        <v>51</v>
      </c>
      <c r="Q886" s="122">
        <v>46.78</v>
      </c>
      <c r="R886" s="122">
        <v>47.9</v>
      </c>
      <c r="S886" s="122">
        <v>39.93</v>
      </c>
      <c r="T886" s="123">
        <v>2863920</v>
      </c>
    </row>
    <row r="887" spans="6:20" x14ac:dyDescent="0.3">
      <c r="F887" s="124">
        <v>881</v>
      </c>
      <c r="G887" s="33">
        <f t="shared" ca="1" si="26"/>
        <v>2.6397066031864289E-2</v>
      </c>
      <c r="N887" s="118" t="s">
        <v>1251</v>
      </c>
      <c r="O887" s="122">
        <v>48.9</v>
      </c>
      <c r="P887" s="122">
        <v>50.5</v>
      </c>
      <c r="Q887" s="122">
        <v>44.17</v>
      </c>
      <c r="R887" s="122">
        <v>49.58</v>
      </c>
      <c r="S887" s="122">
        <v>41.33</v>
      </c>
      <c r="T887" s="123">
        <v>7248662</v>
      </c>
    </row>
    <row r="888" spans="6:20" x14ac:dyDescent="0.3">
      <c r="F888" s="124">
        <v>882</v>
      </c>
      <c r="G888" s="33">
        <f t="shared" ca="1" si="26"/>
        <v>-5.5093297326049742E-2</v>
      </c>
      <c r="N888" s="118" t="s">
        <v>1252</v>
      </c>
      <c r="O888" s="122">
        <v>48.95</v>
      </c>
      <c r="P888" s="122">
        <v>49.5</v>
      </c>
      <c r="Q888" s="122">
        <v>46.53</v>
      </c>
      <c r="R888" s="122">
        <v>48.03</v>
      </c>
      <c r="S888" s="122">
        <v>40.04</v>
      </c>
      <c r="T888" s="123">
        <v>4204144</v>
      </c>
    </row>
    <row r="889" spans="6:20" x14ac:dyDescent="0.3">
      <c r="F889" s="124">
        <v>883</v>
      </c>
      <c r="G889" s="33">
        <f t="shared" ca="1" si="26"/>
        <v>-9.4877509317648212E-3</v>
      </c>
      <c r="N889" s="118" t="s">
        <v>1253</v>
      </c>
      <c r="O889" s="122">
        <v>47.3</v>
      </c>
      <c r="P889" s="122">
        <v>49.2</v>
      </c>
      <c r="Q889" s="122">
        <v>45.83</v>
      </c>
      <c r="R889" s="122">
        <v>48.53</v>
      </c>
      <c r="S889" s="122">
        <v>40.450000000000003</v>
      </c>
      <c r="T889" s="123">
        <v>8926144</v>
      </c>
    </row>
    <row r="890" spans="6:20" x14ac:dyDescent="0.3">
      <c r="F890" s="124">
        <v>884</v>
      </c>
      <c r="G890" s="33">
        <f t="shared" ca="1" si="26"/>
        <v>1.3588740269884988E-2</v>
      </c>
      <c r="N890" s="118" t="s">
        <v>1254</v>
      </c>
      <c r="O890" s="122">
        <v>49.53</v>
      </c>
      <c r="P890" s="122">
        <v>50</v>
      </c>
      <c r="Q890" s="122">
        <v>47.1</v>
      </c>
      <c r="R890" s="122">
        <v>47.25</v>
      </c>
      <c r="S890" s="122">
        <v>39.39</v>
      </c>
      <c r="T890" s="123">
        <v>5092848</v>
      </c>
    </row>
    <row r="891" spans="6:20" x14ac:dyDescent="0.3">
      <c r="F891" s="124">
        <v>885</v>
      </c>
      <c r="G891" s="33">
        <f t="shared" ca="1" si="26"/>
        <v>3.0506395587291374E-2</v>
      </c>
      <c r="N891" s="118" t="s">
        <v>1255</v>
      </c>
      <c r="O891" s="122">
        <v>49.67</v>
      </c>
      <c r="P891" s="122">
        <v>51.95</v>
      </c>
      <c r="Q891" s="122">
        <v>49</v>
      </c>
      <c r="R891" s="122">
        <v>49.53</v>
      </c>
      <c r="S891" s="122">
        <v>41.29</v>
      </c>
      <c r="T891" s="123">
        <v>5197434</v>
      </c>
    </row>
    <row r="892" spans="6:20" x14ac:dyDescent="0.3">
      <c r="F892" s="124">
        <v>886</v>
      </c>
      <c r="G892" s="33">
        <f t="shared" ca="1" si="26"/>
        <v>7.3417268744518311E-3</v>
      </c>
      <c r="N892" s="118" t="s">
        <v>1256</v>
      </c>
      <c r="O892" s="122">
        <v>54</v>
      </c>
      <c r="P892" s="122">
        <v>55.47</v>
      </c>
      <c r="Q892" s="122">
        <v>50</v>
      </c>
      <c r="R892" s="122">
        <v>50.28</v>
      </c>
      <c r="S892" s="122">
        <v>41.91</v>
      </c>
      <c r="T892" s="123">
        <v>12073158</v>
      </c>
    </row>
    <row r="893" spans="6:20" x14ac:dyDescent="0.3">
      <c r="F893" s="124">
        <v>887</v>
      </c>
      <c r="G893" s="33">
        <f t="shared" ca="1" si="26"/>
        <v>-6.2654129372406971E-3</v>
      </c>
      <c r="N893" s="118" t="s">
        <v>1257</v>
      </c>
      <c r="O893" s="122">
        <v>52.28</v>
      </c>
      <c r="P893" s="122">
        <v>54.9</v>
      </c>
      <c r="Q893" s="122">
        <v>52.25</v>
      </c>
      <c r="R893" s="122">
        <v>53.88</v>
      </c>
      <c r="S893" s="122">
        <v>44.91</v>
      </c>
      <c r="T893" s="123">
        <v>6370242</v>
      </c>
    </row>
    <row r="894" spans="6:20" x14ac:dyDescent="0.3">
      <c r="F894" s="124">
        <v>888</v>
      </c>
      <c r="G894" s="33">
        <f t="shared" ca="1" si="26"/>
        <v>-2.7035225576146467E-2</v>
      </c>
      <c r="N894" s="118" t="s">
        <v>1258</v>
      </c>
      <c r="O894" s="122">
        <v>54.92</v>
      </c>
      <c r="P894" s="122">
        <v>57.75</v>
      </c>
      <c r="Q894" s="122">
        <v>52.08</v>
      </c>
      <c r="R894" s="122">
        <v>53.47</v>
      </c>
      <c r="S894" s="122">
        <v>44.58</v>
      </c>
      <c r="T894" s="123">
        <v>9629362</v>
      </c>
    </row>
    <row r="895" spans="6:20" x14ac:dyDescent="0.3">
      <c r="F895" s="124">
        <v>889</v>
      </c>
      <c r="G895" s="33">
        <f t="shared" ca="1" si="26"/>
        <v>3.6085386013602047E-2</v>
      </c>
      <c r="N895" s="118" t="s">
        <v>1259</v>
      </c>
      <c r="O895" s="122">
        <v>52.92</v>
      </c>
      <c r="P895" s="122">
        <v>55.25</v>
      </c>
      <c r="Q895" s="122">
        <v>51.65</v>
      </c>
      <c r="R895" s="122">
        <v>54.78</v>
      </c>
      <c r="S895" s="122">
        <v>45.66</v>
      </c>
      <c r="T895" s="123">
        <v>1715238</v>
      </c>
    </row>
    <row r="896" spans="6:20" x14ac:dyDescent="0.3">
      <c r="F896" s="124">
        <v>890</v>
      </c>
      <c r="G896" s="33">
        <f t="shared" ca="1" si="26"/>
        <v>3.3942775274181873E-2</v>
      </c>
      <c r="N896" s="118" t="s">
        <v>1260</v>
      </c>
      <c r="O896" s="122">
        <v>52.5</v>
      </c>
      <c r="P896" s="122">
        <v>55.5</v>
      </c>
      <c r="Q896" s="122">
        <v>51.92</v>
      </c>
      <c r="R896" s="122">
        <v>52.92</v>
      </c>
      <c r="S896" s="122">
        <v>44.12</v>
      </c>
      <c r="T896" s="123">
        <v>3176212</v>
      </c>
    </row>
    <row r="897" spans="6:20" x14ac:dyDescent="0.3">
      <c r="F897" s="124">
        <v>891</v>
      </c>
      <c r="G897" s="33">
        <f t="shared" ca="1" si="26"/>
        <v>1.9757065354691076E-2</v>
      </c>
      <c r="N897" s="118" t="s">
        <v>1261</v>
      </c>
      <c r="O897" s="122">
        <v>53</v>
      </c>
      <c r="P897" s="122">
        <v>56.5</v>
      </c>
      <c r="Q897" s="122">
        <v>51.13</v>
      </c>
      <c r="R897" s="122">
        <v>52.47</v>
      </c>
      <c r="S897" s="122">
        <v>43.75</v>
      </c>
      <c r="T897" s="123">
        <v>4225770</v>
      </c>
    </row>
    <row r="898" spans="6:20" x14ac:dyDescent="0.3">
      <c r="F898" s="124">
        <v>892</v>
      </c>
      <c r="G898" s="33">
        <f t="shared" ca="1" si="26"/>
        <v>3.0705772060987173E-2</v>
      </c>
      <c r="N898" s="118" t="s">
        <v>1262</v>
      </c>
      <c r="O898" s="122">
        <v>48</v>
      </c>
      <c r="P898" s="122">
        <v>54.75</v>
      </c>
      <c r="Q898" s="122">
        <v>47.55</v>
      </c>
      <c r="R898" s="122">
        <v>54.1</v>
      </c>
      <c r="S898" s="122">
        <v>45.1</v>
      </c>
      <c r="T898" s="123">
        <v>9121218</v>
      </c>
    </row>
    <row r="899" spans="6:20" x14ac:dyDescent="0.3">
      <c r="F899" s="124">
        <v>893</v>
      </c>
      <c r="G899" s="33">
        <f t="shared" ca="1" si="26"/>
        <v>3.0854825827065297E-2</v>
      </c>
      <c r="N899" s="118" t="s">
        <v>1263</v>
      </c>
      <c r="O899" s="122">
        <v>47.5</v>
      </c>
      <c r="P899" s="122">
        <v>50.25</v>
      </c>
      <c r="Q899" s="122">
        <v>46.5</v>
      </c>
      <c r="R899" s="122">
        <v>47.55</v>
      </c>
      <c r="S899" s="122">
        <v>39.64</v>
      </c>
      <c r="T899" s="123">
        <v>3111362</v>
      </c>
    </row>
    <row r="900" spans="6:20" x14ac:dyDescent="0.3">
      <c r="F900" s="124">
        <v>894</v>
      </c>
      <c r="G900" s="33">
        <f t="shared" ca="1" si="26"/>
        <v>3.9124002553503874E-3</v>
      </c>
      <c r="N900" s="118" t="s">
        <v>1264</v>
      </c>
      <c r="O900" s="122">
        <v>48.78</v>
      </c>
      <c r="P900" s="122">
        <v>51.03</v>
      </c>
      <c r="Q900" s="122">
        <v>48.03</v>
      </c>
      <c r="R900" s="122">
        <v>49.17</v>
      </c>
      <c r="S900" s="122">
        <v>41</v>
      </c>
      <c r="T900" s="123">
        <v>4088322</v>
      </c>
    </row>
    <row r="901" spans="6:20" x14ac:dyDescent="0.3">
      <c r="F901" s="124">
        <v>895</v>
      </c>
      <c r="G901" s="33">
        <f t="shared" ca="1" si="26"/>
        <v>-1.8334462087935745E-2</v>
      </c>
      <c r="N901" s="118" t="s">
        <v>1265</v>
      </c>
      <c r="O901" s="122">
        <v>49</v>
      </c>
      <c r="P901" s="122">
        <v>51.5</v>
      </c>
      <c r="Q901" s="122">
        <v>47.15</v>
      </c>
      <c r="R901" s="122">
        <v>49.63</v>
      </c>
      <c r="S901" s="122">
        <v>41.37</v>
      </c>
      <c r="T901" s="123">
        <v>5382700</v>
      </c>
    </row>
    <row r="902" spans="6:20" x14ac:dyDescent="0.3">
      <c r="F902" s="124">
        <v>896</v>
      </c>
      <c r="G902" s="33">
        <f t="shared" ca="1" si="26"/>
        <v>1.4352291471191967E-2</v>
      </c>
      <c r="N902" s="118" t="s">
        <v>1266</v>
      </c>
      <c r="O902" s="122">
        <v>51.75</v>
      </c>
      <c r="P902" s="122">
        <v>52.5</v>
      </c>
      <c r="Q902" s="122">
        <v>47.75</v>
      </c>
      <c r="R902" s="122">
        <v>49.9</v>
      </c>
      <c r="S902" s="122">
        <v>41.6</v>
      </c>
      <c r="T902" s="123">
        <v>8424350</v>
      </c>
    </row>
    <row r="903" spans="6:20" x14ac:dyDescent="0.3">
      <c r="F903" s="124">
        <v>897</v>
      </c>
      <c r="G903" s="33">
        <f t="shared" ca="1" si="26"/>
        <v>3.4529639696954932E-2</v>
      </c>
      <c r="N903" s="118" t="s">
        <v>1267</v>
      </c>
      <c r="O903" s="122">
        <v>47.7</v>
      </c>
      <c r="P903" s="122">
        <v>51.8</v>
      </c>
      <c r="Q903" s="122">
        <v>47.22</v>
      </c>
      <c r="R903" s="122">
        <v>51.5</v>
      </c>
      <c r="S903" s="122">
        <v>42.93</v>
      </c>
      <c r="T903" s="123">
        <v>7018526</v>
      </c>
    </row>
    <row r="904" spans="6:20" x14ac:dyDescent="0.3">
      <c r="F904" s="124">
        <v>898</v>
      </c>
      <c r="G904" s="33">
        <f t="shared" ref="G904:G967" ca="1" si="27">_xlfn.NORM.INV(RAND(),$M$9,$M$10)</f>
        <v>1.6276696688281179E-2</v>
      </c>
      <c r="N904" s="118" t="s">
        <v>1268</v>
      </c>
      <c r="O904" s="122">
        <v>50.13</v>
      </c>
      <c r="P904" s="122">
        <v>50.45</v>
      </c>
      <c r="Q904" s="122">
        <v>46.75</v>
      </c>
      <c r="R904" s="122">
        <v>47.47</v>
      </c>
      <c r="S904" s="122">
        <v>39.58</v>
      </c>
      <c r="T904" s="123">
        <v>5787326</v>
      </c>
    </row>
    <row r="905" spans="6:20" x14ac:dyDescent="0.3">
      <c r="F905" s="124">
        <v>899</v>
      </c>
      <c r="G905" s="33">
        <f t="shared" ca="1" si="27"/>
        <v>-4.4003750818367632E-2</v>
      </c>
      <c r="N905" s="118" t="s">
        <v>1269</v>
      </c>
      <c r="O905" s="122">
        <v>46.13</v>
      </c>
      <c r="P905" s="122">
        <v>50.9</v>
      </c>
      <c r="Q905" s="122">
        <v>46.13</v>
      </c>
      <c r="R905" s="122">
        <v>50.13</v>
      </c>
      <c r="S905" s="122">
        <v>41.79</v>
      </c>
      <c r="T905" s="123">
        <v>5058574</v>
      </c>
    </row>
    <row r="906" spans="6:20" x14ac:dyDescent="0.3">
      <c r="F906" s="124">
        <v>900</v>
      </c>
      <c r="G906" s="33">
        <f t="shared" ca="1" si="27"/>
        <v>-4.9864709424184434E-3</v>
      </c>
      <c r="N906" s="118" t="s">
        <v>1270</v>
      </c>
      <c r="O906" s="122">
        <v>50.8</v>
      </c>
      <c r="P906" s="122">
        <v>52.1</v>
      </c>
      <c r="Q906" s="122">
        <v>45.05</v>
      </c>
      <c r="R906" s="122">
        <v>48.17</v>
      </c>
      <c r="S906" s="122">
        <v>40.159999999999997</v>
      </c>
      <c r="T906" s="123">
        <v>9545976</v>
      </c>
    </row>
    <row r="907" spans="6:20" x14ac:dyDescent="0.3">
      <c r="F907" s="124">
        <v>901</v>
      </c>
      <c r="G907" s="33">
        <f t="shared" ca="1" si="27"/>
        <v>-1.1206016788864855E-2</v>
      </c>
      <c r="N907" s="118" t="s">
        <v>1271</v>
      </c>
      <c r="O907" s="122">
        <v>56.75</v>
      </c>
      <c r="P907" s="122">
        <v>57.5</v>
      </c>
      <c r="Q907" s="122">
        <v>37</v>
      </c>
      <c r="R907" s="122">
        <v>50.8</v>
      </c>
      <c r="S907" s="122">
        <v>42.35</v>
      </c>
      <c r="T907" s="123">
        <v>12427434</v>
      </c>
    </row>
    <row r="908" spans="6:20" x14ac:dyDescent="0.3">
      <c r="F908" s="124">
        <v>902</v>
      </c>
      <c r="G908" s="33">
        <f t="shared" ca="1" si="27"/>
        <v>-3.6027924331032074E-3</v>
      </c>
      <c r="N908" s="118" t="s">
        <v>1272</v>
      </c>
      <c r="O908" s="122">
        <v>57</v>
      </c>
      <c r="P908" s="122">
        <v>58.2</v>
      </c>
      <c r="Q908" s="122">
        <v>55.3</v>
      </c>
      <c r="R908" s="122">
        <v>56.8</v>
      </c>
      <c r="S908" s="122">
        <v>47.35</v>
      </c>
      <c r="T908" s="123">
        <v>6545328</v>
      </c>
    </row>
    <row r="909" spans="6:20" x14ac:dyDescent="0.3">
      <c r="F909" s="124">
        <v>903</v>
      </c>
      <c r="G909" s="33">
        <f t="shared" ca="1" si="27"/>
        <v>-1.0722895085602778E-2</v>
      </c>
      <c r="N909" s="118" t="s">
        <v>1273</v>
      </c>
      <c r="O909" s="122">
        <v>60.65</v>
      </c>
      <c r="P909" s="122">
        <v>63.38</v>
      </c>
      <c r="Q909" s="122">
        <v>54.88</v>
      </c>
      <c r="R909" s="122">
        <v>56.35</v>
      </c>
      <c r="S909" s="122">
        <v>46.98</v>
      </c>
      <c r="T909" s="123">
        <v>11079496</v>
      </c>
    </row>
    <row r="910" spans="6:20" x14ac:dyDescent="0.3">
      <c r="F910" s="124">
        <v>904</v>
      </c>
      <c r="G910" s="33">
        <f t="shared" ca="1" si="27"/>
        <v>-7.579255857708138E-3</v>
      </c>
      <c r="N910" s="118" t="s">
        <v>1274</v>
      </c>
      <c r="O910" s="122">
        <v>57</v>
      </c>
      <c r="P910" s="122">
        <v>62.2</v>
      </c>
      <c r="Q910" s="122">
        <v>56.45</v>
      </c>
      <c r="R910" s="122">
        <v>60.65</v>
      </c>
      <c r="S910" s="122">
        <v>50.56</v>
      </c>
      <c r="T910" s="123">
        <v>19208046</v>
      </c>
    </row>
    <row r="911" spans="6:20" x14ac:dyDescent="0.3">
      <c r="F911" s="124">
        <v>905</v>
      </c>
      <c r="G911" s="33">
        <f t="shared" ca="1" si="27"/>
        <v>4.29901823855297E-2</v>
      </c>
      <c r="N911" s="118" t="s">
        <v>1275</v>
      </c>
      <c r="O911" s="122">
        <v>56.1</v>
      </c>
      <c r="P911" s="122">
        <v>59</v>
      </c>
      <c r="Q911" s="122">
        <v>55.55</v>
      </c>
      <c r="R911" s="122">
        <v>56.7</v>
      </c>
      <c r="S911" s="122">
        <v>47.27</v>
      </c>
      <c r="T911" s="123">
        <v>11235702</v>
      </c>
    </row>
    <row r="912" spans="6:20" x14ac:dyDescent="0.3">
      <c r="F912" s="124">
        <v>906</v>
      </c>
      <c r="G912" s="33">
        <f t="shared" ca="1" si="27"/>
        <v>-2.5850295302217389E-2</v>
      </c>
      <c r="N912" s="118" t="s">
        <v>1276</v>
      </c>
      <c r="O912" s="122">
        <v>59.92</v>
      </c>
      <c r="P912" s="122">
        <v>60.75</v>
      </c>
      <c r="Q912" s="122">
        <v>55.25</v>
      </c>
      <c r="R912" s="122">
        <v>55.67</v>
      </c>
      <c r="S912" s="122">
        <v>46.41</v>
      </c>
      <c r="T912" s="123">
        <v>7931608</v>
      </c>
    </row>
    <row r="913" spans="6:20" x14ac:dyDescent="0.3">
      <c r="F913" s="124">
        <v>907</v>
      </c>
      <c r="G913" s="33">
        <f t="shared" ca="1" si="27"/>
        <v>-5.6716660134769814E-3</v>
      </c>
      <c r="N913" s="118" t="s">
        <v>1277</v>
      </c>
      <c r="O913" s="122">
        <v>61.5</v>
      </c>
      <c r="P913" s="122">
        <v>62</v>
      </c>
      <c r="Q913" s="122">
        <v>57.53</v>
      </c>
      <c r="R913" s="122">
        <v>59.92</v>
      </c>
      <c r="S913" s="122">
        <v>49.96</v>
      </c>
      <c r="T913" s="123">
        <v>8838176</v>
      </c>
    </row>
    <row r="914" spans="6:20" x14ac:dyDescent="0.3">
      <c r="F914" s="124">
        <v>908</v>
      </c>
      <c r="G914" s="33">
        <f t="shared" ca="1" si="27"/>
        <v>4.1386232973790849E-2</v>
      </c>
      <c r="N914" s="118" t="s">
        <v>1278</v>
      </c>
      <c r="O914" s="122">
        <v>56.2</v>
      </c>
      <c r="P914" s="122">
        <v>62</v>
      </c>
      <c r="Q914" s="122">
        <v>54.8</v>
      </c>
      <c r="R914" s="122">
        <v>60.72</v>
      </c>
      <c r="S914" s="122">
        <v>50.62</v>
      </c>
      <c r="T914" s="123">
        <v>12859946</v>
      </c>
    </row>
    <row r="915" spans="6:20" x14ac:dyDescent="0.3">
      <c r="F915" s="124">
        <v>909</v>
      </c>
      <c r="G915" s="33">
        <f t="shared" ca="1" si="27"/>
        <v>-1.571204884161672E-2</v>
      </c>
      <c r="N915" s="118" t="s">
        <v>1279</v>
      </c>
      <c r="O915" s="122">
        <v>56.83</v>
      </c>
      <c r="P915" s="122">
        <v>58.9</v>
      </c>
      <c r="Q915" s="122">
        <v>53.45</v>
      </c>
      <c r="R915" s="122">
        <v>55.42</v>
      </c>
      <c r="S915" s="122">
        <v>46.21</v>
      </c>
      <c r="T915" s="123">
        <v>10033672</v>
      </c>
    </row>
    <row r="916" spans="6:20" x14ac:dyDescent="0.3">
      <c r="F916" s="124">
        <v>910</v>
      </c>
      <c r="G916" s="33">
        <f t="shared" ca="1" si="27"/>
        <v>1.0118958810030589E-2</v>
      </c>
      <c r="N916" s="118" t="s">
        <v>1280</v>
      </c>
      <c r="O916" s="122">
        <v>57</v>
      </c>
      <c r="P916" s="122">
        <v>66.569999999999993</v>
      </c>
      <c r="Q916" s="122">
        <v>52.75</v>
      </c>
      <c r="R916" s="122">
        <v>55.88</v>
      </c>
      <c r="S916" s="122">
        <v>46.58</v>
      </c>
      <c r="T916" s="123">
        <v>21287132</v>
      </c>
    </row>
    <row r="917" spans="6:20" x14ac:dyDescent="0.3">
      <c r="F917" s="124">
        <v>911</v>
      </c>
      <c r="G917" s="33">
        <f t="shared" ca="1" si="27"/>
        <v>3.8892452279735701E-2</v>
      </c>
      <c r="N917" s="118" t="s">
        <v>1281</v>
      </c>
      <c r="O917" s="122">
        <v>52.3</v>
      </c>
      <c r="P917" s="122">
        <v>56.5</v>
      </c>
      <c r="Q917" s="122">
        <v>50.8</v>
      </c>
      <c r="R917" s="122">
        <v>55.17</v>
      </c>
      <c r="S917" s="122">
        <v>46</v>
      </c>
      <c r="T917" s="123">
        <v>10604384</v>
      </c>
    </row>
    <row r="918" spans="6:20" x14ac:dyDescent="0.3">
      <c r="F918" s="124">
        <v>912</v>
      </c>
      <c r="G918" s="33">
        <f t="shared" ca="1" si="27"/>
        <v>4.1434645139207166E-2</v>
      </c>
      <c r="N918" s="118" t="s">
        <v>1282</v>
      </c>
      <c r="O918" s="122">
        <v>52.5</v>
      </c>
      <c r="P918" s="122">
        <v>53.75</v>
      </c>
      <c r="Q918" s="122">
        <v>50.55</v>
      </c>
      <c r="R918" s="122">
        <v>52.6</v>
      </c>
      <c r="S918" s="122">
        <v>43.85</v>
      </c>
      <c r="T918" s="123">
        <v>5715546</v>
      </c>
    </row>
    <row r="919" spans="6:20" x14ac:dyDescent="0.3">
      <c r="F919" s="124">
        <v>913</v>
      </c>
      <c r="G919" s="33">
        <f t="shared" ca="1" si="27"/>
        <v>-2.5971288708092555E-2</v>
      </c>
      <c r="N919" s="118" t="s">
        <v>1283</v>
      </c>
      <c r="O919" s="317" t="s">
        <v>1177</v>
      </c>
      <c r="P919" s="317"/>
      <c r="Q919" s="317"/>
      <c r="R919" s="317"/>
      <c r="S919" s="317"/>
      <c r="T919" s="317"/>
    </row>
    <row r="920" spans="6:20" x14ac:dyDescent="0.3">
      <c r="F920" s="124">
        <v>914</v>
      </c>
      <c r="G920" s="33">
        <f t="shared" ca="1" si="27"/>
        <v>4.051748964335343E-2</v>
      </c>
      <c r="N920" s="118" t="s">
        <v>1283</v>
      </c>
      <c r="O920" s="122">
        <v>56</v>
      </c>
      <c r="P920" s="122">
        <v>56.45</v>
      </c>
      <c r="Q920" s="122">
        <v>51.6</v>
      </c>
      <c r="R920" s="122">
        <v>52</v>
      </c>
      <c r="S920" s="122">
        <v>43.06</v>
      </c>
      <c r="T920" s="123">
        <v>4688360</v>
      </c>
    </row>
    <row r="921" spans="6:20" x14ac:dyDescent="0.3">
      <c r="F921" s="124">
        <v>915</v>
      </c>
      <c r="G921" s="33">
        <f t="shared" ca="1" si="27"/>
        <v>-3.8369683725104957E-2</v>
      </c>
      <c r="N921" s="118" t="s">
        <v>1284</v>
      </c>
      <c r="O921" s="122">
        <v>51.25</v>
      </c>
      <c r="P921" s="122">
        <v>58.5</v>
      </c>
      <c r="Q921" s="122">
        <v>49.95</v>
      </c>
      <c r="R921" s="122">
        <v>55.72</v>
      </c>
      <c r="S921" s="122">
        <v>46.14</v>
      </c>
      <c r="T921" s="123">
        <v>13040518</v>
      </c>
    </row>
    <row r="922" spans="6:20" x14ac:dyDescent="0.3">
      <c r="F922" s="124">
        <v>916</v>
      </c>
      <c r="G922" s="33">
        <f t="shared" ca="1" si="27"/>
        <v>-6.0420051887802556E-2</v>
      </c>
      <c r="N922" s="118" t="s">
        <v>1285</v>
      </c>
      <c r="O922" s="122">
        <v>53.25</v>
      </c>
      <c r="P922" s="122">
        <v>53.8</v>
      </c>
      <c r="Q922" s="122">
        <v>41.85</v>
      </c>
      <c r="R922" s="122">
        <v>52</v>
      </c>
      <c r="S922" s="122">
        <v>43.06</v>
      </c>
      <c r="T922" s="123">
        <v>11780618</v>
      </c>
    </row>
    <row r="923" spans="6:20" x14ac:dyDescent="0.3">
      <c r="F923" s="124">
        <v>917</v>
      </c>
      <c r="G923" s="33">
        <f t="shared" ca="1" si="27"/>
        <v>2.2231007925609041E-2</v>
      </c>
      <c r="N923" s="118" t="s">
        <v>1286</v>
      </c>
      <c r="O923" s="122">
        <v>54.28</v>
      </c>
      <c r="P923" s="122">
        <v>55.5</v>
      </c>
      <c r="Q923" s="122">
        <v>51.75</v>
      </c>
      <c r="R923" s="122">
        <v>52.92</v>
      </c>
      <c r="S923" s="122">
        <v>43.82</v>
      </c>
      <c r="T923" s="123">
        <v>16646942</v>
      </c>
    </row>
    <row r="924" spans="6:20" x14ac:dyDescent="0.3">
      <c r="F924" s="124">
        <v>918</v>
      </c>
      <c r="G924" s="33">
        <f t="shared" ca="1" si="27"/>
        <v>-1.4603738508595972E-2</v>
      </c>
      <c r="N924" s="118" t="s">
        <v>1287</v>
      </c>
      <c r="O924" s="122">
        <v>46.88</v>
      </c>
      <c r="P924" s="122">
        <v>57.25</v>
      </c>
      <c r="Q924" s="122">
        <v>46.88</v>
      </c>
      <c r="R924" s="122">
        <v>53.72</v>
      </c>
      <c r="S924" s="122">
        <v>44.49</v>
      </c>
      <c r="T924" s="123">
        <v>70796052</v>
      </c>
    </row>
    <row r="925" spans="6:20" x14ac:dyDescent="0.3">
      <c r="F925" s="124">
        <v>919</v>
      </c>
      <c r="G925" s="33">
        <f t="shared" ca="1" si="27"/>
        <v>-9.8165746319591497E-3</v>
      </c>
      <c r="N925" s="118" t="s">
        <v>1288</v>
      </c>
      <c r="O925" s="122">
        <v>53.2</v>
      </c>
      <c r="P925" s="122">
        <v>54.8</v>
      </c>
      <c r="Q925" s="122">
        <v>51.3</v>
      </c>
      <c r="R925" s="122">
        <v>52.92</v>
      </c>
      <c r="S925" s="122">
        <v>43.82</v>
      </c>
      <c r="T925" s="123">
        <v>11407642</v>
      </c>
    </row>
    <row r="926" spans="6:20" x14ac:dyDescent="0.3">
      <c r="F926" s="124">
        <v>920</v>
      </c>
      <c r="G926" s="33">
        <f t="shared" ca="1" si="27"/>
        <v>-8.3843713624678178E-3</v>
      </c>
      <c r="N926" s="118" t="s">
        <v>1289</v>
      </c>
      <c r="O926" s="122">
        <v>53.47</v>
      </c>
      <c r="P926" s="122">
        <v>55</v>
      </c>
      <c r="Q926" s="122">
        <v>52</v>
      </c>
      <c r="R926" s="122">
        <v>53.7</v>
      </c>
      <c r="S926" s="122">
        <v>44.47</v>
      </c>
      <c r="T926" s="123">
        <v>12318972</v>
      </c>
    </row>
    <row r="927" spans="6:20" x14ac:dyDescent="0.3">
      <c r="F927" s="124">
        <v>921</v>
      </c>
      <c r="G927" s="33">
        <f t="shared" ca="1" si="27"/>
        <v>4.2649782920863168E-2</v>
      </c>
      <c r="N927" s="118" t="s">
        <v>1290</v>
      </c>
      <c r="O927" s="122">
        <v>50</v>
      </c>
      <c r="P927" s="122">
        <v>54.5</v>
      </c>
      <c r="Q927" s="122">
        <v>49.7</v>
      </c>
      <c r="R927" s="122">
        <v>52.9</v>
      </c>
      <c r="S927" s="122">
        <v>43.8</v>
      </c>
      <c r="T927" s="123">
        <v>10031704</v>
      </c>
    </row>
    <row r="928" spans="6:20" x14ac:dyDescent="0.3">
      <c r="F928" s="124">
        <v>922</v>
      </c>
      <c r="G928" s="33">
        <f t="shared" ca="1" si="27"/>
        <v>2.0142699860142433E-3</v>
      </c>
      <c r="N928" s="118" t="s">
        <v>1291</v>
      </c>
      <c r="O928" s="122">
        <v>50.25</v>
      </c>
      <c r="P928" s="122">
        <v>51.42</v>
      </c>
      <c r="Q928" s="122">
        <v>50.03</v>
      </c>
      <c r="R928" s="122">
        <v>50.35</v>
      </c>
      <c r="S928" s="122">
        <v>41.69</v>
      </c>
      <c r="T928" s="123">
        <v>3289332</v>
      </c>
    </row>
    <row r="929" spans="6:20" x14ac:dyDescent="0.3">
      <c r="F929" s="124">
        <v>923</v>
      </c>
      <c r="G929" s="33">
        <f t="shared" ca="1" si="27"/>
        <v>1.8786530824647159E-2</v>
      </c>
      <c r="N929" s="118" t="s">
        <v>1292</v>
      </c>
      <c r="O929" s="122">
        <v>50.33</v>
      </c>
      <c r="P929" s="122">
        <v>52.22</v>
      </c>
      <c r="Q929" s="122">
        <v>49.75</v>
      </c>
      <c r="R929" s="122">
        <v>50.5</v>
      </c>
      <c r="S929" s="122">
        <v>41.82</v>
      </c>
      <c r="T929" s="123">
        <v>5860802</v>
      </c>
    </row>
    <row r="930" spans="6:20" x14ac:dyDescent="0.3">
      <c r="F930" s="124">
        <v>924</v>
      </c>
      <c r="G930" s="33">
        <f t="shared" ca="1" si="27"/>
        <v>2.7661252044339925E-2</v>
      </c>
      <c r="N930" s="118" t="s">
        <v>1293</v>
      </c>
      <c r="O930" s="122">
        <v>50.4</v>
      </c>
      <c r="P930" s="122">
        <v>51.92</v>
      </c>
      <c r="Q930" s="122">
        <v>48.33</v>
      </c>
      <c r="R930" s="122">
        <v>50.05</v>
      </c>
      <c r="S930" s="122">
        <v>41.44</v>
      </c>
      <c r="T930" s="123">
        <v>3054676</v>
      </c>
    </row>
    <row r="931" spans="6:20" x14ac:dyDescent="0.3">
      <c r="F931" s="124">
        <v>925</v>
      </c>
      <c r="G931" s="33">
        <f t="shared" ca="1" si="27"/>
        <v>-3.9214995011880222E-2</v>
      </c>
      <c r="N931" s="118" t="s">
        <v>1294</v>
      </c>
      <c r="O931" s="122">
        <v>51.25</v>
      </c>
      <c r="P931" s="122">
        <v>52.13</v>
      </c>
      <c r="Q931" s="122">
        <v>46.55</v>
      </c>
      <c r="R931" s="122">
        <v>49.7</v>
      </c>
      <c r="S931" s="122">
        <v>41.15</v>
      </c>
      <c r="T931" s="123">
        <v>3808176</v>
      </c>
    </row>
    <row r="932" spans="6:20" x14ac:dyDescent="0.3">
      <c r="F932" s="124">
        <v>926</v>
      </c>
      <c r="G932" s="33">
        <f t="shared" ca="1" si="27"/>
        <v>-2.2084970517957301E-2</v>
      </c>
      <c r="N932" s="118" t="s">
        <v>1295</v>
      </c>
      <c r="O932" s="122">
        <v>50.25</v>
      </c>
      <c r="P932" s="122">
        <v>52.5</v>
      </c>
      <c r="Q932" s="122">
        <v>49.83</v>
      </c>
      <c r="R932" s="122">
        <v>51.13</v>
      </c>
      <c r="S932" s="122">
        <v>42.33</v>
      </c>
      <c r="T932" s="123">
        <v>5169966</v>
      </c>
    </row>
    <row r="933" spans="6:20" x14ac:dyDescent="0.3">
      <c r="F933" s="124">
        <v>927</v>
      </c>
      <c r="G933" s="33">
        <f t="shared" ca="1" si="27"/>
        <v>-1.1520907709710714E-4</v>
      </c>
      <c r="N933" s="118" t="s">
        <v>1296</v>
      </c>
      <c r="O933" s="122">
        <v>50.38</v>
      </c>
      <c r="P933" s="122">
        <v>53.42</v>
      </c>
      <c r="Q933" s="122">
        <v>50</v>
      </c>
      <c r="R933" s="122">
        <v>50.5</v>
      </c>
      <c r="S933" s="122">
        <v>41.82</v>
      </c>
      <c r="T933" s="123">
        <v>11361596</v>
      </c>
    </row>
    <row r="934" spans="6:20" x14ac:dyDescent="0.3">
      <c r="F934" s="124">
        <v>928</v>
      </c>
      <c r="G934" s="33">
        <f t="shared" ca="1" si="27"/>
        <v>3.0296724401035206E-2</v>
      </c>
      <c r="N934" s="118" t="s">
        <v>1297</v>
      </c>
      <c r="O934" s="122">
        <v>51.35</v>
      </c>
      <c r="P934" s="122">
        <v>52.9</v>
      </c>
      <c r="Q934" s="122">
        <v>49.75</v>
      </c>
      <c r="R934" s="122">
        <v>50.38</v>
      </c>
      <c r="S934" s="122">
        <v>41.71</v>
      </c>
      <c r="T934" s="123">
        <v>16392462</v>
      </c>
    </row>
    <row r="935" spans="6:20" x14ac:dyDescent="0.3">
      <c r="F935" s="124">
        <v>929</v>
      </c>
      <c r="G935" s="33">
        <f t="shared" ca="1" si="27"/>
        <v>3.867955842359995E-2</v>
      </c>
      <c r="N935" s="118" t="s">
        <v>1298</v>
      </c>
      <c r="O935" s="122">
        <v>51.85</v>
      </c>
      <c r="P935" s="122">
        <v>51.9</v>
      </c>
      <c r="Q935" s="122">
        <v>49.75</v>
      </c>
      <c r="R935" s="122">
        <v>51.05</v>
      </c>
      <c r="S935" s="122">
        <v>42.27</v>
      </c>
      <c r="T935" s="123">
        <v>9896236</v>
      </c>
    </row>
    <row r="936" spans="6:20" x14ac:dyDescent="0.3">
      <c r="F936" s="124">
        <v>930</v>
      </c>
      <c r="G936" s="33">
        <f t="shared" ca="1" si="27"/>
        <v>2.2202338235379308E-3</v>
      </c>
      <c r="N936" s="118" t="s">
        <v>1299</v>
      </c>
      <c r="O936" s="122">
        <v>51.17</v>
      </c>
      <c r="P936" s="122">
        <v>53.03</v>
      </c>
      <c r="Q936" s="122">
        <v>50.25</v>
      </c>
      <c r="R936" s="122">
        <v>51.53</v>
      </c>
      <c r="S936" s="122">
        <v>42.67</v>
      </c>
      <c r="T936" s="123">
        <v>7150860</v>
      </c>
    </row>
    <row r="937" spans="6:20" x14ac:dyDescent="0.3">
      <c r="F937" s="124">
        <v>931</v>
      </c>
      <c r="G937" s="33">
        <f t="shared" ca="1" si="27"/>
        <v>1.0369433132367527E-2</v>
      </c>
      <c r="N937" s="118" t="s">
        <v>1300</v>
      </c>
      <c r="O937" s="122">
        <v>51.5</v>
      </c>
      <c r="P937" s="122">
        <v>52.5</v>
      </c>
      <c r="Q937" s="122">
        <v>50.5</v>
      </c>
      <c r="R937" s="122">
        <v>51.53</v>
      </c>
      <c r="S937" s="122">
        <v>42.67</v>
      </c>
      <c r="T937" s="123">
        <v>3316402</v>
      </c>
    </row>
    <row r="938" spans="6:20" x14ac:dyDescent="0.3">
      <c r="F938" s="124">
        <v>932</v>
      </c>
      <c r="G938" s="33">
        <f t="shared" ca="1" si="27"/>
        <v>6.8286951218198546E-3</v>
      </c>
      <c r="N938" s="118" t="s">
        <v>1301</v>
      </c>
      <c r="O938" s="122">
        <v>51</v>
      </c>
      <c r="P938" s="122">
        <v>53.2</v>
      </c>
      <c r="Q938" s="122">
        <v>50.13</v>
      </c>
      <c r="R938" s="122">
        <v>51.42</v>
      </c>
      <c r="S938" s="122">
        <v>42.58</v>
      </c>
      <c r="T938" s="123">
        <v>5525420</v>
      </c>
    </row>
    <row r="939" spans="6:20" x14ac:dyDescent="0.3">
      <c r="F939" s="124">
        <v>933</v>
      </c>
      <c r="G939" s="33">
        <f t="shared" ca="1" si="27"/>
        <v>1.776842291472857E-2</v>
      </c>
      <c r="N939" s="118" t="s">
        <v>1302</v>
      </c>
      <c r="O939" s="122">
        <v>50.5</v>
      </c>
      <c r="P939" s="122">
        <v>52</v>
      </c>
      <c r="Q939" s="122">
        <v>49.3</v>
      </c>
      <c r="R939" s="122">
        <v>51.35</v>
      </c>
      <c r="S939" s="122">
        <v>42.52</v>
      </c>
      <c r="T939" s="123">
        <v>7163032</v>
      </c>
    </row>
    <row r="940" spans="6:20" x14ac:dyDescent="0.3">
      <c r="F940" s="124">
        <v>934</v>
      </c>
      <c r="G940" s="33">
        <f t="shared" ca="1" si="27"/>
        <v>-3.135611451721932E-2</v>
      </c>
      <c r="N940" s="118" t="s">
        <v>1303</v>
      </c>
      <c r="O940" s="122">
        <v>49.25</v>
      </c>
      <c r="P940" s="122">
        <v>51.42</v>
      </c>
      <c r="Q940" s="122">
        <v>48.65</v>
      </c>
      <c r="R940" s="122">
        <v>50.45</v>
      </c>
      <c r="S940" s="122">
        <v>41.78</v>
      </c>
      <c r="T940" s="123">
        <v>7042368</v>
      </c>
    </row>
    <row r="941" spans="6:20" x14ac:dyDescent="0.3">
      <c r="F941" s="124">
        <v>935</v>
      </c>
      <c r="G941" s="33">
        <f t="shared" ca="1" si="27"/>
        <v>-1.9075300430556559E-2</v>
      </c>
      <c r="N941" s="118" t="s">
        <v>1304</v>
      </c>
      <c r="O941" s="122">
        <v>50.2</v>
      </c>
      <c r="P941" s="122">
        <v>52.15</v>
      </c>
      <c r="Q941" s="122">
        <v>48.5</v>
      </c>
      <c r="R941" s="122">
        <v>49.42</v>
      </c>
      <c r="S941" s="122">
        <v>40.93</v>
      </c>
      <c r="T941" s="123">
        <v>6308370</v>
      </c>
    </row>
    <row r="942" spans="6:20" x14ac:dyDescent="0.3">
      <c r="F942" s="124">
        <v>936</v>
      </c>
      <c r="G942" s="33">
        <f t="shared" ca="1" si="27"/>
        <v>1.3419144389599628E-2</v>
      </c>
      <c r="N942" s="118" t="s">
        <v>1305</v>
      </c>
      <c r="O942" s="122">
        <v>48.45</v>
      </c>
      <c r="P942" s="122">
        <v>50.38</v>
      </c>
      <c r="Q942" s="122">
        <v>47.75</v>
      </c>
      <c r="R942" s="122">
        <v>49.03</v>
      </c>
      <c r="S942" s="122">
        <v>40.6</v>
      </c>
      <c r="T942" s="123">
        <v>11642866</v>
      </c>
    </row>
    <row r="943" spans="6:20" x14ac:dyDescent="0.3">
      <c r="F943" s="124">
        <v>937</v>
      </c>
      <c r="G943" s="33">
        <f t="shared" ca="1" si="27"/>
        <v>3.169480747420568E-2</v>
      </c>
      <c r="N943" s="118" t="s">
        <v>1306</v>
      </c>
      <c r="O943" s="122">
        <v>48.45</v>
      </c>
      <c r="P943" s="122">
        <v>49.5</v>
      </c>
      <c r="Q943" s="122">
        <v>47.28</v>
      </c>
      <c r="R943" s="122">
        <v>48.05</v>
      </c>
      <c r="S943" s="122">
        <v>39.79</v>
      </c>
      <c r="T943" s="123">
        <v>12538646</v>
      </c>
    </row>
    <row r="944" spans="6:20" x14ac:dyDescent="0.3">
      <c r="F944" s="124">
        <v>938</v>
      </c>
      <c r="G944" s="33">
        <f t="shared" ca="1" si="27"/>
        <v>-4.5992033810078631E-2</v>
      </c>
      <c r="N944" s="118" t="s">
        <v>1307</v>
      </c>
      <c r="O944" s="122">
        <v>46.55</v>
      </c>
      <c r="P944" s="122">
        <v>47.88</v>
      </c>
      <c r="Q944" s="122">
        <v>44.6</v>
      </c>
      <c r="R944" s="122">
        <v>47.5</v>
      </c>
      <c r="S944" s="122">
        <v>39.33</v>
      </c>
      <c r="T944" s="123">
        <v>15513026</v>
      </c>
    </row>
    <row r="945" spans="6:20" x14ac:dyDescent="0.3">
      <c r="F945" s="124">
        <v>939</v>
      </c>
      <c r="G945" s="33">
        <f t="shared" ca="1" si="27"/>
        <v>-2.0425513097889755E-2</v>
      </c>
      <c r="N945" s="118" t="s">
        <v>1308</v>
      </c>
      <c r="O945" s="122">
        <v>48.15</v>
      </c>
      <c r="P945" s="122">
        <v>49.25</v>
      </c>
      <c r="Q945" s="122">
        <v>41.8</v>
      </c>
      <c r="R945" s="122">
        <v>46.55</v>
      </c>
      <c r="S945" s="122">
        <v>38.549999999999997</v>
      </c>
      <c r="T945" s="123">
        <v>6680480</v>
      </c>
    </row>
    <row r="946" spans="6:20" x14ac:dyDescent="0.3">
      <c r="F946" s="124">
        <v>940</v>
      </c>
      <c r="G946" s="33">
        <f t="shared" ca="1" si="27"/>
        <v>-1.4204794838675712E-2</v>
      </c>
      <c r="N946" s="118" t="s">
        <v>1309</v>
      </c>
      <c r="O946" s="122">
        <v>47.47</v>
      </c>
      <c r="P946" s="122">
        <v>49.35</v>
      </c>
      <c r="Q946" s="122">
        <v>46.5</v>
      </c>
      <c r="R946" s="122">
        <v>48.1</v>
      </c>
      <c r="S946" s="122">
        <v>39.83</v>
      </c>
      <c r="T946" s="123">
        <v>3315472</v>
      </c>
    </row>
    <row r="947" spans="6:20" x14ac:dyDescent="0.3">
      <c r="F947" s="124">
        <v>941</v>
      </c>
      <c r="G947" s="33">
        <f t="shared" ca="1" si="27"/>
        <v>1.1151557165495481E-2</v>
      </c>
      <c r="N947" s="118" t="s">
        <v>1310</v>
      </c>
      <c r="O947" s="122">
        <v>49</v>
      </c>
      <c r="P947" s="122">
        <v>50</v>
      </c>
      <c r="Q947" s="122">
        <v>46.8</v>
      </c>
      <c r="R947" s="122">
        <v>47.4</v>
      </c>
      <c r="S947" s="122">
        <v>39.25</v>
      </c>
      <c r="T947" s="123">
        <v>6869000</v>
      </c>
    </row>
    <row r="948" spans="6:20" x14ac:dyDescent="0.3">
      <c r="F948" s="124">
        <v>942</v>
      </c>
      <c r="G948" s="33">
        <f t="shared" ca="1" si="27"/>
        <v>4.597987325114946E-2</v>
      </c>
      <c r="N948" s="118" t="s">
        <v>1311</v>
      </c>
      <c r="O948" s="122">
        <v>47.17</v>
      </c>
      <c r="P948" s="122">
        <v>50.95</v>
      </c>
      <c r="Q948" s="122">
        <v>46.25</v>
      </c>
      <c r="R948" s="122">
        <v>48.55</v>
      </c>
      <c r="S948" s="122">
        <v>40.200000000000003</v>
      </c>
      <c r="T948" s="123">
        <v>12751128</v>
      </c>
    </row>
    <row r="949" spans="6:20" x14ac:dyDescent="0.3">
      <c r="F949" s="124">
        <v>943</v>
      </c>
      <c r="G949" s="33">
        <f t="shared" ca="1" si="27"/>
        <v>1.9072175776362168E-3</v>
      </c>
      <c r="N949" s="118" t="s">
        <v>1312</v>
      </c>
      <c r="O949" s="122">
        <v>47.7</v>
      </c>
      <c r="P949" s="122">
        <v>47.7</v>
      </c>
      <c r="Q949" s="122">
        <v>41.95</v>
      </c>
      <c r="R949" s="122">
        <v>46.6</v>
      </c>
      <c r="S949" s="122">
        <v>38.590000000000003</v>
      </c>
      <c r="T949" s="123">
        <v>7972568</v>
      </c>
    </row>
    <row r="950" spans="6:20" x14ac:dyDescent="0.3">
      <c r="F950" s="124">
        <v>944</v>
      </c>
      <c r="G950" s="33">
        <f t="shared" ca="1" si="27"/>
        <v>-4.660944523248286E-3</v>
      </c>
      <c r="N950" s="118" t="s">
        <v>1313</v>
      </c>
      <c r="O950" s="122">
        <v>47</v>
      </c>
      <c r="P950" s="122">
        <v>47.7</v>
      </c>
      <c r="Q950" s="122">
        <v>45.13</v>
      </c>
      <c r="R950" s="122">
        <v>47.05</v>
      </c>
      <c r="S950" s="122">
        <v>38.96</v>
      </c>
      <c r="T950" s="123">
        <v>7371520</v>
      </c>
    </row>
    <row r="951" spans="6:20" x14ac:dyDescent="0.3">
      <c r="F951" s="124">
        <v>945</v>
      </c>
      <c r="G951" s="33">
        <f t="shared" ca="1" si="27"/>
        <v>-2.3171319314096207E-2</v>
      </c>
      <c r="N951" s="118" t="s">
        <v>1314</v>
      </c>
      <c r="O951" s="122">
        <v>46.6</v>
      </c>
      <c r="P951" s="122">
        <v>47.78</v>
      </c>
      <c r="Q951" s="122">
        <v>42.65</v>
      </c>
      <c r="R951" s="122">
        <v>47.5</v>
      </c>
      <c r="S951" s="122">
        <v>39.33</v>
      </c>
      <c r="T951" s="123">
        <v>8240878</v>
      </c>
    </row>
    <row r="952" spans="6:20" x14ac:dyDescent="0.3">
      <c r="F952" s="124">
        <v>946</v>
      </c>
      <c r="G952" s="33">
        <f t="shared" ca="1" si="27"/>
        <v>-2.4797578504563041E-2</v>
      </c>
      <c r="N952" s="118" t="s">
        <v>1315</v>
      </c>
      <c r="O952" s="122">
        <v>42.88</v>
      </c>
      <c r="P952" s="122">
        <v>47.3</v>
      </c>
      <c r="Q952" s="122">
        <v>41.55</v>
      </c>
      <c r="R952" s="122">
        <v>46.7</v>
      </c>
      <c r="S952" s="122">
        <v>38.67</v>
      </c>
      <c r="T952" s="123">
        <v>13065318</v>
      </c>
    </row>
    <row r="953" spans="6:20" x14ac:dyDescent="0.3">
      <c r="F953" s="124">
        <v>947</v>
      </c>
      <c r="G953" s="33">
        <f t="shared" ca="1" si="27"/>
        <v>1.7667588886875519E-2</v>
      </c>
      <c r="N953" s="118" t="s">
        <v>1316</v>
      </c>
      <c r="O953" s="317" t="s">
        <v>1177</v>
      </c>
      <c r="P953" s="317"/>
      <c r="Q953" s="317"/>
      <c r="R953" s="317"/>
      <c r="S953" s="317"/>
      <c r="T953" s="317"/>
    </row>
    <row r="954" spans="6:20" x14ac:dyDescent="0.3">
      <c r="F954" s="124">
        <v>948</v>
      </c>
      <c r="G954" s="33">
        <f t="shared" ca="1" si="27"/>
        <v>3.1962563074495583E-2</v>
      </c>
      <c r="N954" s="118" t="s">
        <v>1317</v>
      </c>
      <c r="O954" s="122">
        <v>45.85</v>
      </c>
      <c r="P954" s="122">
        <v>46.2</v>
      </c>
      <c r="Q954" s="122">
        <v>41</v>
      </c>
      <c r="R954" s="122">
        <v>42.25</v>
      </c>
      <c r="S954" s="122">
        <v>34.69</v>
      </c>
      <c r="T954" s="123">
        <v>5436890</v>
      </c>
    </row>
    <row r="955" spans="6:20" x14ac:dyDescent="0.3">
      <c r="F955" s="124">
        <v>949</v>
      </c>
      <c r="G955" s="33">
        <f t="shared" ca="1" si="27"/>
        <v>-6.276603832235622E-4</v>
      </c>
      <c r="N955" s="118" t="s">
        <v>1318</v>
      </c>
      <c r="O955" s="122">
        <v>47.53</v>
      </c>
      <c r="P955" s="122">
        <v>48.45</v>
      </c>
      <c r="Q955" s="122">
        <v>44.38</v>
      </c>
      <c r="R955" s="122">
        <v>44.92</v>
      </c>
      <c r="S955" s="122">
        <v>36.880000000000003</v>
      </c>
      <c r="T955" s="123">
        <v>8915136</v>
      </c>
    </row>
    <row r="956" spans="6:20" x14ac:dyDescent="0.3">
      <c r="F956" s="124">
        <v>950</v>
      </c>
      <c r="G956" s="33">
        <f t="shared" ca="1" si="27"/>
        <v>2.804933195308007E-2</v>
      </c>
      <c r="N956" s="118" t="s">
        <v>1319</v>
      </c>
      <c r="O956" s="122">
        <v>47.72</v>
      </c>
      <c r="P956" s="122">
        <v>50.45</v>
      </c>
      <c r="Q956" s="122">
        <v>46</v>
      </c>
      <c r="R956" s="122">
        <v>48.65</v>
      </c>
      <c r="S956" s="122">
        <v>39.94</v>
      </c>
      <c r="T956" s="123">
        <v>9312304</v>
      </c>
    </row>
    <row r="957" spans="6:20" x14ac:dyDescent="0.3">
      <c r="F957" s="124">
        <v>951</v>
      </c>
      <c r="G957" s="33">
        <f t="shared" ca="1" si="27"/>
        <v>6.6768221175765828E-3</v>
      </c>
      <c r="N957" s="118" t="s">
        <v>1320</v>
      </c>
      <c r="O957" s="122">
        <v>52.92</v>
      </c>
      <c r="P957" s="122">
        <v>53.85</v>
      </c>
      <c r="Q957" s="122">
        <v>48.5</v>
      </c>
      <c r="R957" s="122">
        <v>49.22</v>
      </c>
      <c r="S957" s="122">
        <v>40.409999999999997</v>
      </c>
      <c r="T957" s="123">
        <v>9885710</v>
      </c>
    </row>
    <row r="958" spans="6:20" x14ac:dyDescent="0.3">
      <c r="F958" s="124">
        <v>952</v>
      </c>
      <c r="G958" s="33">
        <f t="shared" ca="1" si="27"/>
        <v>4.3868967684966339E-3</v>
      </c>
      <c r="N958" s="118" t="s">
        <v>1321</v>
      </c>
      <c r="O958" s="122">
        <v>52</v>
      </c>
      <c r="P958" s="122">
        <v>53.1</v>
      </c>
      <c r="Q958" s="122">
        <v>48.75</v>
      </c>
      <c r="R958" s="122">
        <v>52.5</v>
      </c>
      <c r="S958" s="122">
        <v>43.1</v>
      </c>
      <c r="T958" s="123">
        <v>5247468</v>
      </c>
    </row>
    <row r="959" spans="6:20" x14ac:dyDescent="0.3">
      <c r="F959" s="124">
        <v>953</v>
      </c>
      <c r="G959" s="33">
        <f t="shared" ca="1" si="27"/>
        <v>-1.7821601492531751E-2</v>
      </c>
      <c r="N959" s="118" t="s">
        <v>1322</v>
      </c>
      <c r="O959" s="122">
        <v>50</v>
      </c>
      <c r="P959" s="122">
        <v>53.5</v>
      </c>
      <c r="Q959" s="122">
        <v>49.5</v>
      </c>
      <c r="R959" s="122">
        <v>51.9</v>
      </c>
      <c r="S959" s="122">
        <v>42.61</v>
      </c>
      <c r="T959" s="123">
        <v>9253348</v>
      </c>
    </row>
    <row r="960" spans="6:20" x14ac:dyDescent="0.3">
      <c r="F960" s="124">
        <v>954</v>
      </c>
      <c r="G960" s="33">
        <f t="shared" ca="1" si="27"/>
        <v>-3.4798099014165133E-2</v>
      </c>
      <c r="N960" s="118" t="s">
        <v>1323</v>
      </c>
      <c r="O960" s="122">
        <v>52</v>
      </c>
      <c r="P960" s="122">
        <v>52.2</v>
      </c>
      <c r="Q960" s="122">
        <v>48.75</v>
      </c>
      <c r="R960" s="122">
        <v>50.08</v>
      </c>
      <c r="S960" s="122">
        <v>41.11</v>
      </c>
      <c r="T960" s="123">
        <v>7308890</v>
      </c>
    </row>
    <row r="961" spans="6:20" x14ac:dyDescent="0.3">
      <c r="F961" s="124">
        <v>955</v>
      </c>
      <c r="G961" s="33">
        <f t="shared" ca="1" si="27"/>
        <v>5.0229886125878528E-3</v>
      </c>
      <c r="N961" s="118" t="s">
        <v>1324</v>
      </c>
      <c r="O961" s="317" t="s">
        <v>1325</v>
      </c>
      <c r="P961" s="317"/>
      <c r="Q961" s="317"/>
      <c r="R961" s="317"/>
      <c r="S961" s="317"/>
      <c r="T961" s="317"/>
    </row>
    <row r="962" spans="6:20" x14ac:dyDescent="0.3">
      <c r="F962" s="124">
        <v>956</v>
      </c>
      <c r="G962" s="33">
        <f t="shared" ca="1" si="27"/>
        <v>1.6036086779660483E-2</v>
      </c>
      <c r="N962" s="118" t="s">
        <v>1326</v>
      </c>
      <c r="O962" s="122">
        <v>56.97</v>
      </c>
      <c r="P962" s="122">
        <v>57.1</v>
      </c>
      <c r="Q962" s="122">
        <v>25.44</v>
      </c>
      <c r="R962" s="122">
        <v>25.67</v>
      </c>
      <c r="S962" s="122">
        <v>21.08</v>
      </c>
      <c r="T962" s="123">
        <v>20335634</v>
      </c>
    </row>
    <row r="963" spans="6:20" x14ac:dyDescent="0.3">
      <c r="F963" s="124">
        <v>957</v>
      </c>
      <c r="G963" s="33">
        <f t="shared" ca="1" si="27"/>
        <v>8.8528217121140278E-3</v>
      </c>
      <c r="N963" s="118" t="s">
        <v>1327</v>
      </c>
      <c r="O963" s="122">
        <v>51.92</v>
      </c>
      <c r="P963" s="122">
        <v>59.33</v>
      </c>
      <c r="Q963" s="122">
        <v>50.75</v>
      </c>
      <c r="R963" s="122">
        <v>56.42</v>
      </c>
      <c r="S963" s="122">
        <v>46.31</v>
      </c>
      <c r="T963" s="123">
        <v>27460323</v>
      </c>
    </row>
    <row r="964" spans="6:20" x14ac:dyDescent="0.3">
      <c r="F964" s="124">
        <v>958</v>
      </c>
      <c r="G964" s="33">
        <f t="shared" ca="1" si="27"/>
        <v>1.3818461488604786E-2</v>
      </c>
      <c r="N964" s="118" t="s">
        <v>1328</v>
      </c>
      <c r="O964" s="122">
        <v>50.97</v>
      </c>
      <c r="P964" s="122">
        <v>51.65</v>
      </c>
      <c r="Q964" s="122">
        <v>49.01</v>
      </c>
      <c r="R964" s="122">
        <v>51.26</v>
      </c>
      <c r="S964" s="122">
        <v>42.09</v>
      </c>
      <c r="T964" s="123">
        <v>8299491</v>
      </c>
    </row>
    <row r="965" spans="6:20" x14ac:dyDescent="0.3">
      <c r="F965" s="124">
        <v>959</v>
      </c>
      <c r="G965" s="33">
        <f t="shared" ca="1" si="27"/>
        <v>1.7247236804356587E-2</v>
      </c>
      <c r="N965" s="118" t="s">
        <v>1329</v>
      </c>
      <c r="O965" s="122">
        <v>48.97</v>
      </c>
      <c r="P965" s="122">
        <v>52.24</v>
      </c>
      <c r="Q965" s="122">
        <v>48.97</v>
      </c>
      <c r="R965" s="122">
        <v>50.58</v>
      </c>
      <c r="S965" s="122">
        <v>41.53</v>
      </c>
      <c r="T965" s="123">
        <v>6974481</v>
      </c>
    </row>
    <row r="966" spans="6:20" x14ac:dyDescent="0.3">
      <c r="F966" s="124">
        <v>960</v>
      </c>
      <c r="G966" s="33">
        <f t="shared" ca="1" si="27"/>
        <v>-5.5374705967703745E-4</v>
      </c>
      <c r="N966" s="118" t="s">
        <v>1330</v>
      </c>
      <c r="O966" s="122">
        <v>48.03</v>
      </c>
      <c r="P966" s="122">
        <v>53.38</v>
      </c>
      <c r="Q966" s="122">
        <v>47.7</v>
      </c>
      <c r="R966" s="122">
        <v>48.97</v>
      </c>
      <c r="S966" s="122">
        <v>40.200000000000003</v>
      </c>
      <c r="T966" s="123">
        <v>4349052</v>
      </c>
    </row>
    <row r="967" spans="6:20" x14ac:dyDescent="0.3">
      <c r="F967" s="124">
        <v>961</v>
      </c>
      <c r="G967" s="33">
        <f t="shared" ca="1" si="27"/>
        <v>5.5483277292040958E-2</v>
      </c>
      <c r="N967" s="118" t="s">
        <v>1331</v>
      </c>
      <c r="O967" s="122">
        <v>49.13</v>
      </c>
      <c r="P967" s="122">
        <v>49.58</v>
      </c>
      <c r="Q967" s="122">
        <v>46.7</v>
      </c>
      <c r="R967" s="122">
        <v>48.03</v>
      </c>
      <c r="S967" s="122">
        <v>39.44</v>
      </c>
      <c r="T967" s="123">
        <v>5118423</v>
      </c>
    </row>
    <row r="968" spans="6:20" x14ac:dyDescent="0.3">
      <c r="F968" s="124">
        <v>962</v>
      </c>
      <c r="G968" s="33">
        <f t="shared" ref="G968:G1031" ca="1" si="28">_xlfn.NORM.INV(RAND(),$M$9,$M$10)</f>
        <v>-8.3018186612792144E-3</v>
      </c>
      <c r="N968" s="118" t="s">
        <v>1332</v>
      </c>
      <c r="O968" s="122">
        <v>47.62</v>
      </c>
      <c r="P968" s="122">
        <v>49.97</v>
      </c>
      <c r="Q968" s="122">
        <v>45.88</v>
      </c>
      <c r="R968" s="122">
        <v>49.13</v>
      </c>
      <c r="S968" s="122">
        <v>40.340000000000003</v>
      </c>
      <c r="T968" s="123">
        <v>12059895</v>
      </c>
    </row>
    <row r="969" spans="6:20" x14ac:dyDescent="0.3">
      <c r="F969" s="124">
        <v>963</v>
      </c>
      <c r="G969" s="33">
        <f t="shared" ca="1" si="28"/>
        <v>-1.2434594663974431E-2</v>
      </c>
      <c r="N969" s="118" t="s">
        <v>1333</v>
      </c>
      <c r="O969" s="122">
        <v>49.5</v>
      </c>
      <c r="P969" s="122">
        <v>49.5</v>
      </c>
      <c r="Q969" s="122">
        <v>47</v>
      </c>
      <c r="R969" s="122">
        <v>47.62</v>
      </c>
      <c r="S969" s="122">
        <v>39.090000000000003</v>
      </c>
      <c r="T969" s="123">
        <v>9470574</v>
      </c>
    </row>
    <row r="970" spans="6:20" x14ac:dyDescent="0.3">
      <c r="F970" s="124">
        <v>964</v>
      </c>
      <c r="G970" s="33">
        <f t="shared" ca="1" si="28"/>
        <v>2.1380955135035629E-2</v>
      </c>
      <c r="N970" s="118" t="s">
        <v>1334</v>
      </c>
      <c r="O970" s="122">
        <v>48.67</v>
      </c>
      <c r="P970" s="122">
        <v>50.24</v>
      </c>
      <c r="Q970" s="122">
        <v>46.63</v>
      </c>
      <c r="R970" s="122">
        <v>49.2</v>
      </c>
      <c r="S970" s="122">
        <v>40.39</v>
      </c>
      <c r="T970" s="123">
        <v>13440525</v>
      </c>
    </row>
    <row r="971" spans="6:20" x14ac:dyDescent="0.3">
      <c r="F971" s="124">
        <v>965</v>
      </c>
      <c r="G971" s="33">
        <f t="shared" ca="1" si="28"/>
        <v>2.3302503227754616E-2</v>
      </c>
      <c r="N971" s="118" t="s">
        <v>1335</v>
      </c>
      <c r="O971" s="122">
        <v>46.67</v>
      </c>
      <c r="P971" s="122">
        <v>48.94</v>
      </c>
      <c r="Q971" s="122">
        <v>45.75</v>
      </c>
      <c r="R971" s="122">
        <v>48.22</v>
      </c>
      <c r="S971" s="122">
        <v>39.58</v>
      </c>
      <c r="T971" s="123">
        <v>17827893</v>
      </c>
    </row>
    <row r="972" spans="6:20" x14ac:dyDescent="0.3">
      <c r="F972" s="124">
        <v>966</v>
      </c>
      <c r="G972" s="33">
        <f t="shared" ca="1" si="28"/>
        <v>6.2467761543534533E-2</v>
      </c>
      <c r="N972" s="118" t="s">
        <v>1336</v>
      </c>
      <c r="O972" s="122">
        <v>49.67</v>
      </c>
      <c r="P972" s="122">
        <v>50.63</v>
      </c>
      <c r="Q972" s="122">
        <v>46.06</v>
      </c>
      <c r="R972" s="122">
        <v>46.58</v>
      </c>
      <c r="S972" s="122">
        <v>38.24</v>
      </c>
      <c r="T972" s="123">
        <v>16249851</v>
      </c>
    </row>
    <row r="973" spans="6:20" x14ac:dyDescent="0.3">
      <c r="F973" s="124">
        <v>967</v>
      </c>
      <c r="G973" s="33">
        <f t="shared" ca="1" si="28"/>
        <v>-3.821837870980465E-2</v>
      </c>
      <c r="N973" s="118" t="s">
        <v>1337</v>
      </c>
      <c r="O973" s="122">
        <v>50.56</v>
      </c>
      <c r="P973" s="122">
        <v>51.22</v>
      </c>
      <c r="Q973" s="122">
        <v>48.55</v>
      </c>
      <c r="R973" s="122">
        <v>49.24</v>
      </c>
      <c r="S973" s="122">
        <v>40.42</v>
      </c>
      <c r="T973" s="123">
        <v>10201101</v>
      </c>
    </row>
    <row r="974" spans="6:20" x14ac:dyDescent="0.3">
      <c r="F974" s="124">
        <v>968</v>
      </c>
      <c r="G974" s="33">
        <f t="shared" ca="1" si="28"/>
        <v>5.7000292329013477E-2</v>
      </c>
      <c r="N974" s="118" t="s">
        <v>1338</v>
      </c>
      <c r="O974" s="317" t="s">
        <v>1339</v>
      </c>
      <c r="P974" s="317"/>
      <c r="Q974" s="317"/>
      <c r="R974" s="317"/>
      <c r="S974" s="317"/>
      <c r="T974" s="317"/>
    </row>
    <row r="975" spans="6:20" x14ac:dyDescent="0.3">
      <c r="F975" s="124">
        <v>969</v>
      </c>
      <c r="G975" s="33">
        <f t="shared" ca="1" si="28"/>
        <v>-5.2455149959851316E-2</v>
      </c>
      <c r="N975" s="118" t="s">
        <v>1340</v>
      </c>
      <c r="O975" s="122">
        <v>48.33</v>
      </c>
      <c r="P975" s="122">
        <v>52.31</v>
      </c>
      <c r="Q975" s="122">
        <v>48</v>
      </c>
      <c r="R975" s="122">
        <v>50.1</v>
      </c>
      <c r="S975" s="122">
        <v>40.86</v>
      </c>
      <c r="T975" s="123">
        <v>25320063</v>
      </c>
    </row>
    <row r="976" spans="6:20" x14ac:dyDescent="0.3">
      <c r="F976" s="124">
        <v>970</v>
      </c>
      <c r="G976" s="33">
        <f t="shared" ca="1" si="28"/>
        <v>-1.3385158567434833E-2</v>
      </c>
      <c r="N976" s="118" t="s">
        <v>1341</v>
      </c>
      <c r="O976" s="122">
        <v>48.72</v>
      </c>
      <c r="P976" s="122">
        <v>49.56</v>
      </c>
      <c r="Q976" s="122">
        <v>48.33</v>
      </c>
      <c r="R976" s="122">
        <v>48.62</v>
      </c>
      <c r="S976" s="122">
        <v>39.65</v>
      </c>
      <c r="T976" s="123">
        <v>4119936</v>
      </c>
    </row>
    <row r="977" spans="6:20" x14ac:dyDescent="0.3">
      <c r="F977" s="124">
        <v>971</v>
      </c>
      <c r="G977" s="33">
        <f t="shared" ca="1" si="28"/>
        <v>-6.3840627818117626E-2</v>
      </c>
      <c r="N977" s="118" t="s">
        <v>1342</v>
      </c>
      <c r="O977" s="122">
        <v>47.5</v>
      </c>
      <c r="P977" s="122">
        <v>50.2</v>
      </c>
      <c r="Q977" s="122">
        <v>43.88</v>
      </c>
      <c r="R977" s="122">
        <v>48.92</v>
      </c>
      <c r="S977" s="122">
        <v>39.89</v>
      </c>
      <c r="T977" s="123">
        <v>17185926</v>
      </c>
    </row>
    <row r="978" spans="6:20" x14ac:dyDescent="0.3">
      <c r="F978" s="124">
        <v>972</v>
      </c>
      <c r="G978" s="33">
        <f t="shared" ca="1" si="28"/>
        <v>4.2093976542616632E-3</v>
      </c>
      <c r="N978" s="118" t="s">
        <v>1343</v>
      </c>
      <c r="O978" s="122">
        <v>47.67</v>
      </c>
      <c r="P978" s="122">
        <v>48</v>
      </c>
      <c r="Q978" s="122">
        <v>45.5</v>
      </c>
      <c r="R978" s="122">
        <v>46.83</v>
      </c>
      <c r="S978" s="122">
        <v>38.200000000000003</v>
      </c>
      <c r="T978" s="123">
        <v>8294403</v>
      </c>
    </row>
    <row r="979" spans="6:20" x14ac:dyDescent="0.3">
      <c r="F979" s="124">
        <v>973</v>
      </c>
      <c r="G979" s="33">
        <f t="shared" ca="1" si="28"/>
        <v>3.9825493413130776E-2</v>
      </c>
      <c r="N979" s="118" t="s">
        <v>1344</v>
      </c>
      <c r="O979" s="122">
        <v>45.6</v>
      </c>
      <c r="P979" s="122">
        <v>48</v>
      </c>
      <c r="Q979" s="122">
        <v>44.83</v>
      </c>
      <c r="R979" s="122">
        <v>46.65</v>
      </c>
      <c r="S979" s="122">
        <v>38.049999999999997</v>
      </c>
      <c r="T979" s="123">
        <v>7517703</v>
      </c>
    </row>
    <row r="980" spans="6:20" x14ac:dyDescent="0.3">
      <c r="F980" s="124">
        <v>974</v>
      </c>
      <c r="G980" s="33">
        <f t="shared" ca="1" si="28"/>
        <v>-8.5751364418151267E-3</v>
      </c>
      <c r="N980" s="118" t="s">
        <v>1345</v>
      </c>
      <c r="O980" s="122">
        <v>45.83</v>
      </c>
      <c r="P980" s="122">
        <v>47</v>
      </c>
      <c r="Q980" s="122">
        <v>45.24</v>
      </c>
      <c r="R980" s="122">
        <v>45.6</v>
      </c>
      <c r="S980" s="122">
        <v>37.19</v>
      </c>
      <c r="T980" s="123">
        <v>7472016</v>
      </c>
    </row>
    <row r="981" spans="6:20" x14ac:dyDescent="0.3">
      <c r="F981" s="124">
        <v>975</v>
      </c>
      <c r="G981" s="33">
        <f t="shared" ca="1" si="28"/>
        <v>-4.5967375621272004E-2</v>
      </c>
      <c r="N981" s="118" t="s">
        <v>1346</v>
      </c>
      <c r="O981" s="122">
        <v>46.08</v>
      </c>
      <c r="P981" s="122">
        <v>47.3</v>
      </c>
      <c r="Q981" s="122">
        <v>45</v>
      </c>
      <c r="R981" s="122">
        <v>45.69</v>
      </c>
      <c r="S981" s="122">
        <v>37.26</v>
      </c>
      <c r="T981" s="123">
        <v>9750732</v>
      </c>
    </row>
    <row r="982" spans="6:20" x14ac:dyDescent="0.3">
      <c r="F982" s="124">
        <v>976</v>
      </c>
      <c r="G982" s="33">
        <f t="shared" ca="1" si="28"/>
        <v>4.0904126311500928E-2</v>
      </c>
      <c r="N982" s="118" t="s">
        <v>1347</v>
      </c>
      <c r="O982" s="122">
        <v>47</v>
      </c>
      <c r="P982" s="122">
        <v>48.8</v>
      </c>
      <c r="Q982" s="122">
        <v>43.88</v>
      </c>
      <c r="R982" s="122">
        <v>45.99</v>
      </c>
      <c r="S982" s="122">
        <v>37.5</v>
      </c>
      <c r="T982" s="123">
        <v>9160653</v>
      </c>
    </row>
    <row r="983" spans="6:20" x14ac:dyDescent="0.3">
      <c r="F983" s="124">
        <v>977</v>
      </c>
      <c r="G983" s="33">
        <f t="shared" ca="1" si="28"/>
        <v>4.6254585794961799E-2</v>
      </c>
      <c r="N983" s="118" t="s">
        <v>1348</v>
      </c>
      <c r="O983" s="122">
        <v>45.97</v>
      </c>
      <c r="P983" s="122">
        <v>48.63</v>
      </c>
      <c r="Q983" s="122">
        <v>45.83</v>
      </c>
      <c r="R983" s="122">
        <v>46.65</v>
      </c>
      <c r="S983" s="122">
        <v>38.049999999999997</v>
      </c>
      <c r="T983" s="123">
        <v>15235437</v>
      </c>
    </row>
    <row r="984" spans="6:20" x14ac:dyDescent="0.3">
      <c r="F984" s="124">
        <v>978</v>
      </c>
      <c r="G984" s="33">
        <f t="shared" ca="1" si="28"/>
        <v>2.7087335064066884E-2</v>
      </c>
      <c r="N984" s="118" t="s">
        <v>1349</v>
      </c>
      <c r="O984" s="122">
        <v>46.38</v>
      </c>
      <c r="P984" s="122">
        <v>46.63</v>
      </c>
      <c r="Q984" s="122">
        <v>45.17</v>
      </c>
      <c r="R984" s="122">
        <v>45.6</v>
      </c>
      <c r="S984" s="122">
        <v>37.19</v>
      </c>
      <c r="T984" s="123">
        <v>4893360</v>
      </c>
    </row>
    <row r="985" spans="6:20" x14ac:dyDescent="0.3">
      <c r="F985" s="124">
        <v>979</v>
      </c>
      <c r="G985" s="33">
        <f t="shared" ca="1" si="28"/>
        <v>1.6761736483432862E-2</v>
      </c>
      <c r="N985" s="118" t="s">
        <v>1350</v>
      </c>
      <c r="O985" s="122">
        <v>47.5</v>
      </c>
      <c r="P985" s="122">
        <v>47.65</v>
      </c>
      <c r="Q985" s="122">
        <v>44.75</v>
      </c>
      <c r="R985" s="122">
        <v>45.92</v>
      </c>
      <c r="S985" s="122">
        <v>37.450000000000003</v>
      </c>
      <c r="T985" s="123">
        <v>10879764</v>
      </c>
    </row>
    <row r="986" spans="6:20" x14ac:dyDescent="0.3">
      <c r="F986" s="124">
        <v>980</v>
      </c>
      <c r="G986" s="33">
        <f t="shared" ca="1" si="28"/>
        <v>4.309246122160027E-3</v>
      </c>
      <c r="N986" s="118" t="s">
        <v>1351</v>
      </c>
      <c r="O986" s="122">
        <v>45.4</v>
      </c>
      <c r="P986" s="122">
        <v>48</v>
      </c>
      <c r="Q986" s="122">
        <v>45.1</v>
      </c>
      <c r="R986" s="122">
        <v>47.13</v>
      </c>
      <c r="S986" s="122">
        <v>38.44</v>
      </c>
      <c r="T986" s="123">
        <v>12281790</v>
      </c>
    </row>
    <row r="987" spans="6:20" x14ac:dyDescent="0.3">
      <c r="F987" s="124">
        <v>981</v>
      </c>
      <c r="G987" s="33">
        <f t="shared" ca="1" si="28"/>
        <v>3.7999136869217964E-2</v>
      </c>
      <c r="N987" s="118" t="s">
        <v>1352</v>
      </c>
      <c r="O987" s="122">
        <v>45.25</v>
      </c>
      <c r="P987" s="122">
        <v>46.42</v>
      </c>
      <c r="Q987" s="122">
        <v>44.67</v>
      </c>
      <c r="R987" s="122">
        <v>45.33</v>
      </c>
      <c r="S987" s="122">
        <v>36.97</v>
      </c>
      <c r="T987" s="123">
        <v>7757835</v>
      </c>
    </row>
    <row r="988" spans="6:20" x14ac:dyDescent="0.3">
      <c r="F988" s="124">
        <v>982</v>
      </c>
      <c r="G988" s="33">
        <f t="shared" ca="1" si="28"/>
        <v>-1.5145455721596281E-2</v>
      </c>
      <c r="N988" s="118" t="s">
        <v>1353</v>
      </c>
      <c r="O988" s="122">
        <v>45</v>
      </c>
      <c r="P988" s="122">
        <v>45.5</v>
      </c>
      <c r="Q988" s="122">
        <v>43.63</v>
      </c>
      <c r="R988" s="122">
        <v>45.17</v>
      </c>
      <c r="S988" s="122">
        <v>36.840000000000003</v>
      </c>
      <c r="T988" s="123">
        <v>8799231</v>
      </c>
    </row>
    <row r="989" spans="6:20" x14ac:dyDescent="0.3">
      <c r="F989" s="124">
        <v>983</v>
      </c>
      <c r="G989" s="33">
        <f t="shared" ca="1" si="28"/>
        <v>5.963807046690626E-3</v>
      </c>
      <c r="N989" s="118" t="s">
        <v>1354</v>
      </c>
      <c r="O989" s="122">
        <v>43.62</v>
      </c>
      <c r="P989" s="122">
        <v>46.58</v>
      </c>
      <c r="Q989" s="122">
        <v>42.17</v>
      </c>
      <c r="R989" s="122">
        <v>44.65</v>
      </c>
      <c r="S989" s="122">
        <v>36.42</v>
      </c>
      <c r="T989" s="123">
        <v>14360508</v>
      </c>
    </row>
    <row r="990" spans="6:20" x14ac:dyDescent="0.3">
      <c r="F990" s="124">
        <v>984</v>
      </c>
      <c r="G990" s="33">
        <f t="shared" ca="1" si="28"/>
        <v>2.4841077454041943E-3</v>
      </c>
      <c r="N990" s="118" t="s">
        <v>1355</v>
      </c>
      <c r="O990" s="122">
        <v>46.53</v>
      </c>
      <c r="P990" s="122">
        <v>49.94</v>
      </c>
      <c r="Q990" s="122">
        <v>43</v>
      </c>
      <c r="R990" s="122">
        <v>43.63</v>
      </c>
      <c r="S990" s="122">
        <v>35.590000000000003</v>
      </c>
      <c r="T990" s="123">
        <v>23873853</v>
      </c>
    </row>
    <row r="991" spans="6:20" x14ac:dyDescent="0.3">
      <c r="F991" s="124">
        <v>985</v>
      </c>
      <c r="G991" s="33">
        <f t="shared" ca="1" si="28"/>
        <v>3.9393603233801956E-2</v>
      </c>
      <c r="N991" s="118" t="s">
        <v>1356</v>
      </c>
      <c r="O991" s="122">
        <v>45.75</v>
      </c>
      <c r="P991" s="122">
        <v>50.5</v>
      </c>
      <c r="Q991" s="122">
        <v>45.53</v>
      </c>
      <c r="R991" s="122">
        <v>49.03</v>
      </c>
      <c r="S991" s="122">
        <v>39.99</v>
      </c>
      <c r="T991" s="123">
        <v>16384767</v>
      </c>
    </row>
    <row r="992" spans="6:20" x14ac:dyDescent="0.3">
      <c r="F992" s="124">
        <v>986</v>
      </c>
      <c r="G992" s="33">
        <f t="shared" ca="1" si="28"/>
        <v>2.4525757043534366E-2</v>
      </c>
      <c r="N992" s="118" t="s">
        <v>1357</v>
      </c>
      <c r="O992" s="122">
        <v>47.94</v>
      </c>
      <c r="P992" s="122">
        <v>48.63</v>
      </c>
      <c r="Q992" s="122">
        <v>45</v>
      </c>
      <c r="R992" s="122">
        <v>45.72</v>
      </c>
      <c r="S992" s="122">
        <v>37.28</v>
      </c>
      <c r="T992" s="123">
        <v>11672427</v>
      </c>
    </row>
    <row r="993" spans="6:20" x14ac:dyDescent="0.3">
      <c r="F993" s="124">
        <v>987</v>
      </c>
      <c r="G993" s="33">
        <f t="shared" ca="1" si="28"/>
        <v>2.0679301530616024E-2</v>
      </c>
      <c r="N993" s="118" t="s">
        <v>1358</v>
      </c>
      <c r="O993" s="122">
        <v>44.67</v>
      </c>
      <c r="P993" s="122">
        <v>48.8</v>
      </c>
      <c r="Q993" s="122">
        <v>42.12</v>
      </c>
      <c r="R993" s="122">
        <v>47.44</v>
      </c>
      <c r="S993" s="122">
        <v>38.69</v>
      </c>
      <c r="T993" s="123">
        <v>20150721</v>
      </c>
    </row>
    <row r="994" spans="6:20" x14ac:dyDescent="0.3">
      <c r="F994" s="124">
        <v>988</v>
      </c>
      <c r="G994" s="33">
        <f t="shared" ca="1" si="28"/>
        <v>-3.0230371606132334E-2</v>
      </c>
      <c r="N994" s="118" t="s">
        <v>1359</v>
      </c>
      <c r="O994" s="317" t="s">
        <v>1339</v>
      </c>
      <c r="P994" s="317"/>
      <c r="Q994" s="317"/>
      <c r="R994" s="317"/>
      <c r="S994" s="317"/>
      <c r="T994" s="317"/>
    </row>
    <row r="995" spans="6:20" x14ac:dyDescent="0.3">
      <c r="F995" s="124">
        <v>989</v>
      </c>
      <c r="G995" s="33">
        <f t="shared" ca="1" si="28"/>
        <v>-2.8518660878538143E-3</v>
      </c>
      <c r="N995" s="118" t="s">
        <v>1360</v>
      </c>
      <c r="O995" s="122">
        <v>42.67</v>
      </c>
      <c r="P995" s="122">
        <v>45.08</v>
      </c>
      <c r="Q995" s="122">
        <v>41.33</v>
      </c>
      <c r="R995" s="122">
        <v>44.95</v>
      </c>
      <c r="S995" s="122">
        <v>36.380000000000003</v>
      </c>
      <c r="T995" s="123">
        <v>13491624</v>
      </c>
    </row>
    <row r="996" spans="6:20" x14ac:dyDescent="0.3">
      <c r="F996" s="124">
        <v>990</v>
      </c>
      <c r="G996" s="33">
        <f t="shared" ca="1" si="28"/>
        <v>-2.7677777918338208E-2</v>
      </c>
      <c r="N996" s="118" t="s">
        <v>1361</v>
      </c>
      <c r="O996" s="122">
        <v>41.67</v>
      </c>
      <c r="P996" s="122">
        <v>45.33</v>
      </c>
      <c r="Q996" s="122">
        <v>37.700000000000003</v>
      </c>
      <c r="R996" s="122">
        <v>42.87</v>
      </c>
      <c r="S996" s="122">
        <v>34.69</v>
      </c>
      <c r="T996" s="123">
        <v>25525302</v>
      </c>
    </row>
    <row r="997" spans="6:20" x14ac:dyDescent="0.3">
      <c r="F997" s="124">
        <v>991</v>
      </c>
      <c r="G997" s="33">
        <f t="shared" ca="1" si="28"/>
        <v>-8.2042069777397905E-3</v>
      </c>
      <c r="N997" s="118" t="s">
        <v>1362</v>
      </c>
      <c r="O997" s="122">
        <v>44.81</v>
      </c>
      <c r="P997" s="122">
        <v>45.25</v>
      </c>
      <c r="Q997" s="122">
        <v>36.700000000000003</v>
      </c>
      <c r="R997" s="122">
        <v>41.47</v>
      </c>
      <c r="S997" s="122">
        <v>33.56</v>
      </c>
      <c r="T997" s="123">
        <v>28478148</v>
      </c>
    </row>
    <row r="998" spans="6:20" x14ac:dyDescent="0.3">
      <c r="F998" s="124">
        <v>992</v>
      </c>
      <c r="G998" s="33">
        <f t="shared" ca="1" si="28"/>
        <v>-2.8953026257574233E-2</v>
      </c>
      <c r="N998" s="118" t="s">
        <v>1363</v>
      </c>
      <c r="O998" s="122">
        <v>50.74</v>
      </c>
      <c r="P998" s="122">
        <v>51.67</v>
      </c>
      <c r="Q998" s="122">
        <v>40.69</v>
      </c>
      <c r="R998" s="122">
        <v>43.17</v>
      </c>
      <c r="S998" s="122">
        <v>34.93</v>
      </c>
      <c r="T998" s="123">
        <v>29406144</v>
      </c>
    </row>
    <row r="999" spans="6:20" x14ac:dyDescent="0.3">
      <c r="F999" s="124">
        <v>993</v>
      </c>
      <c r="G999" s="33">
        <f t="shared" ca="1" si="28"/>
        <v>5.5201917379041204E-3</v>
      </c>
      <c r="N999" s="118" t="s">
        <v>1364</v>
      </c>
      <c r="O999" s="122">
        <v>45.85</v>
      </c>
      <c r="P999" s="122">
        <v>50.67</v>
      </c>
      <c r="Q999" s="122">
        <v>35.700000000000003</v>
      </c>
      <c r="R999" s="122">
        <v>50.01</v>
      </c>
      <c r="S999" s="122">
        <v>40.47</v>
      </c>
      <c r="T999" s="123">
        <v>31735293</v>
      </c>
    </row>
    <row r="1000" spans="6:20" x14ac:dyDescent="0.3">
      <c r="F1000" s="124">
        <v>994</v>
      </c>
      <c r="G1000" s="33">
        <f t="shared" ca="1" si="28"/>
        <v>-1.1121320955369746E-2</v>
      </c>
      <c r="N1000" s="118" t="s">
        <v>1365</v>
      </c>
      <c r="O1000" s="122">
        <v>57.67</v>
      </c>
      <c r="P1000" s="122">
        <v>57.78</v>
      </c>
      <c r="Q1000" s="122">
        <v>44.05</v>
      </c>
      <c r="R1000" s="122">
        <v>44.85</v>
      </c>
      <c r="S1000" s="122">
        <v>36.299999999999997</v>
      </c>
      <c r="T1000" s="123">
        <v>41263050</v>
      </c>
    </row>
    <row r="1001" spans="6:20" x14ac:dyDescent="0.3">
      <c r="F1001" s="124">
        <v>995</v>
      </c>
      <c r="G1001" s="33">
        <f t="shared" ca="1" si="28"/>
        <v>-2.5898881964846847E-2</v>
      </c>
      <c r="N1001" s="118" t="s">
        <v>1366</v>
      </c>
      <c r="O1001" s="122">
        <v>52.05</v>
      </c>
      <c r="P1001" s="122">
        <v>57.94</v>
      </c>
      <c r="Q1001" s="122">
        <v>50.72</v>
      </c>
      <c r="R1001" s="122">
        <v>56.87</v>
      </c>
      <c r="S1001" s="122">
        <v>46.02</v>
      </c>
      <c r="T1001" s="123">
        <v>19611018</v>
      </c>
    </row>
    <row r="1002" spans="6:20" x14ac:dyDescent="0.3">
      <c r="F1002" s="124">
        <v>996</v>
      </c>
      <c r="G1002" s="33">
        <f t="shared" ca="1" si="28"/>
        <v>-3.8737488252719547E-2</v>
      </c>
      <c r="N1002" s="118" t="s">
        <v>1367</v>
      </c>
      <c r="O1002" s="122">
        <v>53.33</v>
      </c>
      <c r="P1002" s="122">
        <v>54.3</v>
      </c>
      <c r="Q1002" s="122">
        <v>49.08</v>
      </c>
      <c r="R1002" s="122">
        <v>52.05</v>
      </c>
      <c r="S1002" s="122">
        <v>42.12</v>
      </c>
      <c r="T1002" s="123">
        <v>13730553</v>
      </c>
    </row>
    <row r="1003" spans="6:20" x14ac:dyDescent="0.3">
      <c r="F1003" s="124">
        <v>997</v>
      </c>
      <c r="G1003" s="33">
        <f t="shared" ca="1" si="28"/>
        <v>1.904502100899742E-2</v>
      </c>
      <c r="N1003" s="118" t="s">
        <v>1368</v>
      </c>
      <c r="O1003" s="122">
        <v>44.17</v>
      </c>
      <c r="P1003" s="122">
        <v>55.5</v>
      </c>
      <c r="Q1003" s="122">
        <v>42</v>
      </c>
      <c r="R1003" s="122">
        <v>53.02</v>
      </c>
      <c r="S1003" s="122">
        <v>42.9</v>
      </c>
      <c r="T1003" s="123">
        <v>38720127</v>
      </c>
    </row>
    <row r="1004" spans="6:20" x14ac:dyDescent="0.3">
      <c r="F1004" s="124">
        <v>998</v>
      </c>
      <c r="G1004" s="33">
        <f t="shared" ca="1" si="28"/>
        <v>7.2699055414331896E-4</v>
      </c>
      <c r="N1004" s="118" t="s">
        <v>1369</v>
      </c>
      <c r="O1004" s="122">
        <v>43</v>
      </c>
      <c r="P1004" s="122">
        <v>45</v>
      </c>
      <c r="Q1004" s="122">
        <v>42.35</v>
      </c>
      <c r="R1004" s="122">
        <v>44.37</v>
      </c>
      <c r="S1004" s="122">
        <v>35.9</v>
      </c>
      <c r="T1004" s="123">
        <v>12281031</v>
      </c>
    </row>
    <row r="1005" spans="6:20" x14ac:dyDescent="0.3">
      <c r="F1005" s="124">
        <v>999</v>
      </c>
      <c r="G1005" s="33">
        <f t="shared" ca="1" si="28"/>
        <v>-2.8299458274255E-3</v>
      </c>
      <c r="N1005" s="118" t="s">
        <v>1370</v>
      </c>
      <c r="O1005" s="122">
        <v>43.2</v>
      </c>
      <c r="P1005" s="122">
        <v>44.26</v>
      </c>
      <c r="Q1005" s="122">
        <v>39</v>
      </c>
      <c r="R1005" s="122">
        <v>42.62</v>
      </c>
      <c r="S1005" s="122">
        <v>34.49</v>
      </c>
      <c r="T1005" s="123">
        <v>11393907</v>
      </c>
    </row>
    <row r="1006" spans="6:20" x14ac:dyDescent="0.3">
      <c r="F1006" s="124">
        <v>1000</v>
      </c>
      <c r="G1006" s="33">
        <f t="shared" ca="1" si="28"/>
        <v>-2.5008619219439397E-2</v>
      </c>
      <c r="N1006" s="118" t="s">
        <v>1371</v>
      </c>
      <c r="O1006" s="122">
        <v>41.63</v>
      </c>
      <c r="P1006" s="122">
        <v>45</v>
      </c>
      <c r="Q1006" s="122">
        <v>41</v>
      </c>
      <c r="R1006" s="122">
        <v>42.92</v>
      </c>
      <c r="S1006" s="122">
        <v>34.729999999999997</v>
      </c>
      <c r="T1006" s="123">
        <v>17393550</v>
      </c>
    </row>
    <row r="1007" spans="6:20" x14ac:dyDescent="0.3">
      <c r="F1007" s="124">
        <v>1001</v>
      </c>
      <c r="G1007" s="33">
        <f t="shared" ca="1" si="28"/>
        <v>1.3782330833079875E-2</v>
      </c>
      <c r="N1007" s="118" t="s">
        <v>1372</v>
      </c>
      <c r="O1007" s="122">
        <v>40.83</v>
      </c>
      <c r="P1007" s="122">
        <v>41.97</v>
      </c>
      <c r="Q1007" s="122">
        <v>39.56</v>
      </c>
      <c r="R1007" s="122">
        <v>41.33</v>
      </c>
      <c r="S1007" s="122">
        <v>33.450000000000003</v>
      </c>
      <c r="T1007" s="123">
        <v>13377549</v>
      </c>
    </row>
    <row r="1008" spans="6:20" x14ac:dyDescent="0.3">
      <c r="F1008" s="124">
        <v>1002</v>
      </c>
      <c r="G1008" s="33">
        <f t="shared" ca="1" si="28"/>
        <v>-1.9068605393971372E-2</v>
      </c>
      <c r="N1008" s="118" t="s">
        <v>1373</v>
      </c>
      <c r="O1008" s="122">
        <v>40.869999999999997</v>
      </c>
      <c r="P1008" s="122">
        <v>41.05</v>
      </c>
      <c r="Q1008" s="122">
        <v>37.76</v>
      </c>
      <c r="R1008" s="122">
        <v>40.25</v>
      </c>
      <c r="S1008" s="122">
        <v>32.57</v>
      </c>
      <c r="T1008" s="123">
        <v>21604878</v>
      </c>
    </row>
    <row r="1009" spans="6:20" x14ac:dyDescent="0.3">
      <c r="F1009" s="124">
        <v>1003</v>
      </c>
      <c r="G1009" s="33">
        <f t="shared" ca="1" si="28"/>
        <v>-1.4592640763015862E-3</v>
      </c>
      <c r="N1009" s="118" t="s">
        <v>1374</v>
      </c>
      <c r="O1009" s="122">
        <v>38.33</v>
      </c>
      <c r="P1009" s="122">
        <v>41.33</v>
      </c>
      <c r="Q1009" s="122">
        <v>37.83</v>
      </c>
      <c r="R1009" s="122">
        <v>40.24</v>
      </c>
      <c r="S1009" s="122">
        <v>32.56</v>
      </c>
      <c r="T1009" s="123">
        <v>24651720</v>
      </c>
    </row>
    <row r="1010" spans="6:20" x14ac:dyDescent="0.3">
      <c r="F1010" s="124">
        <v>1004</v>
      </c>
      <c r="G1010" s="33">
        <f t="shared" ca="1" si="28"/>
        <v>-4.0194842287917247E-2</v>
      </c>
      <c r="N1010" s="118" t="s">
        <v>1375</v>
      </c>
      <c r="O1010" s="122">
        <v>38.83</v>
      </c>
      <c r="P1010" s="122">
        <v>39.549999999999997</v>
      </c>
      <c r="Q1010" s="122">
        <v>36.67</v>
      </c>
      <c r="R1010" s="122">
        <v>37.76</v>
      </c>
      <c r="S1010" s="122">
        <v>30.56</v>
      </c>
      <c r="T1010" s="123">
        <v>18584562</v>
      </c>
    </row>
    <row r="1011" spans="6:20" x14ac:dyDescent="0.3">
      <c r="F1011" s="124">
        <v>1005</v>
      </c>
      <c r="G1011" s="33">
        <f t="shared" ca="1" si="28"/>
        <v>-5.3009936424189275E-2</v>
      </c>
      <c r="N1011" s="118" t="s">
        <v>1376</v>
      </c>
      <c r="O1011" s="122">
        <v>37.33</v>
      </c>
      <c r="P1011" s="122">
        <v>39.5</v>
      </c>
      <c r="Q1011" s="122">
        <v>36.17</v>
      </c>
      <c r="R1011" s="122">
        <v>38.869999999999997</v>
      </c>
      <c r="S1011" s="122">
        <v>31.45</v>
      </c>
      <c r="T1011" s="123">
        <v>16583493</v>
      </c>
    </row>
    <row r="1012" spans="6:20" x14ac:dyDescent="0.3">
      <c r="F1012" s="124">
        <v>1006</v>
      </c>
      <c r="G1012" s="33">
        <f t="shared" ca="1" si="28"/>
        <v>9.9861062837933549E-3</v>
      </c>
      <c r="N1012" s="118" t="s">
        <v>1377</v>
      </c>
      <c r="O1012" s="122">
        <v>36.67</v>
      </c>
      <c r="P1012" s="122">
        <v>38.450000000000003</v>
      </c>
      <c r="Q1012" s="122">
        <v>33.880000000000003</v>
      </c>
      <c r="R1012" s="122">
        <v>37.49</v>
      </c>
      <c r="S1012" s="122">
        <v>30.33</v>
      </c>
      <c r="T1012" s="123">
        <v>17983128</v>
      </c>
    </row>
    <row r="1013" spans="6:20" x14ac:dyDescent="0.3">
      <c r="F1013" s="124">
        <v>1007</v>
      </c>
      <c r="G1013" s="33">
        <f t="shared" ca="1" si="28"/>
        <v>-5.4413873018840625E-2</v>
      </c>
      <c r="N1013" s="118" t="s">
        <v>1378</v>
      </c>
      <c r="O1013" s="122">
        <v>38.53</v>
      </c>
      <c r="P1013" s="122">
        <v>38.75</v>
      </c>
      <c r="Q1013" s="122">
        <v>36.049999999999997</v>
      </c>
      <c r="R1013" s="122">
        <v>36.619999999999997</v>
      </c>
      <c r="S1013" s="122">
        <v>29.63</v>
      </c>
      <c r="T1013" s="123">
        <v>23225676</v>
      </c>
    </row>
    <row r="1014" spans="6:20" x14ac:dyDescent="0.3">
      <c r="F1014" s="124">
        <v>1008</v>
      </c>
      <c r="G1014" s="33">
        <f t="shared" ca="1" si="28"/>
        <v>3.8350191956037415E-2</v>
      </c>
      <c r="N1014" s="118" t="s">
        <v>1379</v>
      </c>
      <c r="O1014" s="122">
        <v>38</v>
      </c>
      <c r="P1014" s="122">
        <v>40</v>
      </c>
      <c r="Q1014" s="122">
        <v>37.5</v>
      </c>
      <c r="R1014" s="122">
        <v>38.53</v>
      </c>
      <c r="S1014" s="122">
        <v>31.18</v>
      </c>
      <c r="T1014" s="123">
        <v>12236364</v>
      </c>
    </row>
    <row r="1015" spans="6:20" x14ac:dyDescent="0.3">
      <c r="F1015" s="124">
        <v>1009</v>
      </c>
      <c r="G1015" s="33">
        <f t="shared" ca="1" si="28"/>
        <v>4.0749934816951869E-2</v>
      </c>
      <c r="N1015" s="118" t="s">
        <v>1380</v>
      </c>
      <c r="O1015" s="122">
        <v>36.83</v>
      </c>
      <c r="P1015" s="122">
        <v>40.03</v>
      </c>
      <c r="Q1015" s="122">
        <v>36.5</v>
      </c>
      <c r="R1015" s="122">
        <v>37.869999999999997</v>
      </c>
      <c r="S1015" s="122">
        <v>30.64</v>
      </c>
      <c r="T1015" s="123">
        <v>21313563</v>
      </c>
    </row>
    <row r="1016" spans="6:20" x14ac:dyDescent="0.3">
      <c r="F1016" s="124">
        <v>1010</v>
      </c>
      <c r="G1016" s="33">
        <f t="shared" ca="1" si="28"/>
        <v>-2.1943348530560951E-2</v>
      </c>
      <c r="N1016" s="118" t="s">
        <v>1381</v>
      </c>
      <c r="O1016" s="122">
        <v>36.5</v>
      </c>
      <c r="P1016" s="122">
        <v>37.49</v>
      </c>
      <c r="Q1016" s="122">
        <v>35.22</v>
      </c>
      <c r="R1016" s="122">
        <v>36.83</v>
      </c>
      <c r="S1016" s="122">
        <v>29.81</v>
      </c>
      <c r="T1016" s="123">
        <v>14894868</v>
      </c>
    </row>
    <row r="1017" spans="6:20" x14ac:dyDescent="0.3">
      <c r="F1017" s="124">
        <v>1011</v>
      </c>
      <c r="G1017" s="33">
        <f t="shared" ca="1" si="28"/>
        <v>-1.4077044502432787E-2</v>
      </c>
      <c r="N1017" s="118" t="s">
        <v>1382</v>
      </c>
      <c r="O1017" s="317" t="s">
        <v>1128</v>
      </c>
      <c r="P1017" s="317"/>
      <c r="Q1017" s="317"/>
      <c r="R1017" s="317"/>
      <c r="S1017" s="317"/>
      <c r="T1017" s="317"/>
    </row>
    <row r="1018" spans="6:20" x14ac:dyDescent="0.3">
      <c r="F1018" s="124">
        <v>1012</v>
      </c>
      <c r="G1018" s="33">
        <f t="shared" ca="1" si="28"/>
        <v>2.8119748407799679E-3</v>
      </c>
      <c r="N1018" s="118" t="s">
        <v>1383</v>
      </c>
      <c r="O1018" s="122">
        <v>36.83</v>
      </c>
      <c r="P1018" s="122">
        <v>39.97</v>
      </c>
      <c r="Q1018" s="122">
        <v>35.44</v>
      </c>
      <c r="R1018" s="122">
        <v>36.4</v>
      </c>
      <c r="S1018" s="122">
        <v>29.46</v>
      </c>
      <c r="T1018" s="123">
        <v>25335306</v>
      </c>
    </row>
    <row r="1019" spans="6:20" x14ac:dyDescent="0.3">
      <c r="F1019" s="124">
        <v>1013</v>
      </c>
      <c r="G1019" s="33">
        <f t="shared" ca="1" si="28"/>
        <v>-5.6856756190798094E-3</v>
      </c>
      <c r="N1019" s="118" t="s">
        <v>1384</v>
      </c>
      <c r="O1019" s="122">
        <v>36</v>
      </c>
      <c r="P1019" s="122">
        <v>37.67</v>
      </c>
      <c r="Q1019" s="122">
        <v>35.75</v>
      </c>
      <c r="R1019" s="122">
        <v>36.94</v>
      </c>
      <c r="S1019" s="122">
        <v>29.89</v>
      </c>
      <c r="T1019" s="123">
        <v>22806048</v>
      </c>
    </row>
    <row r="1020" spans="6:20" x14ac:dyDescent="0.3">
      <c r="F1020" s="124">
        <v>1014</v>
      </c>
      <c r="G1020" s="33">
        <f t="shared" ca="1" si="28"/>
        <v>1.7193769250948416E-2</v>
      </c>
      <c r="N1020" s="118" t="s">
        <v>1385</v>
      </c>
      <c r="O1020" s="122">
        <v>35.17</v>
      </c>
      <c r="P1020" s="122">
        <v>36.200000000000003</v>
      </c>
      <c r="Q1020" s="122">
        <v>34.11</v>
      </c>
      <c r="R1020" s="122">
        <v>35.700000000000003</v>
      </c>
      <c r="S1020" s="122">
        <v>28.89</v>
      </c>
      <c r="T1020" s="123">
        <v>28025610</v>
      </c>
    </row>
    <row r="1021" spans="6:20" x14ac:dyDescent="0.3">
      <c r="F1021" s="124">
        <v>1015</v>
      </c>
      <c r="G1021" s="33">
        <f t="shared" ca="1" si="28"/>
        <v>1.1055387260786875E-2</v>
      </c>
      <c r="N1021" s="118" t="s">
        <v>1386</v>
      </c>
      <c r="O1021" s="122">
        <v>33.6</v>
      </c>
      <c r="P1021" s="122">
        <v>35.35</v>
      </c>
      <c r="Q1021" s="122">
        <v>31.83</v>
      </c>
      <c r="R1021" s="122">
        <v>35.15</v>
      </c>
      <c r="S1021" s="122">
        <v>28.45</v>
      </c>
      <c r="T1021" s="123">
        <v>18521706</v>
      </c>
    </row>
    <row r="1022" spans="6:20" x14ac:dyDescent="0.3">
      <c r="F1022" s="124">
        <v>1016</v>
      </c>
      <c r="G1022" s="33">
        <f t="shared" ca="1" si="28"/>
        <v>-1.6224944655048697E-2</v>
      </c>
      <c r="N1022" s="118" t="s">
        <v>1387</v>
      </c>
      <c r="O1022" s="122">
        <v>31.67</v>
      </c>
      <c r="P1022" s="122">
        <v>33.67</v>
      </c>
      <c r="Q1022" s="122">
        <v>31.52</v>
      </c>
      <c r="R1022" s="122">
        <v>33.450000000000003</v>
      </c>
      <c r="S1022" s="122">
        <v>27.07</v>
      </c>
      <c r="T1022" s="123">
        <v>22501278</v>
      </c>
    </row>
    <row r="1023" spans="6:20" x14ac:dyDescent="0.3">
      <c r="F1023" s="124">
        <v>1017</v>
      </c>
      <c r="G1023" s="33">
        <f t="shared" ca="1" si="28"/>
        <v>1.1246897921874905E-2</v>
      </c>
      <c r="N1023" s="118" t="s">
        <v>1388</v>
      </c>
      <c r="O1023" s="122">
        <v>31.83</v>
      </c>
      <c r="P1023" s="122">
        <v>32.81</v>
      </c>
      <c r="Q1023" s="122">
        <v>30.49</v>
      </c>
      <c r="R1023" s="122">
        <v>31.54</v>
      </c>
      <c r="S1023" s="122">
        <v>25.52</v>
      </c>
      <c r="T1023" s="123">
        <v>19308264</v>
      </c>
    </row>
    <row r="1024" spans="6:20" x14ac:dyDescent="0.3">
      <c r="F1024" s="124">
        <v>1018</v>
      </c>
      <c r="G1024" s="33">
        <f t="shared" ca="1" si="28"/>
        <v>3.0135224214274656E-2</v>
      </c>
      <c r="N1024" s="118" t="s">
        <v>1389</v>
      </c>
      <c r="O1024" s="122">
        <v>29.5</v>
      </c>
      <c r="P1024" s="122">
        <v>32.42</v>
      </c>
      <c r="Q1024" s="122">
        <v>28.67</v>
      </c>
      <c r="R1024" s="122">
        <v>31.58</v>
      </c>
      <c r="S1024" s="122">
        <v>25.56</v>
      </c>
      <c r="T1024" s="123">
        <v>29678844</v>
      </c>
    </row>
    <row r="1025" spans="6:20" x14ac:dyDescent="0.3">
      <c r="F1025" s="124">
        <v>1019</v>
      </c>
      <c r="G1025" s="33">
        <f t="shared" ca="1" si="28"/>
        <v>-1.8843836531291472E-2</v>
      </c>
      <c r="N1025" s="118" t="s">
        <v>1390</v>
      </c>
      <c r="O1025" s="122">
        <v>29.25</v>
      </c>
      <c r="P1025" s="122">
        <v>30.83</v>
      </c>
      <c r="Q1025" s="122">
        <v>28.42</v>
      </c>
      <c r="R1025" s="122">
        <v>29.53</v>
      </c>
      <c r="S1025" s="122">
        <v>23.9</v>
      </c>
      <c r="T1025" s="123">
        <v>21928554</v>
      </c>
    </row>
    <row r="1026" spans="6:20" x14ac:dyDescent="0.3">
      <c r="F1026" s="124">
        <v>1020</v>
      </c>
      <c r="G1026" s="33">
        <f t="shared" ca="1" si="28"/>
        <v>-3.1680803810192129E-2</v>
      </c>
      <c r="N1026" s="118" t="s">
        <v>1391</v>
      </c>
      <c r="O1026" s="122">
        <v>28.96</v>
      </c>
      <c r="P1026" s="122">
        <v>29.3</v>
      </c>
      <c r="Q1026" s="122">
        <v>27.84</v>
      </c>
      <c r="R1026" s="122">
        <v>29.13</v>
      </c>
      <c r="S1026" s="122">
        <v>23.57</v>
      </c>
      <c r="T1026" s="123">
        <v>16131246</v>
      </c>
    </row>
    <row r="1027" spans="6:20" x14ac:dyDescent="0.3">
      <c r="F1027" s="124">
        <v>1021</v>
      </c>
      <c r="G1027" s="33">
        <f t="shared" ca="1" si="28"/>
        <v>-1.8340005185154664E-3</v>
      </c>
      <c r="N1027" s="118" t="s">
        <v>1392</v>
      </c>
      <c r="O1027" s="122">
        <v>27.7</v>
      </c>
      <c r="P1027" s="122">
        <v>29.8</v>
      </c>
      <c r="Q1027" s="122">
        <v>27.33</v>
      </c>
      <c r="R1027" s="122">
        <v>28.88</v>
      </c>
      <c r="S1027" s="122">
        <v>23.37</v>
      </c>
      <c r="T1027" s="123">
        <v>19426326</v>
      </c>
    </row>
    <row r="1028" spans="6:20" x14ac:dyDescent="0.3">
      <c r="F1028" s="124">
        <v>1022</v>
      </c>
      <c r="G1028" s="33">
        <f t="shared" ca="1" si="28"/>
        <v>-2.1442312508133119E-3</v>
      </c>
      <c r="N1028" s="118" t="s">
        <v>1393</v>
      </c>
      <c r="O1028" s="122">
        <v>28.03</v>
      </c>
      <c r="P1028" s="122">
        <v>28.45</v>
      </c>
      <c r="Q1028" s="122">
        <v>27.05</v>
      </c>
      <c r="R1028" s="122">
        <v>27.52</v>
      </c>
      <c r="S1028" s="122">
        <v>22.27</v>
      </c>
      <c r="T1028" s="123">
        <v>12603282</v>
      </c>
    </row>
    <row r="1029" spans="6:20" x14ac:dyDescent="0.3">
      <c r="F1029" s="124">
        <v>1023</v>
      </c>
      <c r="G1029" s="33">
        <f t="shared" ca="1" si="28"/>
        <v>-5.5034781531458164E-3</v>
      </c>
      <c r="N1029" s="118" t="s">
        <v>1394</v>
      </c>
      <c r="O1029" s="122">
        <v>26.6</v>
      </c>
      <c r="P1029" s="122">
        <v>28.92</v>
      </c>
      <c r="Q1029" s="122">
        <v>26.33</v>
      </c>
      <c r="R1029" s="122">
        <v>27.75</v>
      </c>
      <c r="S1029" s="122">
        <v>22.46</v>
      </c>
      <c r="T1029" s="123">
        <v>8537076</v>
      </c>
    </row>
    <row r="1030" spans="6:20" x14ac:dyDescent="0.3">
      <c r="F1030" s="124">
        <v>1024</v>
      </c>
      <c r="G1030" s="33">
        <f t="shared" ca="1" si="28"/>
        <v>-1.2417216733428729E-2</v>
      </c>
      <c r="N1030" s="118" t="s">
        <v>1395</v>
      </c>
      <c r="O1030" s="317" t="s">
        <v>1396</v>
      </c>
      <c r="P1030" s="317"/>
      <c r="Q1030" s="317"/>
      <c r="R1030" s="317"/>
      <c r="S1030" s="317"/>
      <c r="T1030" s="317"/>
    </row>
    <row r="1031" spans="6:20" x14ac:dyDescent="0.3">
      <c r="F1031" s="124">
        <v>1025</v>
      </c>
      <c r="G1031" s="33">
        <f t="shared" ca="1" si="28"/>
        <v>-3.3663852149022153E-3</v>
      </c>
      <c r="N1031" s="118" t="s">
        <v>1397</v>
      </c>
      <c r="O1031" s="122">
        <v>29.33</v>
      </c>
      <c r="P1031" s="122">
        <v>29.74</v>
      </c>
      <c r="Q1031" s="122">
        <v>26.35</v>
      </c>
      <c r="R1031" s="122">
        <v>26.49</v>
      </c>
      <c r="S1031" s="122">
        <v>21.24</v>
      </c>
      <c r="T1031" s="123">
        <v>35698848</v>
      </c>
    </row>
    <row r="1032" spans="6:20" x14ac:dyDescent="0.3">
      <c r="F1032" s="124">
        <v>1026</v>
      </c>
      <c r="G1032" s="33">
        <f t="shared" ref="G1032:G1095" ca="1" si="29">_xlfn.NORM.INV(RAND(),$M$9,$M$10)</f>
        <v>2.1563849776181667E-2</v>
      </c>
      <c r="N1032" s="118" t="s">
        <v>1398</v>
      </c>
      <c r="O1032" s="122">
        <v>27.51</v>
      </c>
      <c r="P1032" s="122">
        <v>31.57</v>
      </c>
      <c r="Q1032" s="122">
        <v>27.08</v>
      </c>
      <c r="R1032" s="122">
        <v>29.04</v>
      </c>
      <c r="S1032" s="122">
        <v>23.29</v>
      </c>
      <c r="T1032" s="123">
        <v>54514590</v>
      </c>
    </row>
    <row r="1033" spans="6:20" x14ac:dyDescent="0.3">
      <c r="F1033" s="124">
        <v>1027</v>
      </c>
      <c r="G1033" s="33">
        <f t="shared" ca="1" si="29"/>
        <v>1.1516561083264175E-2</v>
      </c>
      <c r="N1033" s="118" t="s">
        <v>1399</v>
      </c>
      <c r="O1033" s="122">
        <v>28.23</v>
      </c>
      <c r="P1033" s="122">
        <v>28.5</v>
      </c>
      <c r="Q1033" s="122">
        <v>26.78</v>
      </c>
      <c r="R1033" s="122">
        <v>27.39</v>
      </c>
      <c r="S1033" s="122">
        <v>21.97</v>
      </c>
      <c r="T1033" s="123">
        <v>7275510</v>
      </c>
    </row>
    <row r="1034" spans="6:20" x14ac:dyDescent="0.3">
      <c r="F1034" s="124">
        <v>1028</v>
      </c>
      <c r="G1034" s="33">
        <f t="shared" ca="1" si="29"/>
        <v>-3.0336854551682658E-2</v>
      </c>
      <c r="N1034" s="118" t="s">
        <v>1400</v>
      </c>
      <c r="O1034" s="122">
        <v>28.24</v>
      </c>
      <c r="P1034" s="122">
        <v>29.08</v>
      </c>
      <c r="Q1034" s="122">
        <v>26.88</v>
      </c>
      <c r="R1034" s="122">
        <v>27.96</v>
      </c>
      <c r="S1034" s="122">
        <v>22.42</v>
      </c>
      <c r="T1034" s="123">
        <v>10652202</v>
      </c>
    </row>
    <row r="1035" spans="6:20" x14ac:dyDescent="0.3">
      <c r="F1035" s="124">
        <v>1029</v>
      </c>
      <c r="G1035" s="33">
        <f t="shared" ca="1" si="29"/>
        <v>2.3601401635251597E-3</v>
      </c>
      <c r="N1035" s="118" t="s">
        <v>1401</v>
      </c>
      <c r="O1035" s="122">
        <v>26.66</v>
      </c>
      <c r="P1035" s="122">
        <v>27.72</v>
      </c>
      <c r="Q1035" s="122">
        <v>25.47</v>
      </c>
      <c r="R1035" s="122">
        <v>27.2</v>
      </c>
      <c r="S1035" s="122">
        <v>21.81</v>
      </c>
      <c r="T1035" s="123">
        <v>11226786</v>
      </c>
    </row>
    <row r="1036" spans="6:20" x14ac:dyDescent="0.3">
      <c r="F1036" s="124">
        <v>1030</v>
      </c>
      <c r="G1036" s="33">
        <f t="shared" ca="1" si="29"/>
        <v>6.4866363254037329E-2</v>
      </c>
      <c r="N1036" s="118" t="s">
        <v>1402</v>
      </c>
      <c r="O1036" s="122">
        <v>27.42</v>
      </c>
      <c r="P1036" s="122">
        <v>27.67</v>
      </c>
      <c r="Q1036" s="122">
        <v>24.88</v>
      </c>
      <c r="R1036" s="122">
        <v>25.14</v>
      </c>
      <c r="S1036" s="122">
        <v>20.16</v>
      </c>
      <c r="T1036" s="123">
        <v>8905698</v>
      </c>
    </row>
    <row r="1037" spans="6:20" x14ac:dyDescent="0.3">
      <c r="F1037" s="124">
        <v>1031</v>
      </c>
      <c r="G1037" s="33">
        <f t="shared" ca="1" si="29"/>
        <v>2.9322644474640593E-2</v>
      </c>
      <c r="N1037" s="118" t="s">
        <v>1403</v>
      </c>
      <c r="O1037" s="122">
        <v>26.66</v>
      </c>
      <c r="P1037" s="122">
        <v>28.25</v>
      </c>
      <c r="Q1037" s="122">
        <v>25.83</v>
      </c>
      <c r="R1037" s="122">
        <v>27.71</v>
      </c>
      <c r="S1037" s="122">
        <v>22.22</v>
      </c>
      <c r="T1037" s="123">
        <v>14846982</v>
      </c>
    </row>
    <row r="1038" spans="6:20" x14ac:dyDescent="0.3">
      <c r="F1038" s="124">
        <v>1032</v>
      </c>
      <c r="G1038" s="33">
        <f t="shared" ca="1" si="29"/>
        <v>-7.756221414290324E-3</v>
      </c>
      <c r="N1038" s="118" t="s">
        <v>1404</v>
      </c>
      <c r="O1038" s="122">
        <v>26.14</v>
      </c>
      <c r="P1038" s="122">
        <v>26.58</v>
      </c>
      <c r="Q1038" s="122">
        <v>25.42</v>
      </c>
      <c r="R1038" s="122">
        <v>26.38</v>
      </c>
      <c r="S1038" s="122">
        <v>21.15</v>
      </c>
      <c r="T1038" s="123">
        <v>6818424</v>
      </c>
    </row>
    <row r="1039" spans="6:20" x14ac:dyDescent="0.3">
      <c r="F1039" s="124">
        <v>1033</v>
      </c>
      <c r="G1039" s="33">
        <f t="shared" ca="1" si="29"/>
        <v>1.6294708947610023E-2</v>
      </c>
      <c r="N1039" s="118" t="s">
        <v>1405</v>
      </c>
      <c r="O1039" s="122">
        <v>25.17</v>
      </c>
      <c r="P1039" s="122">
        <v>26.33</v>
      </c>
      <c r="Q1039" s="122">
        <v>23.67</v>
      </c>
      <c r="R1039" s="122">
        <v>25.9</v>
      </c>
      <c r="S1039" s="122">
        <v>20.77</v>
      </c>
      <c r="T1039" s="123">
        <v>9880662</v>
      </c>
    </row>
    <row r="1040" spans="6:20" x14ac:dyDescent="0.3">
      <c r="F1040" s="124">
        <v>1034</v>
      </c>
      <c r="G1040" s="33">
        <f t="shared" ca="1" si="29"/>
        <v>1.7341556920670543E-3</v>
      </c>
      <c r="N1040" s="118" t="s">
        <v>1406</v>
      </c>
      <c r="O1040" s="122">
        <v>25.17</v>
      </c>
      <c r="P1040" s="122">
        <v>25.83</v>
      </c>
      <c r="Q1040" s="122">
        <v>23.36</v>
      </c>
      <c r="R1040" s="122">
        <v>25</v>
      </c>
      <c r="S1040" s="122">
        <v>20.05</v>
      </c>
      <c r="T1040" s="123">
        <v>12657240</v>
      </c>
    </row>
    <row r="1041" spans="6:20" x14ac:dyDescent="0.3">
      <c r="F1041" s="124">
        <v>1035</v>
      </c>
      <c r="G1041" s="33">
        <f t="shared" ca="1" si="29"/>
        <v>-2.5913674418504874E-3</v>
      </c>
      <c r="N1041" s="118" t="s">
        <v>1407</v>
      </c>
      <c r="O1041" s="122">
        <v>26.26</v>
      </c>
      <c r="P1041" s="122">
        <v>26.67</v>
      </c>
      <c r="Q1041" s="122">
        <v>25</v>
      </c>
      <c r="R1041" s="122">
        <v>25.06</v>
      </c>
      <c r="S1041" s="122">
        <v>20.100000000000001</v>
      </c>
      <c r="T1041" s="123">
        <v>12352614</v>
      </c>
    </row>
    <row r="1042" spans="6:20" x14ac:dyDescent="0.3">
      <c r="F1042" s="124">
        <v>1036</v>
      </c>
      <c r="G1042" s="33">
        <f t="shared" ca="1" si="29"/>
        <v>8.4043384806492205E-2</v>
      </c>
      <c r="N1042" s="118" t="s">
        <v>1408</v>
      </c>
      <c r="O1042" s="122">
        <v>25.48</v>
      </c>
      <c r="P1042" s="122">
        <v>26.49</v>
      </c>
      <c r="Q1042" s="122">
        <v>24.21</v>
      </c>
      <c r="R1042" s="122">
        <v>26.26</v>
      </c>
      <c r="S1042" s="122">
        <v>21.06</v>
      </c>
      <c r="T1042" s="123">
        <v>13635396</v>
      </c>
    </row>
    <row r="1043" spans="6:20" x14ac:dyDescent="0.3">
      <c r="F1043" s="124">
        <v>1037</v>
      </c>
      <c r="G1043" s="33">
        <f t="shared" ca="1" si="29"/>
        <v>-2.0596402028916355E-2</v>
      </c>
      <c r="N1043" s="118" t="s">
        <v>1409</v>
      </c>
      <c r="O1043" s="122">
        <v>24.64</v>
      </c>
      <c r="P1043" s="122">
        <v>25.99</v>
      </c>
      <c r="Q1043" s="122">
        <v>23.01</v>
      </c>
      <c r="R1043" s="122">
        <v>25.19</v>
      </c>
      <c r="S1043" s="122">
        <v>20.2</v>
      </c>
      <c r="T1043" s="123">
        <v>16337406</v>
      </c>
    </row>
    <row r="1044" spans="6:20" x14ac:dyDescent="0.3">
      <c r="F1044" s="124">
        <v>1038</v>
      </c>
      <c r="G1044" s="33">
        <f t="shared" ca="1" si="29"/>
        <v>1.497443123528472E-3</v>
      </c>
      <c r="N1044" s="118" t="s">
        <v>1410</v>
      </c>
      <c r="O1044" s="122">
        <v>25.17</v>
      </c>
      <c r="P1044" s="122">
        <v>25.95</v>
      </c>
      <c r="Q1044" s="122">
        <v>24.01</v>
      </c>
      <c r="R1044" s="122">
        <v>24.24</v>
      </c>
      <c r="S1044" s="122">
        <v>19.440000000000001</v>
      </c>
      <c r="T1044" s="123">
        <v>20314242</v>
      </c>
    </row>
    <row r="1045" spans="6:20" x14ac:dyDescent="0.3">
      <c r="F1045" s="124">
        <v>1039</v>
      </c>
      <c r="G1045" s="33">
        <f t="shared" ca="1" si="29"/>
        <v>-3.6847897159003141E-2</v>
      </c>
      <c r="N1045" s="118" t="s">
        <v>1411</v>
      </c>
      <c r="O1045" s="122">
        <v>23.81</v>
      </c>
      <c r="P1045" s="122">
        <v>26.67</v>
      </c>
      <c r="Q1045" s="122">
        <v>22.11</v>
      </c>
      <c r="R1045" s="122">
        <v>25.05</v>
      </c>
      <c r="S1045" s="122">
        <v>20.09</v>
      </c>
      <c r="T1045" s="123">
        <v>23923374</v>
      </c>
    </row>
    <row r="1046" spans="6:20" x14ac:dyDescent="0.3">
      <c r="F1046" s="124">
        <v>1040</v>
      </c>
      <c r="G1046" s="33">
        <f t="shared" ca="1" si="29"/>
        <v>2.5916673175975822E-2</v>
      </c>
      <c r="N1046" s="118" t="s">
        <v>1412</v>
      </c>
      <c r="O1046" s="122">
        <v>22.67</v>
      </c>
      <c r="P1046" s="122">
        <v>27</v>
      </c>
      <c r="Q1046" s="122">
        <v>21.11</v>
      </c>
      <c r="R1046" s="122">
        <v>23.49</v>
      </c>
      <c r="S1046" s="122">
        <v>18.84</v>
      </c>
      <c r="T1046" s="123">
        <v>27366966</v>
      </c>
    </row>
    <row r="1047" spans="6:20" x14ac:dyDescent="0.3">
      <c r="F1047" s="124">
        <v>1041</v>
      </c>
      <c r="G1047" s="33">
        <f t="shared" ca="1" si="29"/>
        <v>-1.6505430522509565E-2</v>
      </c>
      <c r="N1047" s="118" t="s">
        <v>1413</v>
      </c>
      <c r="O1047" s="122">
        <v>22.17</v>
      </c>
      <c r="P1047" s="122">
        <v>23.08</v>
      </c>
      <c r="Q1047" s="122">
        <v>21.75</v>
      </c>
      <c r="R1047" s="122">
        <v>22.63</v>
      </c>
      <c r="S1047" s="122">
        <v>18.14</v>
      </c>
      <c r="T1047" s="123">
        <v>12548280</v>
      </c>
    </row>
    <row r="1048" spans="6:20" x14ac:dyDescent="0.3">
      <c r="F1048" s="124">
        <v>1042</v>
      </c>
      <c r="G1048" s="33">
        <f t="shared" ca="1" si="29"/>
        <v>-4.7879089378054851E-2</v>
      </c>
      <c r="N1048" s="118" t="s">
        <v>1414</v>
      </c>
      <c r="O1048" s="317" t="s">
        <v>1396</v>
      </c>
      <c r="P1048" s="317"/>
      <c r="Q1048" s="317"/>
      <c r="R1048" s="317"/>
      <c r="S1048" s="317"/>
      <c r="T1048" s="317"/>
    </row>
    <row r="1049" spans="6:20" x14ac:dyDescent="0.3">
      <c r="F1049" s="124">
        <v>1043</v>
      </c>
      <c r="G1049" s="33">
        <f t="shared" ca="1" si="29"/>
        <v>2.6457363882545315E-3</v>
      </c>
      <c r="N1049" s="118" t="s">
        <v>1415</v>
      </c>
      <c r="O1049" s="122">
        <v>21.67</v>
      </c>
      <c r="P1049" s="122">
        <v>22.8</v>
      </c>
      <c r="Q1049" s="122">
        <v>21.08</v>
      </c>
      <c r="R1049" s="122">
        <v>22.01</v>
      </c>
      <c r="S1049" s="122">
        <v>17.440000000000001</v>
      </c>
      <c r="T1049" s="123">
        <v>20913858</v>
      </c>
    </row>
    <row r="1050" spans="6:20" x14ac:dyDescent="0.3">
      <c r="F1050" s="124">
        <v>1044</v>
      </c>
      <c r="G1050" s="33">
        <f t="shared" ca="1" si="29"/>
        <v>2.7476837726760617E-2</v>
      </c>
      <c r="N1050" s="118" t="s">
        <v>1416</v>
      </c>
      <c r="O1050" s="122">
        <v>21.73</v>
      </c>
      <c r="P1050" s="122">
        <v>22</v>
      </c>
      <c r="Q1050" s="122">
        <v>20.83</v>
      </c>
      <c r="R1050" s="122">
        <v>21.74</v>
      </c>
      <c r="S1050" s="122">
        <v>17.23</v>
      </c>
      <c r="T1050" s="123">
        <v>5612118</v>
      </c>
    </row>
    <row r="1051" spans="6:20" x14ac:dyDescent="0.3">
      <c r="F1051" s="124">
        <v>1045</v>
      </c>
      <c r="G1051" s="33">
        <f t="shared" ca="1" si="29"/>
        <v>4.959492800500756E-2</v>
      </c>
      <c r="N1051" s="118" t="s">
        <v>1417</v>
      </c>
      <c r="O1051" s="122">
        <v>21.67</v>
      </c>
      <c r="P1051" s="122">
        <v>22.29</v>
      </c>
      <c r="Q1051" s="122">
        <v>21.08</v>
      </c>
      <c r="R1051" s="122">
        <v>21.66</v>
      </c>
      <c r="S1051" s="122">
        <v>17.170000000000002</v>
      </c>
      <c r="T1051" s="123">
        <v>6345108</v>
      </c>
    </row>
    <row r="1052" spans="6:20" x14ac:dyDescent="0.3">
      <c r="F1052" s="124">
        <v>1046</v>
      </c>
      <c r="G1052" s="33">
        <f t="shared" ca="1" si="29"/>
        <v>-2.1366885136095727E-2</v>
      </c>
      <c r="N1052" s="118" t="s">
        <v>1418</v>
      </c>
      <c r="O1052" s="122">
        <v>22.28</v>
      </c>
      <c r="P1052" s="122">
        <v>23.3</v>
      </c>
      <c r="Q1052" s="122">
        <v>20</v>
      </c>
      <c r="R1052" s="122">
        <v>21.49</v>
      </c>
      <c r="S1052" s="122">
        <v>17.03</v>
      </c>
      <c r="T1052" s="123">
        <v>6841212</v>
      </c>
    </row>
    <row r="1053" spans="6:20" x14ac:dyDescent="0.3">
      <c r="F1053" s="124">
        <v>1047</v>
      </c>
      <c r="G1053" s="33">
        <f t="shared" ca="1" si="29"/>
        <v>-4.1146689017359857E-2</v>
      </c>
      <c r="N1053" s="118" t="s">
        <v>1419</v>
      </c>
      <c r="O1053" s="122">
        <v>21.11</v>
      </c>
      <c r="P1053" s="122">
        <v>22.17</v>
      </c>
      <c r="Q1053" s="122">
        <v>20</v>
      </c>
      <c r="R1053" s="122">
        <v>22</v>
      </c>
      <c r="S1053" s="122">
        <v>17.440000000000001</v>
      </c>
      <c r="T1053" s="123">
        <v>4701036</v>
      </c>
    </row>
    <row r="1054" spans="6:20" x14ac:dyDescent="0.3">
      <c r="F1054" s="124">
        <v>1048</v>
      </c>
      <c r="G1054" s="33">
        <f t="shared" ca="1" si="29"/>
        <v>-4.4369973873062483E-2</v>
      </c>
      <c r="N1054" s="118" t="s">
        <v>1420</v>
      </c>
      <c r="O1054" s="122">
        <v>20.329999999999998</v>
      </c>
      <c r="P1054" s="122">
        <v>21.83</v>
      </c>
      <c r="Q1054" s="122">
        <v>20.010000000000002</v>
      </c>
      <c r="R1054" s="122">
        <v>21.07</v>
      </c>
      <c r="S1054" s="122">
        <v>16.7</v>
      </c>
      <c r="T1054" s="123">
        <v>6314574</v>
      </c>
    </row>
    <row r="1055" spans="6:20" x14ac:dyDescent="0.3">
      <c r="F1055" s="124">
        <v>1049</v>
      </c>
      <c r="G1055" s="33">
        <f t="shared" ca="1" si="29"/>
        <v>2.3276786963417086E-2</v>
      </c>
      <c r="N1055" s="118" t="s">
        <v>1421</v>
      </c>
      <c r="O1055" s="122">
        <v>20.99</v>
      </c>
      <c r="P1055" s="122">
        <v>20.99</v>
      </c>
      <c r="Q1055" s="122">
        <v>19.829999999999998</v>
      </c>
      <c r="R1055" s="122">
        <v>20.63</v>
      </c>
      <c r="S1055" s="122">
        <v>16.350000000000001</v>
      </c>
      <c r="T1055" s="123">
        <v>2746728</v>
      </c>
    </row>
    <row r="1056" spans="6:20" x14ac:dyDescent="0.3">
      <c r="F1056" s="124">
        <v>1050</v>
      </c>
      <c r="G1056" s="33">
        <f t="shared" ca="1" si="29"/>
        <v>2.7360680110541432E-2</v>
      </c>
      <c r="N1056" s="118" t="s">
        <v>1422</v>
      </c>
      <c r="O1056" s="122">
        <v>21.42</v>
      </c>
      <c r="P1056" s="122">
        <v>21.42</v>
      </c>
      <c r="Q1056" s="122">
        <v>20.329999999999998</v>
      </c>
      <c r="R1056" s="122">
        <v>20.83</v>
      </c>
      <c r="S1056" s="122">
        <v>16.510000000000002</v>
      </c>
      <c r="T1056" s="123">
        <v>5628330</v>
      </c>
    </row>
    <row r="1057" spans="6:20" x14ac:dyDescent="0.3">
      <c r="F1057" s="124">
        <v>1051</v>
      </c>
      <c r="G1057" s="33">
        <f t="shared" ca="1" si="29"/>
        <v>7.2288885797527876E-3</v>
      </c>
      <c r="N1057" s="118" t="s">
        <v>1423</v>
      </c>
      <c r="O1057" s="122">
        <v>19.39</v>
      </c>
      <c r="P1057" s="122">
        <v>20.75</v>
      </c>
      <c r="Q1057" s="122">
        <v>19.39</v>
      </c>
      <c r="R1057" s="122">
        <v>20.53</v>
      </c>
      <c r="S1057" s="122">
        <v>16.28</v>
      </c>
      <c r="T1057" s="123">
        <v>17166876</v>
      </c>
    </row>
    <row r="1058" spans="6:20" x14ac:dyDescent="0.3">
      <c r="F1058" s="124">
        <v>1052</v>
      </c>
      <c r="G1058" s="33">
        <f t="shared" ca="1" si="29"/>
        <v>4.4871717572345822E-3</v>
      </c>
      <c r="N1058" s="118" t="s">
        <v>1424</v>
      </c>
      <c r="O1058" s="122">
        <v>19.11</v>
      </c>
      <c r="P1058" s="122">
        <v>20.100000000000001</v>
      </c>
      <c r="Q1058" s="122">
        <v>18.52</v>
      </c>
      <c r="R1058" s="122">
        <v>19.38</v>
      </c>
      <c r="S1058" s="122">
        <v>15.36</v>
      </c>
      <c r="T1058" s="123">
        <v>11201886</v>
      </c>
    </row>
    <row r="1059" spans="6:20" x14ac:dyDescent="0.3">
      <c r="F1059" s="124">
        <v>1053</v>
      </c>
      <c r="G1059" s="33">
        <f t="shared" ca="1" si="29"/>
        <v>4.5276349373534239E-2</v>
      </c>
      <c r="N1059" s="118" t="s">
        <v>1425</v>
      </c>
      <c r="O1059" s="122">
        <v>18.86</v>
      </c>
      <c r="P1059" s="122">
        <v>20.079999999999998</v>
      </c>
      <c r="Q1059" s="122">
        <v>18.670000000000002</v>
      </c>
      <c r="R1059" s="122">
        <v>18.95</v>
      </c>
      <c r="S1059" s="122">
        <v>15.02</v>
      </c>
      <c r="T1059" s="123">
        <v>4678206</v>
      </c>
    </row>
    <row r="1060" spans="6:20" x14ac:dyDescent="0.3">
      <c r="F1060" s="124">
        <v>1054</v>
      </c>
      <c r="G1060" s="33">
        <f t="shared" ca="1" si="29"/>
        <v>2.6939453507959288E-2</v>
      </c>
      <c r="N1060" s="118" t="s">
        <v>1426</v>
      </c>
      <c r="O1060" s="122">
        <v>18.670000000000002</v>
      </c>
      <c r="P1060" s="122">
        <v>20.16</v>
      </c>
      <c r="Q1060" s="122">
        <v>18.489999999999998</v>
      </c>
      <c r="R1060" s="122">
        <v>19.05</v>
      </c>
      <c r="S1060" s="122">
        <v>15.1</v>
      </c>
      <c r="T1060" s="123">
        <v>6203160</v>
      </c>
    </row>
    <row r="1061" spans="6:20" x14ac:dyDescent="0.3">
      <c r="F1061" s="124">
        <v>1055</v>
      </c>
      <c r="G1061" s="33">
        <f t="shared" ca="1" si="29"/>
        <v>2.5903348347627028E-2</v>
      </c>
      <c r="N1061" s="118" t="s">
        <v>1427</v>
      </c>
      <c r="O1061" s="122">
        <v>18.829999999999998</v>
      </c>
      <c r="P1061" s="122">
        <v>19.329999999999998</v>
      </c>
      <c r="Q1061" s="122">
        <v>18.170000000000002</v>
      </c>
      <c r="R1061" s="122">
        <v>18.66</v>
      </c>
      <c r="S1061" s="122">
        <v>14.79</v>
      </c>
      <c r="T1061" s="123">
        <v>13342902</v>
      </c>
    </row>
    <row r="1062" spans="6:20" x14ac:dyDescent="0.3">
      <c r="F1062" s="124">
        <v>1056</v>
      </c>
      <c r="G1062" s="33">
        <f t="shared" ca="1" si="29"/>
        <v>-2.4759940954945256E-2</v>
      </c>
      <c r="N1062" s="118" t="s">
        <v>1428</v>
      </c>
      <c r="O1062" s="122">
        <v>18.329999999999998</v>
      </c>
      <c r="P1062" s="122">
        <v>18.940000000000001</v>
      </c>
      <c r="Q1062" s="122">
        <v>17.510000000000002</v>
      </c>
      <c r="R1062" s="122">
        <v>18.38</v>
      </c>
      <c r="S1062" s="122">
        <v>14.56</v>
      </c>
      <c r="T1062" s="123">
        <v>11694306</v>
      </c>
    </row>
    <row r="1063" spans="6:20" x14ac:dyDescent="0.3">
      <c r="F1063" s="124">
        <v>1057</v>
      </c>
      <c r="G1063" s="33">
        <f t="shared" ca="1" si="29"/>
        <v>2.4732252305436631E-2</v>
      </c>
      <c r="N1063" s="118" t="s">
        <v>1429</v>
      </c>
      <c r="O1063" s="122">
        <v>20.170000000000002</v>
      </c>
      <c r="P1063" s="122">
        <v>20.170000000000002</v>
      </c>
      <c r="Q1063" s="122">
        <v>18.010000000000002</v>
      </c>
      <c r="R1063" s="122">
        <v>18.34</v>
      </c>
      <c r="S1063" s="122">
        <v>14.54</v>
      </c>
      <c r="T1063" s="123">
        <v>4991862</v>
      </c>
    </row>
    <row r="1064" spans="6:20" x14ac:dyDescent="0.3">
      <c r="F1064" s="124">
        <v>1058</v>
      </c>
      <c r="G1064" s="33">
        <f t="shared" ca="1" si="29"/>
        <v>-1.8537720986818083E-2</v>
      </c>
      <c r="N1064" s="118" t="s">
        <v>1430</v>
      </c>
      <c r="O1064" s="122">
        <v>20.11</v>
      </c>
      <c r="P1064" s="122">
        <v>20.6</v>
      </c>
      <c r="Q1064" s="122">
        <v>19.260000000000002</v>
      </c>
      <c r="R1064" s="122">
        <v>19.829999999999998</v>
      </c>
      <c r="S1064" s="122">
        <v>15.72</v>
      </c>
      <c r="T1064" s="123">
        <v>7472376</v>
      </c>
    </row>
    <row r="1065" spans="6:20" x14ac:dyDescent="0.3">
      <c r="F1065" s="124">
        <v>1059</v>
      </c>
      <c r="G1065" s="33">
        <f t="shared" ca="1" si="29"/>
        <v>2.8249130528857996E-2</v>
      </c>
      <c r="N1065" s="118" t="s">
        <v>1431</v>
      </c>
      <c r="O1065" s="122">
        <v>24.17</v>
      </c>
      <c r="P1065" s="122">
        <v>24.17</v>
      </c>
      <c r="Q1065" s="122">
        <v>19.170000000000002</v>
      </c>
      <c r="R1065" s="122">
        <v>19.93</v>
      </c>
      <c r="S1065" s="122">
        <v>15.8</v>
      </c>
      <c r="T1065" s="123">
        <v>15799812</v>
      </c>
    </row>
    <row r="1066" spans="6:20" x14ac:dyDescent="0.3">
      <c r="F1066" s="124">
        <v>1060</v>
      </c>
      <c r="G1066" s="33">
        <f t="shared" ca="1" si="29"/>
        <v>6.8101051119621838E-3</v>
      </c>
      <c r="N1066" s="118" t="s">
        <v>1432</v>
      </c>
      <c r="O1066" s="122">
        <v>19.600000000000001</v>
      </c>
      <c r="P1066" s="122">
        <v>20.83</v>
      </c>
      <c r="Q1066" s="122">
        <v>18.75</v>
      </c>
      <c r="R1066" s="122">
        <v>20.309999999999999</v>
      </c>
      <c r="S1066" s="122">
        <v>16.100000000000001</v>
      </c>
      <c r="T1066" s="123">
        <v>9973356</v>
      </c>
    </row>
    <row r="1067" spans="6:20" x14ac:dyDescent="0.3">
      <c r="F1067" s="124">
        <v>1061</v>
      </c>
      <c r="G1067" s="33">
        <f t="shared" ca="1" si="29"/>
        <v>1.1906217863186061E-2</v>
      </c>
      <c r="N1067" s="118" t="s">
        <v>1433</v>
      </c>
      <c r="O1067" s="122">
        <v>17.82</v>
      </c>
      <c r="P1067" s="122">
        <v>19.579999999999998</v>
      </c>
      <c r="Q1067" s="122">
        <v>17.329999999999998</v>
      </c>
      <c r="R1067" s="122">
        <v>19.39</v>
      </c>
      <c r="S1067" s="122">
        <v>15.36</v>
      </c>
      <c r="T1067" s="123">
        <v>15449010</v>
      </c>
    </row>
    <row r="1068" spans="6:20" x14ac:dyDescent="0.3">
      <c r="F1068" s="124">
        <v>1062</v>
      </c>
      <c r="G1068" s="33">
        <f t="shared" ca="1" si="29"/>
        <v>2.0640487098180341E-2</v>
      </c>
      <c r="N1068" s="118" t="s">
        <v>1434</v>
      </c>
      <c r="O1068" s="122">
        <v>17.670000000000002</v>
      </c>
      <c r="P1068" s="122">
        <v>18.32</v>
      </c>
      <c r="Q1068" s="122">
        <v>17.100000000000001</v>
      </c>
      <c r="R1068" s="122">
        <v>17.63</v>
      </c>
      <c r="S1068" s="122">
        <v>13.97</v>
      </c>
      <c r="T1068" s="123">
        <v>13479684</v>
      </c>
    </row>
    <row r="1069" spans="6:20" x14ac:dyDescent="0.3">
      <c r="F1069" s="124">
        <v>1063</v>
      </c>
      <c r="G1069" s="33">
        <f t="shared" ca="1" si="29"/>
        <v>-1.6994945803218284E-2</v>
      </c>
      <c r="N1069" s="118" t="s">
        <v>1435</v>
      </c>
      <c r="O1069" s="122">
        <v>17.45</v>
      </c>
      <c r="P1069" s="122">
        <v>18.14</v>
      </c>
      <c r="Q1069" s="122">
        <v>16.829999999999998</v>
      </c>
      <c r="R1069" s="122">
        <v>17.420000000000002</v>
      </c>
      <c r="S1069" s="122">
        <v>13.81</v>
      </c>
      <c r="T1069" s="123">
        <v>13491942</v>
      </c>
    </row>
    <row r="1070" spans="6:20" x14ac:dyDescent="0.3">
      <c r="F1070" s="124">
        <v>1064</v>
      </c>
      <c r="G1070" s="33">
        <f t="shared" ca="1" si="29"/>
        <v>-4.904725696739979E-2</v>
      </c>
      <c r="N1070" s="118" t="s">
        <v>1436</v>
      </c>
      <c r="O1070" s="122">
        <v>16.420000000000002</v>
      </c>
      <c r="P1070" s="122">
        <v>18.079999999999998</v>
      </c>
      <c r="Q1070" s="122">
        <v>16.010000000000002</v>
      </c>
      <c r="R1070" s="122">
        <v>16.989999999999998</v>
      </c>
      <c r="S1070" s="122">
        <v>13.46</v>
      </c>
      <c r="T1070" s="123">
        <v>24441048</v>
      </c>
    </row>
    <row r="1071" spans="6:20" x14ac:dyDescent="0.3">
      <c r="F1071" s="124">
        <v>1065</v>
      </c>
      <c r="G1071" s="33">
        <f t="shared" ca="1" si="29"/>
        <v>7.1318696575078363E-3</v>
      </c>
      <c r="N1071" s="118" t="s">
        <v>1437</v>
      </c>
      <c r="O1071" s="122">
        <v>14.71</v>
      </c>
      <c r="P1071" s="122">
        <v>17.88</v>
      </c>
      <c r="Q1071" s="122">
        <v>14.59</v>
      </c>
      <c r="R1071" s="122">
        <v>16.29</v>
      </c>
      <c r="S1071" s="122">
        <v>12.91</v>
      </c>
      <c r="T1071" s="123">
        <v>32610276</v>
      </c>
    </row>
    <row r="1072" spans="6:20" x14ac:dyDescent="0.3">
      <c r="F1072" s="124">
        <v>1066</v>
      </c>
      <c r="G1072" s="33">
        <f t="shared" ca="1" si="29"/>
        <v>-7.2400373547119035E-2</v>
      </c>
      <c r="N1072" s="118" t="s">
        <v>1438</v>
      </c>
      <c r="O1072" s="122">
        <v>14.91</v>
      </c>
      <c r="P1072" s="122">
        <v>15</v>
      </c>
      <c r="Q1072" s="122">
        <v>13.52</v>
      </c>
      <c r="R1072" s="122">
        <v>14.71</v>
      </c>
      <c r="S1072" s="122">
        <v>11.66</v>
      </c>
      <c r="T1072" s="123">
        <v>11209284</v>
      </c>
    </row>
    <row r="1073" spans="6:20" x14ac:dyDescent="0.3">
      <c r="F1073" s="124">
        <v>1067</v>
      </c>
      <c r="G1073" s="33">
        <f t="shared" ca="1" si="29"/>
        <v>1.280422852559316E-2</v>
      </c>
      <c r="N1073" s="118" t="s">
        <v>1439</v>
      </c>
      <c r="O1073" s="122">
        <v>15.14</v>
      </c>
      <c r="P1073" s="122">
        <v>15.41</v>
      </c>
      <c r="Q1073" s="122">
        <v>14.34</v>
      </c>
      <c r="R1073" s="122">
        <v>14.71</v>
      </c>
      <c r="S1073" s="122">
        <v>11.66</v>
      </c>
      <c r="T1073" s="123">
        <v>8181132</v>
      </c>
    </row>
    <row r="1074" spans="6:20" x14ac:dyDescent="0.3">
      <c r="F1074" s="124">
        <v>1068</v>
      </c>
      <c r="G1074" s="33">
        <f t="shared" ca="1" si="29"/>
        <v>1.1158257765199558E-2</v>
      </c>
      <c r="N1074" s="118" t="s">
        <v>1440</v>
      </c>
      <c r="O1074" s="122">
        <v>15.8</v>
      </c>
      <c r="P1074" s="122">
        <v>15.82</v>
      </c>
      <c r="Q1074" s="122">
        <v>14</v>
      </c>
      <c r="R1074" s="122">
        <v>14.96</v>
      </c>
      <c r="S1074" s="122">
        <v>11.86</v>
      </c>
      <c r="T1074" s="123">
        <v>13381362</v>
      </c>
    </row>
    <row r="1075" spans="6:20" x14ac:dyDescent="0.3">
      <c r="F1075" s="124">
        <v>1069</v>
      </c>
      <c r="G1075" s="33">
        <f t="shared" ca="1" si="29"/>
        <v>5.0995895265777448E-2</v>
      </c>
      <c r="N1075" s="118" t="s">
        <v>1441</v>
      </c>
      <c r="O1075" s="122">
        <v>14.21</v>
      </c>
      <c r="P1075" s="122">
        <v>16</v>
      </c>
      <c r="Q1075" s="122">
        <v>14</v>
      </c>
      <c r="R1075" s="122">
        <v>15.6</v>
      </c>
      <c r="S1075" s="122">
        <v>12.36</v>
      </c>
      <c r="T1075" s="123">
        <v>24413616</v>
      </c>
    </row>
    <row r="1076" spans="6:20" x14ac:dyDescent="0.3">
      <c r="F1076" s="124">
        <v>1070</v>
      </c>
      <c r="G1076" s="33">
        <f t="shared" ca="1" si="29"/>
        <v>7.7574313226016116E-3</v>
      </c>
      <c r="N1076" s="118" t="s">
        <v>1442</v>
      </c>
      <c r="O1076" s="122">
        <v>14.09</v>
      </c>
      <c r="P1076" s="122">
        <v>14.41</v>
      </c>
      <c r="Q1076" s="122">
        <v>13.96</v>
      </c>
      <c r="R1076" s="122">
        <v>14.18</v>
      </c>
      <c r="S1076" s="122">
        <v>11.23</v>
      </c>
      <c r="T1076" s="123">
        <v>6904038</v>
      </c>
    </row>
    <row r="1077" spans="6:20" x14ac:dyDescent="0.3">
      <c r="F1077" s="124">
        <v>1071</v>
      </c>
      <c r="G1077" s="33">
        <f t="shared" ca="1" si="29"/>
        <v>-6.428878851812282E-4</v>
      </c>
      <c r="N1077" s="118" t="s">
        <v>1443</v>
      </c>
      <c r="O1077" s="122">
        <v>13.7</v>
      </c>
      <c r="P1077" s="122">
        <v>14.41</v>
      </c>
      <c r="Q1077" s="122">
        <v>13.7</v>
      </c>
      <c r="R1077" s="122">
        <v>14.02</v>
      </c>
      <c r="S1077" s="122">
        <v>11.12</v>
      </c>
      <c r="T1077" s="123">
        <v>8690898</v>
      </c>
    </row>
    <row r="1078" spans="6:20" x14ac:dyDescent="0.3">
      <c r="F1078" s="124">
        <v>1072</v>
      </c>
      <c r="G1078" s="33">
        <f t="shared" ca="1" si="29"/>
        <v>2.4877691763129151E-2</v>
      </c>
      <c r="N1078" s="118" t="s">
        <v>1444</v>
      </c>
      <c r="O1078" s="122">
        <v>14.86</v>
      </c>
      <c r="P1078" s="122">
        <v>14.91</v>
      </c>
      <c r="Q1078" s="122">
        <v>13.79</v>
      </c>
      <c r="R1078" s="122">
        <v>14.31</v>
      </c>
      <c r="S1078" s="122">
        <v>11.35</v>
      </c>
      <c r="T1078" s="123">
        <v>9640674</v>
      </c>
    </row>
    <row r="1079" spans="6:20" x14ac:dyDescent="0.3">
      <c r="F1079" s="124">
        <v>1073</v>
      </c>
      <c r="G1079" s="33">
        <f t="shared" ca="1" si="29"/>
        <v>1.4001011312897667E-2</v>
      </c>
      <c r="N1079" s="118" t="s">
        <v>1445</v>
      </c>
      <c r="O1079" s="122">
        <v>15</v>
      </c>
      <c r="P1079" s="122">
        <v>15.66</v>
      </c>
      <c r="Q1079" s="122">
        <v>14.34</v>
      </c>
      <c r="R1079" s="122">
        <v>14.7</v>
      </c>
      <c r="S1079" s="122">
        <v>11.65</v>
      </c>
      <c r="T1079" s="123">
        <v>14694084</v>
      </c>
    </row>
    <row r="1080" spans="6:20" x14ac:dyDescent="0.3">
      <c r="F1080" s="124">
        <v>1074</v>
      </c>
      <c r="G1080" s="33">
        <f t="shared" ca="1" si="29"/>
        <v>6.6809902197485338E-2</v>
      </c>
      <c r="N1080" s="118" t="s">
        <v>1446</v>
      </c>
      <c r="O1080" s="122">
        <v>13.98</v>
      </c>
      <c r="P1080" s="122">
        <v>15.16</v>
      </c>
      <c r="Q1080" s="122">
        <v>13.36</v>
      </c>
      <c r="R1080" s="122">
        <v>14.84</v>
      </c>
      <c r="S1080" s="122">
        <v>11.76</v>
      </c>
      <c r="T1080" s="123">
        <v>9162330</v>
      </c>
    </row>
    <row r="1081" spans="6:20" x14ac:dyDescent="0.3">
      <c r="F1081" s="124">
        <v>1075</v>
      </c>
      <c r="G1081" s="33">
        <f t="shared" ca="1" si="29"/>
        <v>-5.5564316495504897E-2</v>
      </c>
      <c r="N1081" s="118" t="s">
        <v>1447</v>
      </c>
      <c r="O1081" s="122">
        <v>14.59</v>
      </c>
      <c r="P1081" s="122">
        <v>14.77</v>
      </c>
      <c r="Q1081" s="122">
        <v>13.68</v>
      </c>
      <c r="R1081" s="122">
        <v>13.79</v>
      </c>
      <c r="S1081" s="122">
        <v>10.93</v>
      </c>
      <c r="T1081" s="123">
        <v>4083402</v>
      </c>
    </row>
    <row r="1082" spans="6:20" x14ac:dyDescent="0.3">
      <c r="F1082" s="124">
        <v>1076</v>
      </c>
      <c r="G1082" s="33">
        <f t="shared" ca="1" si="29"/>
        <v>1.9382948558792034E-2</v>
      </c>
      <c r="N1082" s="118" t="s">
        <v>1448</v>
      </c>
      <c r="O1082" s="122">
        <v>15.14</v>
      </c>
      <c r="P1082" s="122">
        <v>15.14</v>
      </c>
      <c r="Q1082" s="122">
        <v>13.94</v>
      </c>
      <c r="R1082" s="122">
        <v>14.59</v>
      </c>
      <c r="S1082" s="122">
        <v>11.56</v>
      </c>
      <c r="T1082" s="123">
        <v>6716490</v>
      </c>
    </row>
    <row r="1083" spans="6:20" x14ac:dyDescent="0.3">
      <c r="F1083" s="124">
        <v>1077</v>
      </c>
      <c r="G1083" s="33">
        <f t="shared" ca="1" si="29"/>
        <v>-3.0716832161723936E-2</v>
      </c>
      <c r="N1083" s="118" t="s">
        <v>1449</v>
      </c>
      <c r="O1083" s="317" t="s">
        <v>1450</v>
      </c>
      <c r="P1083" s="317"/>
      <c r="Q1083" s="317"/>
      <c r="R1083" s="317"/>
      <c r="S1083" s="317"/>
      <c r="T1083" s="317"/>
    </row>
    <row r="1084" spans="6:20" x14ac:dyDescent="0.3">
      <c r="F1084" s="124">
        <v>1078</v>
      </c>
      <c r="G1084" s="33">
        <f t="shared" ca="1" si="29"/>
        <v>-7.055975317785945E-3</v>
      </c>
      <c r="N1084" s="118" t="s">
        <v>1451</v>
      </c>
      <c r="O1084" s="122">
        <v>13.5</v>
      </c>
      <c r="P1084" s="122">
        <v>15.53</v>
      </c>
      <c r="Q1084" s="122">
        <v>12.14</v>
      </c>
      <c r="R1084" s="122">
        <v>15.11</v>
      </c>
      <c r="S1084" s="122">
        <v>11.83</v>
      </c>
      <c r="T1084" s="123">
        <v>27779316</v>
      </c>
    </row>
    <row r="1085" spans="6:20" x14ac:dyDescent="0.3">
      <c r="F1085" s="124">
        <v>1079</v>
      </c>
      <c r="G1085" s="33">
        <f t="shared" ca="1" si="29"/>
        <v>-5.922584731695376E-3</v>
      </c>
      <c r="N1085" s="118" t="s">
        <v>1452</v>
      </c>
      <c r="O1085" s="122">
        <v>11.84</v>
      </c>
      <c r="P1085" s="122">
        <v>13.57</v>
      </c>
      <c r="Q1085" s="122">
        <v>11.84</v>
      </c>
      <c r="R1085" s="122">
        <v>13.44</v>
      </c>
      <c r="S1085" s="122">
        <v>10.52</v>
      </c>
      <c r="T1085" s="123">
        <v>16461360</v>
      </c>
    </row>
    <row r="1086" spans="6:20" x14ac:dyDescent="0.3">
      <c r="F1086" s="124">
        <v>1080</v>
      </c>
      <c r="G1086" s="33">
        <f t="shared" ca="1" si="29"/>
        <v>-1.6094464041050034E-4</v>
      </c>
      <c r="N1086" s="118" t="s">
        <v>1453</v>
      </c>
      <c r="O1086" s="122">
        <v>12.14</v>
      </c>
      <c r="P1086" s="122">
        <v>12.69</v>
      </c>
      <c r="Q1086" s="122">
        <v>11.98</v>
      </c>
      <c r="R1086" s="122">
        <v>12.25</v>
      </c>
      <c r="S1086" s="122">
        <v>9.59</v>
      </c>
      <c r="T1086" s="123">
        <v>5133012</v>
      </c>
    </row>
    <row r="1087" spans="6:20" x14ac:dyDescent="0.3">
      <c r="F1087" s="124">
        <v>1081</v>
      </c>
      <c r="G1087" s="33">
        <f t="shared" ca="1" si="29"/>
        <v>-3.7177205362670614E-2</v>
      </c>
      <c r="N1087" s="118" t="s">
        <v>1454</v>
      </c>
      <c r="O1087" s="122">
        <v>12.59</v>
      </c>
      <c r="P1087" s="122">
        <v>12.63</v>
      </c>
      <c r="Q1087" s="122">
        <v>11.85</v>
      </c>
      <c r="R1087" s="122">
        <v>11.96</v>
      </c>
      <c r="S1087" s="122">
        <v>9.36</v>
      </c>
      <c r="T1087" s="123">
        <v>2528538</v>
      </c>
    </row>
    <row r="1088" spans="6:20" x14ac:dyDescent="0.3">
      <c r="F1088" s="124">
        <v>1082</v>
      </c>
      <c r="G1088" s="33">
        <f t="shared" ca="1" si="29"/>
        <v>-1.9544339064850265E-2</v>
      </c>
      <c r="N1088" s="118" t="s">
        <v>1455</v>
      </c>
      <c r="O1088" s="122">
        <v>12.21</v>
      </c>
      <c r="P1088" s="122">
        <v>12.75</v>
      </c>
      <c r="Q1088" s="122">
        <v>12.16</v>
      </c>
      <c r="R1088" s="122">
        <v>12.44</v>
      </c>
      <c r="S1088" s="122">
        <v>9.74</v>
      </c>
      <c r="T1088" s="123">
        <v>7378566</v>
      </c>
    </row>
    <row r="1089" spans="6:20" x14ac:dyDescent="0.3">
      <c r="F1089" s="124">
        <v>1083</v>
      </c>
      <c r="G1089" s="33">
        <f t="shared" ca="1" si="29"/>
        <v>3.8790046105999093E-2</v>
      </c>
      <c r="N1089" s="118" t="s">
        <v>1456</v>
      </c>
      <c r="O1089" s="122">
        <v>12.48</v>
      </c>
      <c r="P1089" s="122">
        <v>12.64</v>
      </c>
      <c r="Q1089" s="122">
        <v>11.75</v>
      </c>
      <c r="R1089" s="122">
        <v>12.03</v>
      </c>
      <c r="S1089" s="122">
        <v>9.42</v>
      </c>
      <c r="T1089" s="123">
        <v>6606246</v>
      </c>
    </row>
    <row r="1090" spans="6:20" x14ac:dyDescent="0.3">
      <c r="F1090" s="124">
        <v>1084</v>
      </c>
      <c r="G1090" s="33">
        <f t="shared" ca="1" si="29"/>
        <v>1.6880945255093691E-2</v>
      </c>
      <c r="N1090" s="118" t="s">
        <v>1457</v>
      </c>
      <c r="O1090" s="122">
        <v>12.31</v>
      </c>
      <c r="P1090" s="122">
        <v>12.56</v>
      </c>
      <c r="Q1090" s="122">
        <v>12.14</v>
      </c>
      <c r="R1090" s="122">
        <v>12.26</v>
      </c>
      <c r="S1090" s="122">
        <v>9.6</v>
      </c>
      <c r="T1090" s="123">
        <v>7997784</v>
      </c>
    </row>
    <row r="1091" spans="6:20" x14ac:dyDescent="0.3">
      <c r="F1091" s="124">
        <v>1085</v>
      </c>
      <c r="G1091" s="33">
        <f t="shared" ca="1" si="29"/>
        <v>6.4611082192495145E-3</v>
      </c>
      <c r="N1091" s="118" t="s">
        <v>1458</v>
      </c>
      <c r="O1091" s="122">
        <v>12.31</v>
      </c>
      <c r="P1091" s="122">
        <v>12.39</v>
      </c>
      <c r="Q1091" s="122">
        <v>11.86</v>
      </c>
      <c r="R1091" s="122">
        <v>12.19</v>
      </c>
      <c r="S1091" s="122">
        <v>9.5399999999999991</v>
      </c>
      <c r="T1091" s="123">
        <v>11916348</v>
      </c>
    </row>
    <row r="1092" spans="6:20" x14ac:dyDescent="0.3">
      <c r="F1092" s="124">
        <v>1086</v>
      </c>
      <c r="G1092" s="33">
        <f t="shared" ca="1" si="29"/>
        <v>3.1625200846486734E-2</v>
      </c>
      <c r="N1092" s="118" t="s">
        <v>1459</v>
      </c>
      <c r="O1092" s="122">
        <v>11.57</v>
      </c>
      <c r="P1092" s="122">
        <v>12.3</v>
      </c>
      <c r="Q1092" s="122">
        <v>11.41</v>
      </c>
      <c r="R1092" s="122">
        <v>12.21</v>
      </c>
      <c r="S1092" s="122">
        <v>9.56</v>
      </c>
      <c r="T1092" s="123">
        <v>14129670</v>
      </c>
    </row>
    <row r="1093" spans="6:20" x14ac:dyDescent="0.3">
      <c r="F1093" s="124">
        <v>1087</v>
      </c>
      <c r="G1093" s="33">
        <f t="shared" ca="1" si="29"/>
        <v>-8.7135560275678862E-3</v>
      </c>
      <c r="N1093" s="118" t="s">
        <v>1460</v>
      </c>
      <c r="O1093" s="122">
        <v>11.41</v>
      </c>
      <c r="P1093" s="122">
        <v>11.88</v>
      </c>
      <c r="Q1093" s="122">
        <v>11.31</v>
      </c>
      <c r="R1093" s="122">
        <v>11.41</v>
      </c>
      <c r="S1093" s="122">
        <v>8.94</v>
      </c>
      <c r="T1093" s="123">
        <v>6511578</v>
      </c>
    </row>
    <row r="1094" spans="6:20" x14ac:dyDescent="0.3">
      <c r="F1094" s="124">
        <v>1088</v>
      </c>
      <c r="G1094" s="33">
        <f t="shared" ca="1" si="29"/>
        <v>1.1682239411634741E-2</v>
      </c>
      <c r="N1094" s="118" t="s">
        <v>1461</v>
      </c>
      <c r="O1094" s="122">
        <v>11.44</v>
      </c>
      <c r="P1094" s="122">
        <v>11.77</v>
      </c>
      <c r="Q1094" s="122">
        <v>11.04</v>
      </c>
      <c r="R1094" s="122">
        <v>11.34</v>
      </c>
      <c r="S1094" s="122">
        <v>8.8800000000000008</v>
      </c>
      <c r="T1094" s="123">
        <v>6427608</v>
      </c>
    </row>
    <row r="1095" spans="6:20" x14ac:dyDescent="0.3">
      <c r="F1095" s="124">
        <v>1089</v>
      </c>
      <c r="G1095" s="33">
        <f t="shared" ca="1" si="29"/>
        <v>-1.724677356167291E-2</v>
      </c>
      <c r="N1095" s="118" t="s">
        <v>1462</v>
      </c>
      <c r="O1095" s="122">
        <v>11.01</v>
      </c>
      <c r="P1095" s="122">
        <v>11.61</v>
      </c>
      <c r="Q1095" s="122">
        <v>10.99</v>
      </c>
      <c r="R1095" s="122">
        <v>11.36</v>
      </c>
      <c r="S1095" s="122">
        <v>8.89</v>
      </c>
      <c r="T1095" s="123">
        <v>5595972</v>
      </c>
    </row>
    <row r="1096" spans="6:20" x14ac:dyDescent="0.3">
      <c r="F1096" s="124">
        <v>1090</v>
      </c>
      <c r="G1096" s="33">
        <f t="shared" ref="G1096:G1159" ca="1" si="30">_xlfn.NORM.INV(RAND(),$M$9,$M$10)</f>
        <v>-5.2426391779949698E-3</v>
      </c>
      <c r="N1096" s="118" t="s">
        <v>1463</v>
      </c>
      <c r="O1096" s="122">
        <v>11.74</v>
      </c>
      <c r="P1096" s="122">
        <v>11.81</v>
      </c>
      <c r="Q1096" s="122">
        <v>11.02</v>
      </c>
      <c r="R1096" s="122">
        <v>11.09</v>
      </c>
      <c r="S1096" s="122">
        <v>8.68</v>
      </c>
      <c r="T1096" s="123">
        <v>8370846</v>
      </c>
    </row>
    <row r="1097" spans="6:20" x14ac:dyDescent="0.3">
      <c r="F1097" s="124">
        <v>1091</v>
      </c>
      <c r="G1097" s="33">
        <f t="shared" ca="1" si="30"/>
        <v>4.2717869515192263E-4</v>
      </c>
      <c r="N1097" s="118" t="s">
        <v>1464</v>
      </c>
      <c r="O1097" s="122">
        <v>11.48</v>
      </c>
      <c r="P1097" s="122">
        <v>12.18</v>
      </c>
      <c r="Q1097" s="122">
        <v>10.84</v>
      </c>
      <c r="R1097" s="122">
        <v>11.73</v>
      </c>
      <c r="S1097" s="122">
        <v>9.18</v>
      </c>
      <c r="T1097" s="123">
        <v>13044300</v>
      </c>
    </row>
    <row r="1098" spans="6:20" x14ac:dyDescent="0.3">
      <c r="F1098" s="124">
        <v>1092</v>
      </c>
      <c r="G1098" s="33">
        <f t="shared" ca="1" si="30"/>
        <v>3.490860592874849E-2</v>
      </c>
      <c r="N1098" s="118" t="s">
        <v>1465</v>
      </c>
      <c r="O1098" s="122">
        <v>11.75</v>
      </c>
      <c r="P1098" s="122">
        <v>12.16</v>
      </c>
      <c r="Q1098" s="122">
        <v>11.3</v>
      </c>
      <c r="R1098" s="122">
        <v>11.39</v>
      </c>
      <c r="S1098" s="122">
        <v>8.92</v>
      </c>
      <c r="T1098" s="123">
        <v>11026146</v>
      </c>
    </row>
    <row r="1099" spans="6:20" x14ac:dyDescent="0.3">
      <c r="F1099" s="124">
        <v>1093</v>
      </c>
      <c r="G1099" s="33">
        <f t="shared" ca="1" si="30"/>
        <v>-5.4740292171544011E-2</v>
      </c>
      <c r="N1099" s="118" t="s">
        <v>1466</v>
      </c>
      <c r="O1099" s="122">
        <v>11.59</v>
      </c>
      <c r="P1099" s="122">
        <v>12.4</v>
      </c>
      <c r="Q1099" s="122">
        <v>11.35</v>
      </c>
      <c r="R1099" s="122">
        <v>11.64</v>
      </c>
      <c r="S1099" s="122">
        <v>9.11</v>
      </c>
      <c r="T1099" s="123">
        <v>16290372</v>
      </c>
    </row>
    <row r="1100" spans="6:20" x14ac:dyDescent="0.3">
      <c r="F1100" s="124">
        <v>1094</v>
      </c>
      <c r="G1100" s="33">
        <f t="shared" ca="1" si="30"/>
        <v>-5.0721336355469528E-2</v>
      </c>
      <c r="N1100" s="118" t="s">
        <v>1467</v>
      </c>
      <c r="O1100" s="122">
        <v>11.61</v>
      </c>
      <c r="P1100" s="122">
        <v>12</v>
      </c>
      <c r="Q1100" s="122">
        <v>11</v>
      </c>
      <c r="R1100" s="122">
        <v>11.56</v>
      </c>
      <c r="S1100" s="122">
        <v>9.0500000000000007</v>
      </c>
      <c r="T1100" s="123">
        <v>8292402</v>
      </c>
    </row>
    <row r="1101" spans="6:20" x14ac:dyDescent="0.3">
      <c r="F1101" s="124">
        <v>1095</v>
      </c>
      <c r="G1101" s="33">
        <f t="shared" ca="1" si="30"/>
        <v>-1.4123914173769989E-2</v>
      </c>
      <c r="N1101" s="118" t="s">
        <v>1468</v>
      </c>
      <c r="O1101" s="122">
        <v>10.8</v>
      </c>
      <c r="P1101" s="122">
        <v>11.53</v>
      </c>
      <c r="Q1101" s="122">
        <v>10.23</v>
      </c>
      <c r="R1101" s="122">
        <v>11.45</v>
      </c>
      <c r="S1101" s="122">
        <v>8.9600000000000009</v>
      </c>
      <c r="T1101" s="123">
        <v>7509924</v>
      </c>
    </row>
    <row r="1102" spans="6:20" x14ac:dyDescent="0.3">
      <c r="F1102" s="124">
        <v>1096</v>
      </c>
      <c r="G1102" s="33">
        <f t="shared" ca="1" si="30"/>
        <v>8.1481312853800558E-3</v>
      </c>
      <c r="N1102" s="118" t="s">
        <v>1469</v>
      </c>
      <c r="O1102" s="122">
        <v>10.29</v>
      </c>
      <c r="P1102" s="122">
        <v>10.89</v>
      </c>
      <c r="Q1102" s="122">
        <v>10.18</v>
      </c>
      <c r="R1102" s="122">
        <v>10.61</v>
      </c>
      <c r="S1102" s="122">
        <v>8.31</v>
      </c>
      <c r="T1102" s="123">
        <v>5997114</v>
      </c>
    </row>
    <row r="1103" spans="6:20" x14ac:dyDescent="0.3">
      <c r="F1103" s="124">
        <v>1097</v>
      </c>
      <c r="G1103" s="33">
        <f t="shared" ca="1" si="30"/>
        <v>1.5100627977424407E-2</v>
      </c>
      <c r="N1103" s="118" t="s">
        <v>1470</v>
      </c>
      <c r="O1103" s="122">
        <v>11.25</v>
      </c>
      <c r="P1103" s="122">
        <v>11.48</v>
      </c>
      <c r="Q1103" s="122">
        <v>10</v>
      </c>
      <c r="R1103" s="122">
        <v>10.16</v>
      </c>
      <c r="S1103" s="122">
        <v>7.95</v>
      </c>
      <c r="T1103" s="123">
        <v>7467924</v>
      </c>
    </row>
    <row r="1104" spans="6:20" x14ac:dyDescent="0.3">
      <c r="F1104" s="124">
        <v>1098</v>
      </c>
      <c r="G1104" s="33">
        <f t="shared" ca="1" si="30"/>
        <v>-5.3116659743659062E-2</v>
      </c>
      <c r="N1104" s="118" t="s">
        <v>1471</v>
      </c>
      <c r="O1104" s="317" t="s">
        <v>1472</v>
      </c>
      <c r="P1104" s="317"/>
      <c r="Q1104" s="317"/>
      <c r="R1104" s="317"/>
      <c r="S1104" s="317"/>
      <c r="T1104" s="317"/>
    </row>
    <row r="1105" spans="6:20" x14ac:dyDescent="0.3">
      <c r="F1105" s="124">
        <v>1099</v>
      </c>
      <c r="G1105" s="33">
        <f t="shared" ca="1" si="30"/>
        <v>-6.5772654076381276E-2</v>
      </c>
      <c r="N1105" s="118" t="s">
        <v>1473</v>
      </c>
      <c r="O1105" s="122">
        <v>13.84</v>
      </c>
      <c r="P1105" s="122">
        <v>13.91</v>
      </c>
      <c r="Q1105" s="122">
        <v>11.01</v>
      </c>
      <c r="R1105" s="122">
        <v>11.38</v>
      </c>
      <c r="S1105" s="122">
        <v>8.75</v>
      </c>
      <c r="T1105" s="123">
        <v>22204230</v>
      </c>
    </row>
    <row r="1106" spans="6:20" x14ac:dyDescent="0.3">
      <c r="F1106" s="124">
        <v>1100</v>
      </c>
      <c r="G1106" s="33">
        <f t="shared" ca="1" si="30"/>
        <v>3.4886635583293781E-2</v>
      </c>
      <c r="N1106" s="118" t="s">
        <v>1474</v>
      </c>
      <c r="O1106" s="122">
        <v>12.34</v>
      </c>
      <c r="P1106" s="122">
        <v>14.19</v>
      </c>
      <c r="Q1106" s="122">
        <v>12.31</v>
      </c>
      <c r="R1106" s="122">
        <v>13.86</v>
      </c>
      <c r="S1106" s="122">
        <v>10.66</v>
      </c>
      <c r="T1106" s="123">
        <v>14011116</v>
      </c>
    </row>
    <row r="1107" spans="6:20" x14ac:dyDescent="0.3">
      <c r="F1107" s="124">
        <v>1101</v>
      </c>
      <c r="G1107" s="33">
        <f t="shared" ca="1" si="30"/>
        <v>-2.1713535767802694E-3</v>
      </c>
      <c r="N1107" s="118" t="s">
        <v>1475</v>
      </c>
      <c r="O1107" s="122">
        <v>12.32</v>
      </c>
      <c r="P1107" s="122">
        <v>12.5</v>
      </c>
      <c r="Q1107" s="122">
        <v>11.19</v>
      </c>
      <c r="R1107" s="122">
        <v>11.95</v>
      </c>
      <c r="S1107" s="122">
        <v>9.19</v>
      </c>
      <c r="T1107" s="123">
        <v>4886208</v>
      </c>
    </row>
    <row r="1108" spans="6:20" x14ac:dyDescent="0.3">
      <c r="F1108" s="124">
        <v>1102</v>
      </c>
      <c r="G1108" s="33">
        <f t="shared" ca="1" si="30"/>
        <v>7.3331107168571677E-3</v>
      </c>
      <c r="N1108" s="118" t="s">
        <v>1476</v>
      </c>
      <c r="O1108" s="122">
        <v>12.65</v>
      </c>
      <c r="P1108" s="122">
        <v>12.99</v>
      </c>
      <c r="Q1108" s="122">
        <v>12.04</v>
      </c>
      <c r="R1108" s="122">
        <v>12.27</v>
      </c>
      <c r="S1108" s="122">
        <v>9.43</v>
      </c>
      <c r="T1108" s="123">
        <v>4902144</v>
      </c>
    </row>
    <row r="1109" spans="6:20" x14ac:dyDescent="0.3">
      <c r="F1109" s="124">
        <v>1103</v>
      </c>
      <c r="G1109" s="33">
        <f t="shared" ca="1" si="30"/>
        <v>-2.3109838136428171E-2</v>
      </c>
      <c r="N1109" s="118" t="s">
        <v>1477</v>
      </c>
      <c r="O1109" s="122">
        <v>12</v>
      </c>
      <c r="P1109" s="122">
        <v>13.16</v>
      </c>
      <c r="Q1109" s="122">
        <v>10.16</v>
      </c>
      <c r="R1109" s="122">
        <v>12.59</v>
      </c>
      <c r="S1109" s="122">
        <v>9.68</v>
      </c>
      <c r="T1109" s="123">
        <v>9070404</v>
      </c>
    </row>
    <row r="1110" spans="6:20" x14ac:dyDescent="0.3">
      <c r="F1110" s="124">
        <v>1104</v>
      </c>
      <c r="G1110" s="33">
        <f t="shared" ca="1" si="30"/>
        <v>6.0598878302194469E-3</v>
      </c>
      <c r="N1110" s="118" t="s">
        <v>1478</v>
      </c>
      <c r="O1110" s="122">
        <v>13.6</v>
      </c>
      <c r="P1110" s="122">
        <v>13.98</v>
      </c>
      <c r="Q1110" s="122">
        <v>12.21</v>
      </c>
      <c r="R1110" s="122">
        <v>12.69</v>
      </c>
      <c r="S1110" s="122">
        <v>9.76</v>
      </c>
      <c r="T1110" s="123">
        <v>7518948</v>
      </c>
    </row>
    <row r="1111" spans="6:20" x14ac:dyDescent="0.3">
      <c r="F1111" s="124">
        <v>1105</v>
      </c>
      <c r="G1111" s="33">
        <f t="shared" ca="1" si="30"/>
        <v>-8.9122353560056808E-3</v>
      </c>
      <c r="N1111" s="118" t="s">
        <v>1479</v>
      </c>
      <c r="O1111" s="122">
        <v>13.55</v>
      </c>
      <c r="P1111" s="122">
        <v>15.11</v>
      </c>
      <c r="Q1111" s="122">
        <v>13.18</v>
      </c>
      <c r="R1111" s="122">
        <v>13.76</v>
      </c>
      <c r="S1111" s="122">
        <v>10.58</v>
      </c>
      <c r="T1111" s="123">
        <v>19939500</v>
      </c>
    </row>
    <row r="1112" spans="6:20" x14ac:dyDescent="0.3">
      <c r="F1112" s="124">
        <v>1106</v>
      </c>
      <c r="G1112" s="33">
        <f t="shared" ca="1" si="30"/>
        <v>6.1054317902852449E-2</v>
      </c>
      <c r="N1112" s="118" t="s">
        <v>1480</v>
      </c>
      <c r="O1112" s="122">
        <v>13.16</v>
      </c>
      <c r="P1112" s="122">
        <v>14.07</v>
      </c>
      <c r="Q1112" s="122">
        <v>12.36</v>
      </c>
      <c r="R1112" s="122">
        <v>13.48</v>
      </c>
      <c r="S1112" s="122">
        <v>10.37</v>
      </c>
      <c r="T1112" s="123">
        <v>6433326</v>
      </c>
    </row>
    <row r="1113" spans="6:20" x14ac:dyDescent="0.3">
      <c r="F1113" s="124">
        <v>1107</v>
      </c>
      <c r="G1113" s="33">
        <f t="shared" ca="1" si="30"/>
        <v>3.3515686158360758E-3</v>
      </c>
      <c r="N1113" s="118" t="s">
        <v>1481</v>
      </c>
      <c r="O1113" s="122">
        <v>14.7</v>
      </c>
      <c r="P1113" s="122">
        <v>14.7</v>
      </c>
      <c r="Q1113" s="122">
        <v>13.01</v>
      </c>
      <c r="R1113" s="122">
        <v>13.13</v>
      </c>
      <c r="S1113" s="122">
        <v>10.09</v>
      </c>
      <c r="T1113" s="123">
        <v>6263514</v>
      </c>
    </row>
    <row r="1114" spans="6:20" x14ac:dyDescent="0.3">
      <c r="F1114" s="124">
        <v>1108</v>
      </c>
      <c r="G1114" s="33">
        <f t="shared" ca="1" si="30"/>
        <v>-2.443440580031056E-2</v>
      </c>
      <c r="N1114" s="118" t="s">
        <v>1482</v>
      </c>
      <c r="O1114" s="122">
        <v>12.45</v>
      </c>
      <c r="P1114" s="122">
        <v>14.21</v>
      </c>
      <c r="Q1114" s="122">
        <v>12.16</v>
      </c>
      <c r="R1114" s="122">
        <v>14.07</v>
      </c>
      <c r="S1114" s="122">
        <v>10.82</v>
      </c>
      <c r="T1114" s="123">
        <v>7068498</v>
      </c>
    </row>
    <row r="1115" spans="6:20" x14ac:dyDescent="0.3">
      <c r="F1115" s="124">
        <v>1109</v>
      </c>
      <c r="G1115" s="33">
        <f t="shared" ca="1" si="30"/>
        <v>2.0702618172096262E-4</v>
      </c>
      <c r="N1115" s="118" t="s">
        <v>1483</v>
      </c>
      <c r="O1115" s="122">
        <v>13.02</v>
      </c>
      <c r="P1115" s="122">
        <v>13.14</v>
      </c>
      <c r="Q1115" s="122">
        <v>12.16</v>
      </c>
      <c r="R1115" s="122">
        <v>12.28</v>
      </c>
      <c r="S1115" s="122">
        <v>9.4499999999999993</v>
      </c>
      <c r="T1115" s="123">
        <v>2557908</v>
      </c>
    </row>
    <row r="1116" spans="6:20" x14ac:dyDescent="0.3">
      <c r="F1116" s="124">
        <v>1110</v>
      </c>
      <c r="G1116" s="33">
        <f t="shared" ca="1" si="30"/>
        <v>-2.0824665554624425E-2</v>
      </c>
      <c r="N1116" s="118" t="s">
        <v>1484</v>
      </c>
      <c r="O1116" s="122">
        <v>12.66</v>
      </c>
      <c r="P1116" s="122">
        <v>13.5</v>
      </c>
      <c r="Q1116" s="122">
        <v>12.54</v>
      </c>
      <c r="R1116" s="122">
        <v>12.84</v>
      </c>
      <c r="S1116" s="122">
        <v>9.8800000000000008</v>
      </c>
      <c r="T1116" s="123">
        <v>3529968</v>
      </c>
    </row>
    <row r="1117" spans="6:20" x14ac:dyDescent="0.3">
      <c r="F1117" s="124">
        <v>1111</v>
      </c>
      <c r="G1117" s="33">
        <f t="shared" ca="1" si="30"/>
        <v>-2.8701242078125619E-2</v>
      </c>
      <c r="N1117" s="118" t="s">
        <v>1485</v>
      </c>
      <c r="O1117" s="122">
        <v>11.59</v>
      </c>
      <c r="P1117" s="122">
        <v>12.81</v>
      </c>
      <c r="Q1117" s="122">
        <v>11.54</v>
      </c>
      <c r="R1117" s="122">
        <v>12.55</v>
      </c>
      <c r="S1117" s="122">
        <v>9.65</v>
      </c>
      <c r="T1117" s="123">
        <v>6289716</v>
      </c>
    </row>
    <row r="1118" spans="6:20" x14ac:dyDescent="0.3">
      <c r="F1118" s="124">
        <v>1112</v>
      </c>
      <c r="G1118" s="33">
        <f t="shared" ca="1" si="30"/>
        <v>3.159604349055589E-3</v>
      </c>
      <c r="N1118" s="118" t="s">
        <v>1486</v>
      </c>
      <c r="O1118" s="122">
        <v>12.91</v>
      </c>
      <c r="P1118" s="122">
        <v>12.91</v>
      </c>
      <c r="Q1118" s="122">
        <v>11.34</v>
      </c>
      <c r="R1118" s="122">
        <v>11.65</v>
      </c>
      <c r="S1118" s="122">
        <v>8.9600000000000009</v>
      </c>
      <c r="T1118" s="123">
        <v>4855218</v>
      </c>
    </row>
    <row r="1119" spans="6:20" x14ac:dyDescent="0.3">
      <c r="F1119" s="124">
        <v>1113</v>
      </c>
      <c r="G1119" s="33">
        <f t="shared" ca="1" si="30"/>
        <v>1.1704346107057999E-2</v>
      </c>
      <c r="N1119" s="118" t="s">
        <v>1487</v>
      </c>
      <c r="O1119" s="122">
        <v>13.41</v>
      </c>
      <c r="P1119" s="122">
        <v>13.53</v>
      </c>
      <c r="Q1119" s="122">
        <v>12.34</v>
      </c>
      <c r="R1119" s="122">
        <v>12.65</v>
      </c>
      <c r="S1119" s="122">
        <v>9.73</v>
      </c>
      <c r="T1119" s="123">
        <v>3924828</v>
      </c>
    </row>
    <row r="1120" spans="6:20" x14ac:dyDescent="0.3">
      <c r="F1120" s="124">
        <v>1114</v>
      </c>
      <c r="G1120" s="33">
        <f t="shared" ca="1" si="30"/>
        <v>-6.0584670672396528E-2</v>
      </c>
      <c r="N1120" s="118" t="s">
        <v>1488</v>
      </c>
      <c r="O1120" s="122">
        <v>13.52</v>
      </c>
      <c r="P1120" s="122">
        <v>14.16</v>
      </c>
      <c r="Q1120" s="122">
        <v>13.01</v>
      </c>
      <c r="R1120" s="122">
        <v>13.41</v>
      </c>
      <c r="S1120" s="122">
        <v>10.31</v>
      </c>
      <c r="T1120" s="123">
        <v>4048500</v>
      </c>
    </row>
    <row r="1121" spans="6:20" x14ac:dyDescent="0.3">
      <c r="F1121" s="124">
        <v>1115</v>
      </c>
      <c r="G1121" s="33">
        <f t="shared" ca="1" si="30"/>
        <v>-3.1943804066990843E-2</v>
      </c>
      <c r="N1121" s="118" t="s">
        <v>1489</v>
      </c>
      <c r="O1121" s="122">
        <v>13.66</v>
      </c>
      <c r="P1121" s="122">
        <v>13.91</v>
      </c>
      <c r="Q1121" s="122">
        <v>12.99</v>
      </c>
      <c r="R1121" s="122">
        <v>13.48</v>
      </c>
      <c r="S1121" s="122">
        <v>10.37</v>
      </c>
      <c r="T1121" s="123">
        <v>4434294</v>
      </c>
    </row>
    <row r="1122" spans="6:20" x14ac:dyDescent="0.3">
      <c r="F1122" s="124">
        <v>1116</v>
      </c>
      <c r="G1122" s="33">
        <f t="shared" ca="1" si="30"/>
        <v>3.5086638733477725E-3</v>
      </c>
      <c r="N1122" s="118" t="s">
        <v>1490</v>
      </c>
      <c r="O1122" s="122">
        <v>14.34</v>
      </c>
      <c r="P1122" s="122">
        <v>14.59</v>
      </c>
      <c r="Q1122" s="122">
        <v>13.71</v>
      </c>
      <c r="R1122" s="122">
        <v>13.78</v>
      </c>
      <c r="S1122" s="122">
        <v>10.6</v>
      </c>
      <c r="T1122" s="123">
        <v>4718334</v>
      </c>
    </row>
    <row r="1123" spans="6:20" x14ac:dyDescent="0.3">
      <c r="F1123" s="124">
        <v>1117</v>
      </c>
      <c r="G1123" s="33">
        <f t="shared" ca="1" si="30"/>
        <v>9.4216358566499656E-3</v>
      </c>
      <c r="N1123" s="118" t="s">
        <v>1491</v>
      </c>
      <c r="O1123" s="122">
        <v>13.98</v>
      </c>
      <c r="P1123" s="122">
        <v>14.64</v>
      </c>
      <c r="Q1123" s="122">
        <v>13.84</v>
      </c>
      <c r="R1123" s="122">
        <v>14.2</v>
      </c>
      <c r="S1123" s="122">
        <v>10.92</v>
      </c>
      <c r="T1123" s="123">
        <v>3572730</v>
      </c>
    </row>
    <row r="1124" spans="6:20" x14ac:dyDescent="0.3">
      <c r="F1124" s="124">
        <v>1118</v>
      </c>
      <c r="G1124" s="33">
        <f t="shared" ca="1" si="30"/>
        <v>2.6655467139759997E-2</v>
      </c>
      <c r="N1124" s="118" t="s">
        <v>1492</v>
      </c>
      <c r="O1124" s="122">
        <v>14.06</v>
      </c>
      <c r="P1124" s="122">
        <v>14.52</v>
      </c>
      <c r="Q1124" s="122">
        <v>13.39</v>
      </c>
      <c r="R1124" s="122">
        <v>13.89</v>
      </c>
      <c r="S1124" s="122">
        <v>10.68</v>
      </c>
      <c r="T1124" s="123">
        <v>4842288</v>
      </c>
    </row>
    <row r="1125" spans="6:20" x14ac:dyDescent="0.3">
      <c r="F1125" s="124">
        <v>1119</v>
      </c>
      <c r="G1125" s="33">
        <f t="shared" ca="1" si="30"/>
        <v>3.9166323785021259E-2</v>
      </c>
      <c r="N1125" s="118" t="s">
        <v>1493</v>
      </c>
      <c r="O1125" s="122">
        <v>14.8</v>
      </c>
      <c r="P1125" s="122">
        <v>15.48</v>
      </c>
      <c r="Q1125" s="122">
        <v>14</v>
      </c>
      <c r="R1125" s="122">
        <v>14.06</v>
      </c>
      <c r="S1125" s="122">
        <v>10.82</v>
      </c>
      <c r="T1125" s="123">
        <v>6506886</v>
      </c>
    </row>
    <row r="1126" spans="6:20" x14ac:dyDescent="0.3">
      <c r="F1126" s="124">
        <v>1120</v>
      </c>
      <c r="G1126" s="33">
        <f t="shared" ca="1" si="30"/>
        <v>1.8480564286787002E-2</v>
      </c>
      <c r="N1126" s="118" t="s">
        <v>1494</v>
      </c>
      <c r="O1126" s="122">
        <v>16.170000000000002</v>
      </c>
      <c r="P1126" s="122">
        <v>16.170000000000002</v>
      </c>
      <c r="Q1126" s="122">
        <v>13.66</v>
      </c>
      <c r="R1126" s="122">
        <v>14.8</v>
      </c>
      <c r="S1126" s="122">
        <v>11.38</v>
      </c>
      <c r="T1126" s="123">
        <v>9093414</v>
      </c>
    </row>
    <row r="1127" spans="6:20" x14ac:dyDescent="0.3">
      <c r="F1127" s="124">
        <v>1121</v>
      </c>
      <c r="G1127" s="33">
        <f t="shared" ca="1" si="30"/>
        <v>-2.3334124584071324E-2</v>
      </c>
      <c r="N1127" s="118" t="s">
        <v>1495</v>
      </c>
      <c r="O1127" s="122">
        <v>15.16</v>
      </c>
      <c r="P1127" s="122">
        <v>16.170000000000002</v>
      </c>
      <c r="Q1127" s="122">
        <v>15.03</v>
      </c>
      <c r="R1127" s="122">
        <v>15.88</v>
      </c>
      <c r="S1127" s="122">
        <v>12.21</v>
      </c>
      <c r="T1127" s="123">
        <v>13448166</v>
      </c>
    </row>
    <row r="1128" spans="6:20" x14ac:dyDescent="0.3">
      <c r="F1128" s="124">
        <v>1122</v>
      </c>
      <c r="G1128" s="33">
        <f t="shared" ca="1" si="30"/>
        <v>-3.0849129742663389E-2</v>
      </c>
      <c r="N1128" s="118" t="s">
        <v>1496</v>
      </c>
      <c r="O1128" s="122">
        <v>16.170000000000002</v>
      </c>
      <c r="P1128" s="122">
        <v>16.3</v>
      </c>
      <c r="Q1128" s="122">
        <v>14.84</v>
      </c>
      <c r="R1128" s="122">
        <v>15.15</v>
      </c>
      <c r="S1128" s="122">
        <v>11.65</v>
      </c>
      <c r="T1128" s="123">
        <v>11938458</v>
      </c>
    </row>
    <row r="1129" spans="6:20" x14ac:dyDescent="0.3">
      <c r="F1129" s="124">
        <v>1123</v>
      </c>
      <c r="G1129" s="33">
        <f t="shared" ca="1" si="30"/>
        <v>-6.6096020827559457E-2</v>
      </c>
      <c r="N1129" s="118" t="s">
        <v>1497</v>
      </c>
      <c r="O1129" s="122">
        <v>15.5</v>
      </c>
      <c r="P1129" s="122">
        <v>15.89</v>
      </c>
      <c r="Q1129" s="122">
        <v>14.53</v>
      </c>
      <c r="R1129" s="122">
        <v>15.79</v>
      </c>
      <c r="S1129" s="122">
        <v>12.14</v>
      </c>
      <c r="T1129" s="123">
        <v>15557982</v>
      </c>
    </row>
    <row r="1130" spans="6:20" x14ac:dyDescent="0.3">
      <c r="F1130" s="124">
        <v>1124</v>
      </c>
      <c r="G1130" s="33">
        <f t="shared" ca="1" si="30"/>
        <v>1.4100498689699984E-2</v>
      </c>
      <c r="N1130" s="118" t="s">
        <v>1498</v>
      </c>
      <c r="O1130" s="122">
        <v>15.27</v>
      </c>
      <c r="P1130" s="122">
        <v>15.73</v>
      </c>
      <c r="Q1130" s="122">
        <v>14.5</v>
      </c>
      <c r="R1130" s="122">
        <v>15.44</v>
      </c>
      <c r="S1130" s="122">
        <v>11.87</v>
      </c>
      <c r="T1130" s="123">
        <v>18516150</v>
      </c>
    </row>
    <row r="1131" spans="6:20" x14ac:dyDescent="0.3">
      <c r="F1131" s="124">
        <v>1125</v>
      </c>
      <c r="G1131" s="33">
        <f t="shared" ca="1" si="30"/>
        <v>1.8174715381497963E-2</v>
      </c>
      <c r="N1131" s="118" t="s">
        <v>1499</v>
      </c>
      <c r="O1131" s="122">
        <v>12.86</v>
      </c>
      <c r="P1131" s="122">
        <v>15.31</v>
      </c>
      <c r="Q1131" s="122">
        <v>12.86</v>
      </c>
      <c r="R1131" s="122">
        <v>15.13</v>
      </c>
      <c r="S1131" s="122">
        <v>11.63</v>
      </c>
      <c r="T1131" s="123">
        <v>35295462</v>
      </c>
    </row>
    <row r="1132" spans="6:20" x14ac:dyDescent="0.3">
      <c r="F1132" s="124">
        <v>1126</v>
      </c>
      <c r="G1132" s="33">
        <f t="shared" ca="1" si="30"/>
        <v>-3.2983622969217939E-2</v>
      </c>
      <c r="N1132" s="118" t="s">
        <v>1500</v>
      </c>
      <c r="O1132" s="122">
        <v>12.27</v>
      </c>
      <c r="P1132" s="122">
        <v>13.56</v>
      </c>
      <c r="Q1132" s="122">
        <v>12.25</v>
      </c>
      <c r="R1132" s="122">
        <v>12.73</v>
      </c>
      <c r="S1132" s="122">
        <v>9.7899999999999991</v>
      </c>
      <c r="T1132" s="123">
        <v>15685206</v>
      </c>
    </row>
    <row r="1133" spans="6:20" x14ac:dyDescent="0.3">
      <c r="F1133" s="124">
        <v>1127</v>
      </c>
      <c r="G1133" s="33">
        <f t="shared" ca="1" si="30"/>
        <v>-1.7925828747557705E-4</v>
      </c>
      <c r="N1133" s="118" t="s">
        <v>1501</v>
      </c>
      <c r="O1133" s="122">
        <v>11.34</v>
      </c>
      <c r="P1133" s="122">
        <v>12.66</v>
      </c>
      <c r="Q1133" s="122">
        <v>11.34</v>
      </c>
      <c r="R1133" s="122">
        <v>12.15</v>
      </c>
      <c r="S1133" s="122">
        <v>9.34</v>
      </c>
      <c r="T1133" s="123">
        <v>13762794</v>
      </c>
    </row>
    <row r="1134" spans="6:20" x14ac:dyDescent="0.3">
      <c r="F1134" s="124">
        <v>1128</v>
      </c>
      <c r="G1134" s="33">
        <f t="shared" ca="1" si="30"/>
        <v>3.8257311466299167E-3</v>
      </c>
      <c r="N1134" s="118" t="s">
        <v>1502</v>
      </c>
      <c r="O1134" s="122">
        <v>11.48</v>
      </c>
      <c r="P1134" s="122">
        <v>11.77</v>
      </c>
      <c r="Q1134" s="122">
        <v>11.03</v>
      </c>
      <c r="R1134" s="122">
        <v>11.31</v>
      </c>
      <c r="S1134" s="122">
        <v>8.6999999999999993</v>
      </c>
      <c r="T1134" s="123">
        <v>3468984</v>
      </c>
    </row>
    <row r="1135" spans="6:20" x14ac:dyDescent="0.3">
      <c r="F1135" s="124">
        <v>1129</v>
      </c>
      <c r="G1135" s="33">
        <f t="shared" ca="1" si="30"/>
        <v>1.6162554605053014E-2</v>
      </c>
      <c r="N1135" s="118" t="s">
        <v>1503</v>
      </c>
      <c r="O1135" s="317" t="s">
        <v>1504</v>
      </c>
      <c r="P1135" s="317"/>
      <c r="Q1135" s="317"/>
      <c r="R1135" s="317"/>
      <c r="S1135" s="317"/>
      <c r="T1135" s="317"/>
    </row>
    <row r="1136" spans="6:20" x14ac:dyDescent="0.3">
      <c r="F1136" s="124">
        <v>1130</v>
      </c>
      <c r="G1136" s="33">
        <f t="shared" ca="1" si="30"/>
        <v>-5.732180589423818E-2</v>
      </c>
      <c r="N1136" s="118" t="s">
        <v>1505</v>
      </c>
      <c r="O1136" s="122">
        <v>11.97</v>
      </c>
      <c r="P1136" s="122">
        <v>12.07</v>
      </c>
      <c r="Q1136" s="122">
        <v>11.02</v>
      </c>
      <c r="R1136" s="122">
        <v>11.41</v>
      </c>
      <c r="S1136" s="122">
        <v>8.6999999999999993</v>
      </c>
      <c r="T1136" s="123">
        <v>5730336</v>
      </c>
    </row>
    <row r="1137" spans="6:20" x14ac:dyDescent="0.3">
      <c r="F1137" s="124">
        <v>1131</v>
      </c>
      <c r="G1137" s="33">
        <f t="shared" ca="1" si="30"/>
        <v>-3.0668231803631218E-2</v>
      </c>
      <c r="N1137" s="118" t="s">
        <v>1506</v>
      </c>
      <c r="O1137" s="122">
        <v>12</v>
      </c>
      <c r="P1137" s="122">
        <v>12.56</v>
      </c>
      <c r="Q1137" s="122">
        <v>11.44</v>
      </c>
      <c r="R1137" s="122">
        <v>11.52</v>
      </c>
      <c r="S1137" s="122">
        <v>8.7799999999999994</v>
      </c>
      <c r="T1137" s="123">
        <v>8655120</v>
      </c>
    </row>
    <row r="1138" spans="6:20" x14ac:dyDescent="0.3">
      <c r="F1138" s="124">
        <v>1132</v>
      </c>
      <c r="G1138" s="33">
        <f t="shared" ca="1" si="30"/>
        <v>4.0000517683659684E-2</v>
      </c>
      <c r="N1138" s="118" t="s">
        <v>1507</v>
      </c>
      <c r="O1138" s="122">
        <v>10.89</v>
      </c>
      <c r="P1138" s="122">
        <v>12.41</v>
      </c>
      <c r="Q1138" s="122">
        <v>10.77</v>
      </c>
      <c r="R1138" s="122">
        <v>12.1</v>
      </c>
      <c r="S1138" s="122">
        <v>9.23</v>
      </c>
      <c r="T1138" s="123">
        <v>23584032</v>
      </c>
    </row>
    <row r="1139" spans="6:20" x14ac:dyDescent="0.3">
      <c r="F1139" s="124">
        <v>1133</v>
      </c>
      <c r="G1139" s="33">
        <f t="shared" ca="1" si="30"/>
        <v>4.8377086190487952E-2</v>
      </c>
      <c r="N1139" s="118" t="s">
        <v>1508</v>
      </c>
      <c r="O1139" s="122">
        <v>10.5</v>
      </c>
      <c r="P1139" s="122">
        <v>11.1</v>
      </c>
      <c r="Q1139" s="122">
        <v>10.43</v>
      </c>
      <c r="R1139" s="122">
        <v>10.78</v>
      </c>
      <c r="S1139" s="122">
        <v>8.2200000000000006</v>
      </c>
      <c r="T1139" s="123">
        <v>9208800</v>
      </c>
    </row>
    <row r="1140" spans="6:20" x14ac:dyDescent="0.3">
      <c r="F1140" s="124">
        <v>1134</v>
      </c>
      <c r="G1140" s="33">
        <f t="shared" ca="1" si="30"/>
        <v>4.4951260113531212E-2</v>
      </c>
      <c r="N1140" s="118" t="s">
        <v>1509</v>
      </c>
      <c r="O1140" s="122">
        <v>10.38</v>
      </c>
      <c r="P1140" s="122">
        <v>10.78</v>
      </c>
      <c r="Q1140" s="122">
        <v>9.9499999999999993</v>
      </c>
      <c r="R1140" s="122">
        <v>10.32</v>
      </c>
      <c r="S1140" s="122">
        <v>7.87</v>
      </c>
      <c r="T1140" s="123">
        <v>9185424</v>
      </c>
    </row>
    <row r="1141" spans="6:20" x14ac:dyDescent="0.3">
      <c r="F1141" s="124">
        <v>1135</v>
      </c>
      <c r="G1141" s="33">
        <f t="shared" ca="1" si="30"/>
        <v>2.1602118690992135E-2</v>
      </c>
      <c r="N1141" s="118" t="s">
        <v>1510</v>
      </c>
      <c r="O1141" s="122">
        <v>9.9600000000000009</v>
      </c>
      <c r="P1141" s="122">
        <v>10.65</v>
      </c>
      <c r="Q1141" s="122">
        <v>9.77</v>
      </c>
      <c r="R1141" s="122">
        <v>10.27</v>
      </c>
      <c r="S1141" s="122">
        <v>7.83</v>
      </c>
      <c r="T1141" s="123">
        <v>8359188</v>
      </c>
    </row>
    <row r="1142" spans="6:20" x14ac:dyDescent="0.3">
      <c r="F1142" s="124">
        <v>1136</v>
      </c>
      <c r="G1142" s="33">
        <f t="shared" ca="1" si="30"/>
        <v>3.9393622301888845E-3</v>
      </c>
      <c r="N1142" s="118" t="s">
        <v>1511</v>
      </c>
      <c r="O1142" s="122">
        <v>10.32</v>
      </c>
      <c r="P1142" s="122">
        <v>10.34</v>
      </c>
      <c r="Q1142" s="122">
        <v>9.68</v>
      </c>
      <c r="R1142" s="122">
        <v>9.86</v>
      </c>
      <c r="S1142" s="122">
        <v>7.52</v>
      </c>
      <c r="T1142" s="123">
        <v>5343018</v>
      </c>
    </row>
    <row r="1143" spans="6:20" x14ac:dyDescent="0.3">
      <c r="F1143" s="124">
        <v>1137</v>
      </c>
      <c r="G1143" s="33">
        <f t="shared" ca="1" si="30"/>
        <v>-5.0011057446411461E-3</v>
      </c>
      <c r="N1143" s="118" t="s">
        <v>1512</v>
      </c>
      <c r="O1143" s="122">
        <v>10.16</v>
      </c>
      <c r="P1143" s="122">
        <v>10.32</v>
      </c>
      <c r="Q1143" s="122">
        <v>9.86</v>
      </c>
      <c r="R1143" s="122">
        <v>10.220000000000001</v>
      </c>
      <c r="S1143" s="122">
        <v>7.79</v>
      </c>
      <c r="T1143" s="123">
        <v>3144288</v>
      </c>
    </row>
    <row r="1144" spans="6:20" x14ac:dyDescent="0.3">
      <c r="F1144" s="124">
        <v>1138</v>
      </c>
      <c r="G1144" s="33">
        <f t="shared" ca="1" si="30"/>
        <v>4.7225277426824148E-2</v>
      </c>
      <c r="N1144" s="118" t="s">
        <v>1513</v>
      </c>
      <c r="O1144" s="122">
        <v>9.94</v>
      </c>
      <c r="P1144" s="122">
        <v>10.16</v>
      </c>
      <c r="Q1144" s="122">
        <v>9.5500000000000007</v>
      </c>
      <c r="R1144" s="122">
        <v>10.050000000000001</v>
      </c>
      <c r="S1144" s="122">
        <v>7.66</v>
      </c>
      <c r="T1144" s="123">
        <v>4910352</v>
      </c>
    </row>
    <row r="1145" spans="6:20" x14ac:dyDescent="0.3">
      <c r="F1145" s="124">
        <v>1139</v>
      </c>
      <c r="G1145" s="33">
        <f t="shared" ca="1" si="30"/>
        <v>4.9428431448791332E-2</v>
      </c>
      <c r="N1145" s="118" t="s">
        <v>1514</v>
      </c>
      <c r="O1145" s="122">
        <v>9.5</v>
      </c>
      <c r="P1145" s="122">
        <v>10.34</v>
      </c>
      <c r="Q1145" s="122">
        <v>8.75</v>
      </c>
      <c r="R1145" s="122">
        <v>9.8000000000000007</v>
      </c>
      <c r="S1145" s="122">
        <v>7.47</v>
      </c>
      <c r="T1145" s="123">
        <v>15173868</v>
      </c>
    </row>
    <row r="1146" spans="6:20" x14ac:dyDescent="0.3">
      <c r="F1146" s="124">
        <v>1140</v>
      </c>
      <c r="G1146" s="33">
        <f t="shared" ca="1" si="30"/>
        <v>-1.3582825360848705E-2</v>
      </c>
      <c r="N1146" s="118" t="s">
        <v>1515</v>
      </c>
      <c r="O1146" s="122">
        <v>10.53</v>
      </c>
      <c r="P1146" s="122">
        <v>10.71</v>
      </c>
      <c r="Q1146" s="122">
        <v>10</v>
      </c>
      <c r="R1146" s="122">
        <v>10.029999999999999</v>
      </c>
      <c r="S1146" s="122">
        <v>7.65</v>
      </c>
      <c r="T1146" s="123">
        <v>5990262</v>
      </c>
    </row>
    <row r="1147" spans="6:20" x14ac:dyDescent="0.3">
      <c r="F1147" s="124">
        <v>1141</v>
      </c>
      <c r="G1147" s="33">
        <f t="shared" ca="1" si="30"/>
        <v>3.6657677822177971E-2</v>
      </c>
      <c r="N1147" s="118" t="s">
        <v>1516</v>
      </c>
      <c r="O1147" s="122">
        <v>11.41</v>
      </c>
      <c r="P1147" s="122">
        <v>11.41</v>
      </c>
      <c r="Q1147" s="122">
        <v>10.34</v>
      </c>
      <c r="R1147" s="122">
        <v>10.48</v>
      </c>
      <c r="S1147" s="122">
        <v>7.99</v>
      </c>
      <c r="T1147" s="123">
        <v>5173656</v>
      </c>
    </row>
    <row r="1148" spans="6:20" x14ac:dyDescent="0.3">
      <c r="F1148" s="124">
        <v>1142</v>
      </c>
      <c r="G1148" s="33">
        <f t="shared" ca="1" si="30"/>
        <v>-2.3970991974099787E-2</v>
      </c>
      <c r="N1148" s="118" t="s">
        <v>1517</v>
      </c>
      <c r="O1148" s="122">
        <v>10.85</v>
      </c>
      <c r="P1148" s="122">
        <v>11.41</v>
      </c>
      <c r="Q1148" s="122">
        <v>10</v>
      </c>
      <c r="R1148" s="122">
        <v>10.8</v>
      </c>
      <c r="S1148" s="122">
        <v>8.24</v>
      </c>
      <c r="T1148" s="123">
        <v>9006558</v>
      </c>
    </row>
    <row r="1149" spans="6:20" x14ac:dyDescent="0.3">
      <c r="F1149" s="124">
        <v>1143</v>
      </c>
      <c r="G1149" s="33">
        <f t="shared" ca="1" si="30"/>
        <v>-5.4092566988818147E-2</v>
      </c>
      <c r="N1149" s="118" t="s">
        <v>1518</v>
      </c>
      <c r="O1149" s="122">
        <v>11.41</v>
      </c>
      <c r="P1149" s="122">
        <v>11.48</v>
      </c>
      <c r="Q1149" s="122">
        <v>10.66</v>
      </c>
      <c r="R1149" s="122">
        <v>10.84</v>
      </c>
      <c r="S1149" s="122">
        <v>8.26</v>
      </c>
      <c r="T1149" s="123">
        <v>9586632</v>
      </c>
    </row>
    <row r="1150" spans="6:20" x14ac:dyDescent="0.3">
      <c r="F1150" s="124">
        <v>1144</v>
      </c>
      <c r="G1150" s="33">
        <f t="shared" ca="1" si="30"/>
        <v>2.251901743970058E-3</v>
      </c>
      <c r="N1150" s="118" t="s">
        <v>1519</v>
      </c>
      <c r="O1150" s="122">
        <v>10.54</v>
      </c>
      <c r="P1150" s="122">
        <v>11.38</v>
      </c>
      <c r="Q1150" s="122">
        <v>10.14</v>
      </c>
      <c r="R1150" s="122">
        <v>11.11</v>
      </c>
      <c r="S1150" s="122">
        <v>8.4700000000000006</v>
      </c>
      <c r="T1150" s="123">
        <v>16269978</v>
      </c>
    </row>
    <row r="1151" spans="6:20" x14ac:dyDescent="0.3">
      <c r="F1151" s="124">
        <v>1145</v>
      </c>
      <c r="G1151" s="33">
        <f t="shared" ca="1" si="30"/>
        <v>-3.0207293913952295E-2</v>
      </c>
      <c r="N1151" s="118" t="s">
        <v>1520</v>
      </c>
      <c r="O1151" s="122">
        <v>9.52</v>
      </c>
      <c r="P1151" s="122">
        <v>10.84</v>
      </c>
      <c r="Q1151" s="122">
        <v>9.44</v>
      </c>
      <c r="R1151" s="122">
        <v>10.54</v>
      </c>
      <c r="S1151" s="122">
        <v>8.0399999999999991</v>
      </c>
      <c r="T1151" s="123">
        <v>19640262</v>
      </c>
    </row>
    <row r="1152" spans="6:20" x14ac:dyDescent="0.3">
      <c r="F1152" s="124">
        <v>1146</v>
      </c>
      <c r="G1152" s="33">
        <f t="shared" ca="1" si="30"/>
        <v>1.7490956595603142E-2</v>
      </c>
      <c r="N1152" s="118" t="s">
        <v>1521</v>
      </c>
      <c r="O1152" s="122">
        <v>9.14</v>
      </c>
      <c r="P1152" s="122">
        <v>10</v>
      </c>
      <c r="Q1152" s="122">
        <v>9</v>
      </c>
      <c r="R1152" s="122">
        <v>9.48</v>
      </c>
      <c r="S1152" s="122">
        <v>7.22</v>
      </c>
      <c r="T1152" s="123">
        <v>14415126</v>
      </c>
    </row>
    <row r="1153" spans="6:20" x14ac:dyDescent="0.3">
      <c r="F1153" s="124">
        <v>1147</v>
      </c>
      <c r="G1153" s="33">
        <f t="shared" ca="1" si="30"/>
        <v>8.1430088303123364E-3</v>
      </c>
      <c r="N1153" s="118" t="s">
        <v>1522</v>
      </c>
      <c r="O1153" s="122">
        <v>8.7200000000000006</v>
      </c>
      <c r="P1153" s="122">
        <v>9.15</v>
      </c>
      <c r="Q1153" s="122">
        <v>8.34</v>
      </c>
      <c r="R1153" s="122">
        <v>9.0399999999999991</v>
      </c>
      <c r="S1153" s="122">
        <v>6.89</v>
      </c>
      <c r="T1153" s="123">
        <v>7819158</v>
      </c>
    </row>
    <row r="1154" spans="6:20" x14ac:dyDescent="0.3">
      <c r="F1154" s="124">
        <v>1148</v>
      </c>
      <c r="G1154" s="33">
        <f t="shared" ca="1" si="30"/>
        <v>2.4656855599948988E-2</v>
      </c>
      <c r="N1154" s="118" t="s">
        <v>1523</v>
      </c>
      <c r="O1154" s="317" t="s">
        <v>1524</v>
      </c>
      <c r="P1154" s="317"/>
      <c r="Q1154" s="317"/>
      <c r="R1154" s="317"/>
      <c r="S1154" s="317"/>
      <c r="T1154" s="317"/>
    </row>
    <row r="1155" spans="6:20" x14ac:dyDescent="0.3">
      <c r="F1155" s="124">
        <v>1149</v>
      </c>
      <c r="G1155" s="33">
        <f t="shared" ca="1" si="30"/>
        <v>-3.2767883956044833E-3</v>
      </c>
      <c r="N1155" s="118" t="s">
        <v>1523</v>
      </c>
      <c r="O1155" s="122">
        <v>8.91</v>
      </c>
      <c r="P1155" s="122">
        <v>9.31</v>
      </c>
      <c r="Q1155" s="122">
        <v>8.2799999999999994</v>
      </c>
      <c r="R1155" s="122">
        <v>8.56</v>
      </c>
      <c r="S1155" s="122">
        <v>6.42</v>
      </c>
      <c r="T1155" s="123">
        <v>7184580</v>
      </c>
    </row>
    <row r="1156" spans="6:20" x14ac:dyDescent="0.3">
      <c r="F1156" s="124">
        <v>1150</v>
      </c>
      <c r="G1156" s="33">
        <f t="shared" ca="1" si="30"/>
        <v>-1.4499078690449953E-2</v>
      </c>
      <c r="N1156" s="118" t="s">
        <v>1525</v>
      </c>
      <c r="O1156" s="122">
        <v>9.06</v>
      </c>
      <c r="P1156" s="122">
        <v>9.2799999999999994</v>
      </c>
      <c r="Q1156" s="122">
        <v>8.5</v>
      </c>
      <c r="R1156" s="122">
        <v>8.89</v>
      </c>
      <c r="S1156" s="122">
        <v>6.66</v>
      </c>
      <c r="T1156" s="123">
        <v>7262766</v>
      </c>
    </row>
    <row r="1157" spans="6:20" x14ac:dyDescent="0.3">
      <c r="F1157" s="124">
        <v>1151</v>
      </c>
      <c r="G1157" s="33">
        <f t="shared" ca="1" si="30"/>
        <v>6.9404940311437152E-2</v>
      </c>
      <c r="N1157" s="118" t="s">
        <v>1526</v>
      </c>
      <c r="O1157" s="122">
        <v>8.0399999999999991</v>
      </c>
      <c r="P1157" s="122">
        <v>9.86</v>
      </c>
      <c r="Q1157" s="122">
        <v>7.91</v>
      </c>
      <c r="R1157" s="122">
        <v>9.02</v>
      </c>
      <c r="S1157" s="122">
        <v>6.76</v>
      </c>
      <c r="T1157" s="123">
        <v>30476052</v>
      </c>
    </row>
    <row r="1158" spans="6:20" x14ac:dyDescent="0.3">
      <c r="F1158" s="124">
        <v>1152</v>
      </c>
      <c r="G1158" s="33">
        <f t="shared" ca="1" si="30"/>
        <v>-1.3582890628226145E-2</v>
      </c>
      <c r="N1158" s="118" t="s">
        <v>1527</v>
      </c>
      <c r="O1158" s="122">
        <v>7.99</v>
      </c>
      <c r="P1158" s="122">
        <v>8.14</v>
      </c>
      <c r="Q1158" s="122">
        <v>7.7</v>
      </c>
      <c r="R1158" s="122">
        <v>7.96</v>
      </c>
      <c r="S1158" s="122">
        <v>5.97</v>
      </c>
      <c r="T1158" s="123">
        <v>7544016</v>
      </c>
    </row>
    <row r="1159" spans="6:20" x14ac:dyDescent="0.3">
      <c r="F1159" s="124">
        <v>1153</v>
      </c>
      <c r="G1159" s="33">
        <f t="shared" ca="1" si="30"/>
        <v>2.1872559518966186E-2</v>
      </c>
      <c r="N1159" s="118" t="s">
        <v>1528</v>
      </c>
      <c r="O1159" s="122">
        <v>7.47</v>
      </c>
      <c r="P1159" s="122">
        <v>8.07</v>
      </c>
      <c r="Q1159" s="122">
        <v>7.38</v>
      </c>
      <c r="R1159" s="122">
        <v>7.95</v>
      </c>
      <c r="S1159" s="122">
        <v>5.96</v>
      </c>
      <c r="T1159" s="123">
        <v>7658484</v>
      </c>
    </row>
    <row r="1160" spans="6:20" x14ac:dyDescent="0.3">
      <c r="F1160" s="124">
        <v>1154</v>
      </c>
      <c r="G1160" s="33">
        <f t="shared" ref="G1160:G1223" ca="1" si="31">_xlfn.NORM.INV(RAND(),$M$9,$M$10)</f>
        <v>5.6899750884235175E-3</v>
      </c>
      <c r="N1160" s="118" t="s">
        <v>1529</v>
      </c>
      <c r="O1160" s="122">
        <v>7.5</v>
      </c>
      <c r="P1160" s="122">
        <v>8.11</v>
      </c>
      <c r="Q1160" s="122">
        <v>7.45</v>
      </c>
      <c r="R1160" s="122">
        <v>7.49</v>
      </c>
      <c r="S1160" s="122">
        <v>5.61</v>
      </c>
      <c r="T1160" s="123">
        <v>9518910</v>
      </c>
    </row>
    <row r="1161" spans="6:20" x14ac:dyDescent="0.3">
      <c r="F1161" s="124">
        <v>1155</v>
      </c>
      <c r="G1161" s="33">
        <f t="shared" ca="1" si="31"/>
        <v>1.8626519363111355E-2</v>
      </c>
      <c r="N1161" s="118" t="s">
        <v>1530</v>
      </c>
      <c r="O1161" s="122">
        <v>7.59</v>
      </c>
      <c r="P1161" s="122">
        <v>7.86</v>
      </c>
      <c r="Q1161" s="122">
        <v>7.34</v>
      </c>
      <c r="R1161" s="122">
        <v>7.4</v>
      </c>
      <c r="S1161" s="122">
        <v>5.55</v>
      </c>
      <c r="T1161" s="123">
        <v>9769524</v>
      </c>
    </row>
    <row r="1162" spans="6:20" x14ac:dyDescent="0.3">
      <c r="F1162" s="124">
        <v>1156</v>
      </c>
      <c r="G1162" s="33">
        <f t="shared" ca="1" si="31"/>
        <v>3.8455483296126289E-2</v>
      </c>
      <c r="N1162" s="118" t="s">
        <v>1531</v>
      </c>
      <c r="O1162" s="122">
        <v>6.68</v>
      </c>
      <c r="P1162" s="122">
        <v>7.61</v>
      </c>
      <c r="Q1162" s="122">
        <v>6.68</v>
      </c>
      <c r="R1162" s="122">
        <v>7.45</v>
      </c>
      <c r="S1162" s="122">
        <v>5.58</v>
      </c>
      <c r="T1162" s="123">
        <v>14489628</v>
      </c>
    </row>
    <row r="1163" spans="6:20" x14ac:dyDescent="0.3">
      <c r="F1163" s="124">
        <v>1157</v>
      </c>
      <c r="G1163" s="33">
        <f t="shared" ca="1" si="31"/>
        <v>2.3691094639234102E-2</v>
      </c>
      <c r="N1163" s="118" t="s">
        <v>1532</v>
      </c>
      <c r="O1163" s="122">
        <v>6.97</v>
      </c>
      <c r="P1163" s="122">
        <v>7.21</v>
      </c>
      <c r="Q1163" s="122">
        <v>6.59</v>
      </c>
      <c r="R1163" s="122">
        <v>6.68</v>
      </c>
      <c r="S1163" s="122">
        <v>5.01</v>
      </c>
      <c r="T1163" s="123">
        <v>12121398</v>
      </c>
    </row>
    <row r="1164" spans="6:20" x14ac:dyDescent="0.3">
      <c r="F1164" s="124">
        <v>1158</v>
      </c>
      <c r="G1164" s="33">
        <f t="shared" ca="1" si="31"/>
        <v>0.10071196957396289</v>
      </c>
      <c r="N1164" s="118" t="s">
        <v>1533</v>
      </c>
      <c r="O1164" s="122">
        <v>6.03</v>
      </c>
      <c r="P1164" s="122">
        <v>7.15</v>
      </c>
      <c r="Q1164" s="122">
        <v>6.03</v>
      </c>
      <c r="R1164" s="122">
        <v>6.86</v>
      </c>
      <c r="S1164" s="122">
        <v>5.15</v>
      </c>
      <c r="T1164" s="123">
        <v>10140138</v>
      </c>
    </row>
    <row r="1165" spans="6:20" x14ac:dyDescent="0.3">
      <c r="F1165" s="124">
        <v>1159</v>
      </c>
      <c r="G1165" s="33">
        <f t="shared" ca="1" si="31"/>
        <v>-7.4238194258821735E-2</v>
      </c>
      <c r="N1165" s="118" t="s">
        <v>1534</v>
      </c>
      <c r="O1165" s="122">
        <v>6.64</v>
      </c>
      <c r="P1165" s="122">
        <v>6.66</v>
      </c>
      <c r="Q1165" s="122">
        <v>5.16</v>
      </c>
      <c r="R1165" s="122">
        <v>6.06</v>
      </c>
      <c r="S1165" s="122">
        <v>4.54</v>
      </c>
      <c r="T1165" s="123">
        <v>6064530</v>
      </c>
    </row>
    <row r="1166" spans="6:20" x14ac:dyDescent="0.3">
      <c r="F1166" s="124">
        <v>1160</v>
      </c>
      <c r="G1166" s="33">
        <f t="shared" ca="1" si="31"/>
        <v>2.5042218610278874E-2</v>
      </c>
      <c r="N1166" s="118" t="s">
        <v>1535</v>
      </c>
      <c r="O1166" s="122">
        <v>6.28</v>
      </c>
      <c r="P1166" s="122">
        <v>6.66</v>
      </c>
      <c r="Q1166" s="122">
        <v>6.13</v>
      </c>
      <c r="R1166" s="122">
        <v>6.41</v>
      </c>
      <c r="S1166" s="122">
        <v>4.8099999999999996</v>
      </c>
      <c r="T1166" s="123">
        <v>4124862</v>
      </c>
    </row>
    <row r="1167" spans="6:20" x14ac:dyDescent="0.3">
      <c r="F1167" s="124">
        <v>1161</v>
      </c>
      <c r="G1167" s="33">
        <f t="shared" ca="1" si="31"/>
        <v>4.0942325431384489E-3</v>
      </c>
      <c r="N1167" s="118" t="s">
        <v>1536</v>
      </c>
      <c r="O1167" s="122">
        <v>6.41</v>
      </c>
      <c r="P1167" s="122">
        <v>6.49</v>
      </c>
      <c r="Q1167" s="122">
        <v>6</v>
      </c>
      <c r="R1167" s="122">
        <v>6.21</v>
      </c>
      <c r="S1167" s="122">
        <v>4.66</v>
      </c>
      <c r="T1167" s="123">
        <v>2099094</v>
      </c>
    </row>
    <row r="1168" spans="6:20" x14ac:dyDescent="0.3">
      <c r="F1168" s="124">
        <v>1162</v>
      </c>
      <c r="G1168" s="33">
        <f t="shared" ca="1" si="31"/>
        <v>4.0066420405567675E-2</v>
      </c>
      <c r="N1168" s="118" t="s">
        <v>1537</v>
      </c>
      <c r="O1168" s="122">
        <v>6.74</v>
      </c>
      <c r="P1168" s="122">
        <v>6.75</v>
      </c>
      <c r="Q1168" s="122">
        <v>6.41</v>
      </c>
      <c r="R1168" s="122">
        <v>6.49</v>
      </c>
      <c r="S1168" s="122">
        <v>4.8600000000000003</v>
      </c>
      <c r="T1168" s="123">
        <v>840078</v>
      </c>
    </row>
    <row r="1169" spans="6:20" x14ac:dyDescent="0.3">
      <c r="F1169" s="124">
        <v>1163</v>
      </c>
      <c r="G1169" s="33">
        <f t="shared" ca="1" si="31"/>
        <v>2.8263453746487928E-2</v>
      </c>
      <c r="N1169" s="118" t="s">
        <v>1538</v>
      </c>
      <c r="O1169" s="122">
        <v>6.57</v>
      </c>
      <c r="P1169" s="122">
        <v>6.84</v>
      </c>
      <c r="Q1169" s="122">
        <v>6.28</v>
      </c>
      <c r="R1169" s="122">
        <v>6.64</v>
      </c>
      <c r="S1169" s="122">
        <v>4.9800000000000004</v>
      </c>
      <c r="T1169" s="123">
        <v>2525754</v>
      </c>
    </row>
    <row r="1170" spans="6:20" x14ac:dyDescent="0.3">
      <c r="F1170" s="124">
        <v>1164</v>
      </c>
      <c r="G1170" s="33">
        <f t="shared" ca="1" si="31"/>
        <v>-2.5115592161384266E-2</v>
      </c>
      <c r="N1170" s="118" t="s">
        <v>1539</v>
      </c>
      <c r="O1170" s="122">
        <v>6.18</v>
      </c>
      <c r="P1170" s="122">
        <v>6.65</v>
      </c>
      <c r="Q1170" s="122">
        <v>5.71</v>
      </c>
      <c r="R1170" s="122">
        <v>6.44</v>
      </c>
      <c r="S1170" s="122">
        <v>4.83</v>
      </c>
      <c r="T1170" s="123">
        <v>2604120</v>
      </c>
    </row>
    <row r="1171" spans="6:20" x14ac:dyDescent="0.3">
      <c r="F1171" s="124">
        <v>1165</v>
      </c>
      <c r="G1171" s="33">
        <f t="shared" ca="1" si="31"/>
        <v>2.2151776327974153E-2</v>
      </c>
      <c r="N1171" s="118" t="s">
        <v>1540</v>
      </c>
      <c r="O1171" s="122">
        <v>6.76</v>
      </c>
      <c r="P1171" s="122">
        <v>6.78</v>
      </c>
      <c r="Q1171" s="122">
        <v>6.01</v>
      </c>
      <c r="R1171" s="122">
        <v>6.2</v>
      </c>
      <c r="S1171" s="122">
        <v>4.6500000000000004</v>
      </c>
      <c r="T1171" s="123">
        <v>3384408</v>
      </c>
    </row>
    <row r="1172" spans="6:20" x14ac:dyDescent="0.3">
      <c r="F1172" s="124">
        <v>1166</v>
      </c>
      <c r="G1172" s="33">
        <f t="shared" ca="1" si="31"/>
        <v>-1.4360958915941857E-2</v>
      </c>
      <c r="N1172" s="118" t="s">
        <v>1541</v>
      </c>
      <c r="O1172" s="122">
        <v>7.03</v>
      </c>
      <c r="P1172" s="122">
        <v>7.16</v>
      </c>
      <c r="Q1172" s="122">
        <v>6.66</v>
      </c>
      <c r="R1172" s="122">
        <v>6.74</v>
      </c>
      <c r="S1172" s="122">
        <v>5.05</v>
      </c>
      <c r="T1172" s="123">
        <v>2686152</v>
      </c>
    </row>
    <row r="1173" spans="6:20" x14ac:dyDescent="0.3">
      <c r="F1173" s="124">
        <v>1167</v>
      </c>
      <c r="G1173" s="33">
        <f t="shared" ca="1" si="31"/>
        <v>-2.5200282117244493E-2</v>
      </c>
      <c r="N1173" s="118" t="s">
        <v>1542</v>
      </c>
      <c r="O1173" s="122">
        <v>7.29</v>
      </c>
      <c r="P1173" s="122">
        <v>7.32</v>
      </c>
      <c r="Q1173" s="122">
        <v>6.91</v>
      </c>
      <c r="R1173" s="122">
        <v>6.99</v>
      </c>
      <c r="S1173" s="122">
        <v>5.24</v>
      </c>
      <c r="T1173" s="123">
        <v>1728300</v>
      </c>
    </row>
    <row r="1174" spans="6:20" x14ac:dyDescent="0.3">
      <c r="F1174" s="124">
        <v>1168</v>
      </c>
      <c r="G1174" s="33">
        <f t="shared" ca="1" si="31"/>
        <v>-6.6846290876167683E-2</v>
      </c>
      <c r="N1174" s="118" t="s">
        <v>1543</v>
      </c>
      <c r="O1174" s="122">
        <v>7.29</v>
      </c>
      <c r="P1174" s="122">
        <v>7.4</v>
      </c>
      <c r="Q1174" s="122">
        <v>7.13</v>
      </c>
      <c r="R1174" s="122">
        <v>7.26</v>
      </c>
      <c r="S1174" s="122">
        <v>5.44</v>
      </c>
      <c r="T1174" s="123">
        <v>3148776</v>
      </c>
    </row>
    <row r="1175" spans="6:20" x14ac:dyDescent="0.3">
      <c r="F1175" s="124">
        <v>1169</v>
      </c>
      <c r="G1175" s="33">
        <f t="shared" ca="1" si="31"/>
        <v>-4.7857259220039625E-2</v>
      </c>
      <c r="N1175" s="118" t="s">
        <v>1544</v>
      </c>
      <c r="O1175" s="122">
        <v>7.44</v>
      </c>
      <c r="P1175" s="122">
        <v>7.46</v>
      </c>
      <c r="Q1175" s="122">
        <v>7.04</v>
      </c>
      <c r="R1175" s="122">
        <v>7.31</v>
      </c>
      <c r="S1175" s="122">
        <v>5.48</v>
      </c>
      <c r="T1175" s="123">
        <v>3423618</v>
      </c>
    </row>
    <row r="1176" spans="6:20" x14ac:dyDescent="0.3">
      <c r="F1176" s="124">
        <v>1170</v>
      </c>
      <c r="G1176" s="33">
        <f t="shared" ca="1" si="31"/>
        <v>-1.204726034751542E-2</v>
      </c>
      <c r="N1176" s="118" t="s">
        <v>1545</v>
      </c>
      <c r="O1176" s="122">
        <v>7.34</v>
      </c>
      <c r="P1176" s="122">
        <v>7.84</v>
      </c>
      <c r="Q1176" s="122">
        <v>7.34</v>
      </c>
      <c r="R1176" s="122">
        <v>7.39</v>
      </c>
      <c r="S1176" s="122">
        <v>5.54</v>
      </c>
      <c r="T1176" s="123">
        <v>3432912</v>
      </c>
    </row>
    <row r="1177" spans="6:20" x14ac:dyDescent="0.3">
      <c r="F1177" s="124">
        <v>1171</v>
      </c>
      <c r="G1177" s="33">
        <f t="shared" ca="1" si="31"/>
        <v>-8.6941175356350271E-3</v>
      </c>
      <c r="N1177" s="118" t="s">
        <v>1546</v>
      </c>
      <c r="O1177" s="122">
        <v>7.49</v>
      </c>
      <c r="P1177" s="122">
        <v>7.49</v>
      </c>
      <c r="Q1177" s="122">
        <v>7.21</v>
      </c>
      <c r="R1177" s="122">
        <v>7.25</v>
      </c>
      <c r="S1177" s="122">
        <v>5.44</v>
      </c>
      <c r="T1177" s="123">
        <v>1859730</v>
      </c>
    </row>
    <row r="1178" spans="6:20" x14ac:dyDescent="0.3">
      <c r="F1178" s="124">
        <v>1172</v>
      </c>
      <c r="G1178" s="33">
        <f t="shared" ca="1" si="31"/>
        <v>-1.6138217806194788E-2</v>
      </c>
      <c r="N1178" s="118" t="s">
        <v>1547</v>
      </c>
      <c r="O1178" s="122">
        <v>7.59</v>
      </c>
      <c r="P1178" s="122">
        <v>7.84</v>
      </c>
      <c r="Q1178" s="122">
        <v>7.38</v>
      </c>
      <c r="R1178" s="122">
        <v>7.47</v>
      </c>
      <c r="S1178" s="122">
        <v>5.6</v>
      </c>
      <c r="T1178" s="123">
        <v>3556722</v>
      </c>
    </row>
    <row r="1179" spans="6:20" x14ac:dyDescent="0.3">
      <c r="F1179" s="124">
        <v>1173</v>
      </c>
      <c r="G1179" s="33">
        <f t="shared" ca="1" si="31"/>
        <v>4.629695709789259E-2</v>
      </c>
      <c r="N1179" s="118" t="s">
        <v>1548</v>
      </c>
      <c r="O1179" s="122">
        <v>7.9</v>
      </c>
      <c r="P1179" s="122">
        <v>7.99</v>
      </c>
      <c r="Q1179" s="122">
        <v>7.5</v>
      </c>
      <c r="R1179" s="122">
        <v>7.57</v>
      </c>
      <c r="S1179" s="122">
        <v>5.67</v>
      </c>
      <c r="T1179" s="123">
        <v>7740036</v>
      </c>
    </row>
    <row r="1180" spans="6:20" x14ac:dyDescent="0.3">
      <c r="F1180" s="124">
        <v>1174</v>
      </c>
      <c r="G1180" s="33">
        <f t="shared" ca="1" si="31"/>
        <v>-3.831448100469393E-2</v>
      </c>
      <c r="N1180" s="118" t="s">
        <v>1549</v>
      </c>
      <c r="O1180" s="122">
        <v>7.91</v>
      </c>
      <c r="P1180" s="122">
        <v>8.75</v>
      </c>
      <c r="Q1180" s="122">
        <v>7.76</v>
      </c>
      <c r="R1180" s="122">
        <v>7.89</v>
      </c>
      <c r="S1180" s="122">
        <v>5.91</v>
      </c>
      <c r="T1180" s="123">
        <v>51375510</v>
      </c>
    </row>
    <row r="1181" spans="6:20" x14ac:dyDescent="0.3">
      <c r="F1181" s="124">
        <v>1175</v>
      </c>
      <c r="G1181" s="33">
        <f t="shared" ca="1" si="31"/>
        <v>-5.3018434487341747E-2</v>
      </c>
      <c r="N1181" s="118" t="s">
        <v>1550</v>
      </c>
      <c r="O1181" s="122">
        <v>7.41</v>
      </c>
      <c r="P1181" s="122">
        <v>8.0399999999999991</v>
      </c>
      <c r="Q1181" s="122">
        <v>7.28</v>
      </c>
      <c r="R1181" s="122">
        <v>7.93</v>
      </c>
      <c r="S1181" s="122">
        <v>5.95</v>
      </c>
      <c r="T1181" s="123">
        <v>9497166</v>
      </c>
    </row>
    <row r="1182" spans="6:20" x14ac:dyDescent="0.3">
      <c r="F1182" s="124">
        <v>1176</v>
      </c>
      <c r="G1182" s="33">
        <f t="shared" ca="1" si="31"/>
        <v>-5.6306120344107674E-2</v>
      </c>
      <c r="N1182" s="118" t="s">
        <v>1551</v>
      </c>
      <c r="O1182" s="122">
        <v>7.34</v>
      </c>
      <c r="P1182" s="122">
        <v>7.53</v>
      </c>
      <c r="Q1182" s="122">
        <v>7.25</v>
      </c>
      <c r="R1182" s="122">
        <v>7.43</v>
      </c>
      <c r="S1182" s="122">
        <v>5.57</v>
      </c>
      <c r="T1182" s="123">
        <v>2085834</v>
      </c>
    </row>
    <row r="1183" spans="6:20" x14ac:dyDescent="0.3">
      <c r="F1183" s="124">
        <v>1177</v>
      </c>
      <c r="G1183" s="33">
        <f t="shared" ca="1" si="31"/>
        <v>-1.4491500767324594E-2</v>
      </c>
      <c r="N1183" s="118" t="s">
        <v>1552</v>
      </c>
      <c r="O1183" s="122">
        <v>7.25</v>
      </c>
      <c r="P1183" s="122">
        <v>7.49</v>
      </c>
      <c r="Q1183" s="122">
        <v>7.24</v>
      </c>
      <c r="R1183" s="122">
        <v>7.32</v>
      </c>
      <c r="S1183" s="122">
        <v>5.49</v>
      </c>
      <c r="T1183" s="123">
        <v>2081316</v>
      </c>
    </row>
    <row r="1184" spans="6:20" x14ac:dyDescent="0.3">
      <c r="F1184" s="124">
        <v>1178</v>
      </c>
      <c r="G1184" s="33">
        <f t="shared" ca="1" si="31"/>
        <v>-1.6095950320428373E-2</v>
      </c>
      <c r="N1184" s="118" t="s">
        <v>1553</v>
      </c>
      <c r="O1184" s="122">
        <v>7.57</v>
      </c>
      <c r="P1184" s="122">
        <v>7.57</v>
      </c>
      <c r="Q1184" s="122">
        <v>7.3</v>
      </c>
      <c r="R1184" s="122">
        <v>7.34</v>
      </c>
      <c r="S1184" s="122">
        <v>5.5</v>
      </c>
      <c r="T1184" s="123">
        <v>717612</v>
      </c>
    </row>
    <row r="1185" spans="6:20" x14ac:dyDescent="0.3">
      <c r="F1185" s="124">
        <v>1179</v>
      </c>
      <c r="G1185" s="33">
        <f t="shared" ca="1" si="31"/>
        <v>-1.8495569569964596E-2</v>
      </c>
      <c r="N1185" s="118" t="s">
        <v>1554</v>
      </c>
      <c r="O1185" s="122">
        <v>7.44</v>
      </c>
      <c r="P1185" s="122">
        <v>7.59</v>
      </c>
      <c r="Q1185" s="122">
        <v>7.29</v>
      </c>
      <c r="R1185" s="122">
        <v>7.39</v>
      </c>
      <c r="S1185" s="122">
        <v>5.54</v>
      </c>
      <c r="T1185" s="123">
        <v>1882938</v>
      </c>
    </row>
    <row r="1186" spans="6:20" x14ac:dyDescent="0.3">
      <c r="F1186" s="124">
        <v>1180</v>
      </c>
      <c r="G1186" s="33">
        <f t="shared" ca="1" si="31"/>
        <v>-1.2553150207275401E-2</v>
      </c>
      <c r="N1186" s="118" t="s">
        <v>1555</v>
      </c>
      <c r="O1186" s="122">
        <v>7.49</v>
      </c>
      <c r="P1186" s="122">
        <v>7.53</v>
      </c>
      <c r="Q1186" s="122">
        <v>7.34</v>
      </c>
      <c r="R1186" s="122">
        <v>7.35</v>
      </c>
      <c r="S1186" s="122">
        <v>5.51</v>
      </c>
      <c r="T1186" s="123">
        <v>1623870</v>
      </c>
    </row>
    <row r="1187" spans="6:20" x14ac:dyDescent="0.3">
      <c r="F1187" s="124">
        <v>1181</v>
      </c>
      <c r="G1187" s="33">
        <f t="shared" ca="1" si="31"/>
        <v>-1.9510401298759323E-2</v>
      </c>
      <c r="N1187" s="118" t="s">
        <v>1556</v>
      </c>
      <c r="O1187" s="122">
        <v>7.49</v>
      </c>
      <c r="P1187" s="122">
        <v>7.57</v>
      </c>
      <c r="Q1187" s="122">
        <v>7.28</v>
      </c>
      <c r="R1187" s="122">
        <v>7.44</v>
      </c>
      <c r="S1187" s="122">
        <v>5.58</v>
      </c>
      <c r="T1187" s="123">
        <v>5985102</v>
      </c>
    </row>
    <row r="1188" spans="6:20" x14ac:dyDescent="0.3">
      <c r="F1188" s="124">
        <v>1182</v>
      </c>
      <c r="G1188" s="33">
        <f t="shared" ca="1" si="31"/>
        <v>2.4554400907794979E-2</v>
      </c>
      <c r="N1188" s="118" t="s">
        <v>1557</v>
      </c>
      <c r="O1188" s="122">
        <v>7.49</v>
      </c>
      <c r="P1188" s="122">
        <v>7.61</v>
      </c>
      <c r="Q1188" s="122">
        <v>7.38</v>
      </c>
      <c r="R1188" s="122">
        <v>7.43</v>
      </c>
      <c r="S1188" s="122">
        <v>5.57</v>
      </c>
      <c r="T1188" s="123">
        <v>2487840</v>
      </c>
    </row>
    <row r="1189" spans="6:20" x14ac:dyDescent="0.3">
      <c r="F1189" s="124">
        <v>1183</v>
      </c>
      <c r="G1189" s="33">
        <f t="shared" ca="1" si="31"/>
        <v>4.020634027637375E-2</v>
      </c>
      <c r="N1189" s="118" t="s">
        <v>1558</v>
      </c>
      <c r="O1189" s="122">
        <v>7.5</v>
      </c>
      <c r="P1189" s="122">
        <v>7.51</v>
      </c>
      <c r="Q1189" s="122">
        <v>7.34</v>
      </c>
      <c r="R1189" s="122">
        <v>7.39</v>
      </c>
      <c r="S1189" s="122">
        <v>5.54</v>
      </c>
      <c r="T1189" s="123">
        <v>666522</v>
      </c>
    </row>
    <row r="1190" spans="6:20" x14ac:dyDescent="0.3">
      <c r="F1190" s="124">
        <v>1184</v>
      </c>
      <c r="G1190" s="33">
        <f t="shared" ca="1" si="31"/>
        <v>-1.0219949690454144E-2</v>
      </c>
      <c r="N1190" s="118" t="s">
        <v>1559</v>
      </c>
      <c r="O1190" s="122">
        <v>7.54</v>
      </c>
      <c r="P1190" s="122">
        <v>7.55</v>
      </c>
      <c r="Q1190" s="122">
        <v>7.28</v>
      </c>
      <c r="R1190" s="122">
        <v>7.34</v>
      </c>
      <c r="S1190" s="122">
        <v>5.44</v>
      </c>
      <c r="T1190" s="123">
        <v>648012</v>
      </c>
    </row>
    <row r="1191" spans="6:20" x14ac:dyDescent="0.3">
      <c r="F1191" s="124">
        <v>1185</v>
      </c>
      <c r="G1191" s="33">
        <f t="shared" ca="1" si="31"/>
        <v>-5.113561373080143E-2</v>
      </c>
      <c r="N1191" s="118" t="s">
        <v>1560</v>
      </c>
      <c r="O1191" s="122">
        <v>7.5</v>
      </c>
      <c r="P1191" s="122">
        <v>7.59</v>
      </c>
      <c r="Q1191" s="122">
        <v>7.41</v>
      </c>
      <c r="R1191" s="122">
        <v>7.45</v>
      </c>
      <c r="S1191" s="122">
        <v>5.52</v>
      </c>
      <c r="T1191" s="123">
        <v>413730</v>
      </c>
    </row>
    <row r="1192" spans="6:20" x14ac:dyDescent="0.3">
      <c r="F1192" s="124">
        <v>1186</v>
      </c>
      <c r="G1192" s="33">
        <f t="shared" ca="1" si="31"/>
        <v>8.8970024201415528E-3</v>
      </c>
      <c r="N1192" s="118" t="s">
        <v>1561</v>
      </c>
      <c r="O1192" s="122">
        <v>7.57</v>
      </c>
      <c r="P1192" s="122">
        <v>7.66</v>
      </c>
      <c r="Q1192" s="122">
        <v>7.3</v>
      </c>
      <c r="R1192" s="122">
        <v>7.43</v>
      </c>
      <c r="S1192" s="122">
        <v>5.51</v>
      </c>
      <c r="T1192" s="123">
        <v>1708200</v>
      </c>
    </row>
    <row r="1193" spans="6:20" x14ac:dyDescent="0.3">
      <c r="F1193" s="124">
        <v>1187</v>
      </c>
      <c r="G1193" s="33">
        <f t="shared" ca="1" si="31"/>
        <v>7.3667752148628529E-2</v>
      </c>
      <c r="N1193" s="118" t="s">
        <v>1562</v>
      </c>
      <c r="O1193" s="122">
        <v>7.53</v>
      </c>
      <c r="P1193" s="122">
        <v>7.61</v>
      </c>
      <c r="Q1193" s="122">
        <v>7.47</v>
      </c>
      <c r="R1193" s="122">
        <v>7.51</v>
      </c>
      <c r="S1193" s="122">
        <v>5.57</v>
      </c>
      <c r="T1193" s="123">
        <v>1092738</v>
      </c>
    </row>
    <row r="1194" spans="6:20" x14ac:dyDescent="0.3">
      <c r="F1194" s="124">
        <v>1188</v>
      </c>
      <c r="G1194" s="33">
        <f t="shared" ca="1" si="31"/>
        <v>-5.5657733455351096E-3</v>
      </c>
      <c r="N1194" s="118" t="s">
        <v>1563</v>
      </c>
      <c r="O1194" s="122">
        <v>7.8</v>
      </c>
      <c r="P1194" s="122">
        <v>7.8</v>
      </c>
      <c r="Q1194" s="122">
        <v>7.46</v>
      </c>
      <c r="R1194" s="122">
        <v>7.51</v>
      </c>
      <c r="S1194" s="122">
        <v>5.57</v>
      </c>
      <c r="T1194" s="123">
        <v>647670</v>
      </c>
    </row>
    <row r="1195" spans="6:20" x14ac:dyDescent="0.3">
      <c r="F1195" s="124">
        <v>1189</v>
      </c>
      <c r="G1195" s="33">
        <f t="shared" ca="1" si="31"/>
        <v>1.3813138785218081E-2</v>
      </c>
      <c r="N1195" s="118" t="s">
        <v>1564</v>
      </c>
      <c r="O1195" s="122">
        <v>7.66</v>
      </c>
      <c r="P1195" s="122">
        <v>7.74</v>
      </c>
      <c r="Q1195" s="122">
        <v>7.5</v>
      </c>
      <c r="R1195" s="122">
        <v>7.53</v>
      </c>
      <c r="S1195" s="122">
        <v>5.58</v>
      </c>
      <c r="T1195" s="123">
        <v>859308</v>
      </c>
    </row>
    <row r="1196" spans="6:20" x14ac:dyDescent="0.3">
      <c r="F1196" s="124">
        <v>1190</v>
      </c>
      <c r="G1196" s="33">
        <f t="shared" ca="1" si="31"/>
        <v>-4.6386554464922132E-2</v>
      </c>
      <c r="N1196" s="118" t="s">
        <v>1565</v>
      </c>
      <c r="O1196" s="122">
        <v>7.82</v>
      </c>
      <c r="P1196" s="122">
        <v>7.84</v>
      </c>
      <c r="Q1196" s="122">
        <v>7.54</v>
      </c>
      <c r="R1196" s="122">
        <v>7.7</v>
      </c>
      <c r="S1196" s="122">
        <v>5.71</v>
      </c>
      <c r="T1196" s="123">
        <v>630222</v>
      </c>
    </row>
    <row r="1197" spans="6:20" x14ac:dyDescent="0.3">
      <c r="F1197" s="124">
        <v>1191</v>
      </c>
      <c r="G1197" s="33">
        <f t="shared" ca="1" si="31"/>
        <v>1.8976736884143478E-2</v>
      </c>
      <c r="N1197" s="118" t="s">
        <v>1566</v>
      </c>
      <c r="O1197" s="122">
        <v>7.66</v>
      </c>
      <c r="P1197" s="122">
        <v>7.82</v>
      </c>
      <c r="Q1197" s="122">
        <v>7.55</v>
      </c>
      <c r="R1197" s="122">
        <v>7.75</v>
      </c>
      <c r="S1197" s="122">
        <v>5.74</v>
      </c>
      <c r="T1197" s="123">
        <v>801576</v>
      </c>
    </row>
    <row r="1198" spans="6:20" x14ac:dyDescent="0.3">
      <c r="F1198" s="124">
        <v>1192</v>
      </c>
      <c r="G1198" s="33">
        <f t="shared" ca="1" si="31"/>
        <v>8.2071262141225107E-2</v>
      </c>
      <c r="N1198" s="118" t="s">
        <v>1567</v>
      </c>
      <c r="O1198" s="122">
        <v>7.91</v>
      </c>
      <c r="P1198" s="122">
        <v>8.16</v>
      </c>
      <c r="Q1198" s="122">
        <v>7.41</v>
      </c>
      <c r="R1198" s="122">
        <v>7.57</v>
      </c>
      <c r="S1198" s="122">
        <v>5.61</v>
      </c>
      <c r="T1198" s="123">
        <v>2008842</v>
      </c>
    </row>
    <row r="1199" spans="6:20" x14ac:dyDescent="0.3">
      <c r="F1199" s="124">
        <v>1193</v>
      </c>
      <c r="G1199" s="33">
        <f t="shared" ca="1" si="31"/>
        <v>1.7547437948066985E-2</v>
      </c>
      <c r="N1199" s="118" t="s">
        <v>1568</v>
      </c>
      <c r="O1199" s="122">
        <v>8.0399999999999991</v>
      </c>
      <c r="P1199" s="122">
        <v>8.16</v>
      </c>
      <c r="Q1199" s="122">
        <v>7.79</v>
      </c>
      <c r="R1199" s="122">
        <v>7.82</v>
      </c>
      <c r="S1199" s="122">
        <v>5.79</v>
      </c>
      <c r="T1199" s="123">
        <v>688254</v>
      </c>
    </row>
    <row r="1200" spans="6:20" x14ac:dyDescent="0.3">
      <c r="F1200" s="124">
        <v>1194</v>
      </c>
      <c r="G1200" s="33">
        <f t="shared" ca="1" si="31"/>
        <v>-4.0305473865358751E-2</v>
      </c>
      <c r="N1200" s="118" t="s">
        <v>1569</v>
      </c>
      <c r="O1200" s="122">
        <v>8.09</v>
      </c>
      <c r="P1200" s="122">
        <v>8.98</v>
      </c>
      <c r="Q1200" s="122">
        <v>7.88</v>
      </c>
      <c r="R1200" s="122">
        <v>7.99</v>
      </c>
      <c r="S1200" s="122">
        <v>5.92</v>
      </c>
      <c r="T1200" s="123">
        <v>1250214</v>
      </c>
    </row>
    <row r="1201" spans="6:20" x14ac:dyDescent="0.3">
      <c r="F1201" s="124">
        <v>1195</v>
      </c>
      <c r="G1201" s="33">
        <f t="shared" ca="1" si="31"/>
        <v>-4.2899881107194705E-2</v>
      </c>
      <c r="N1201" s="118" t="s">
        <v>1570</v>
      </c>
      <c r="O1201" s="122">
        <v>8.2100000000000009</v>
      </c>
      <c r="P1201" s="122">
        <v>8.2100000000000009</v>
      </c>
      <c r="Q1201" s="122">
        <v>7.86</v>
      </c>
      <c r="R1201" s="122">
        <v>7.97</v>
      </c>
      <c r="S1201" s="122">
        <v>5.9</v>
      </c>
      <c r="T1201" s="123">
        <v>1261284</v>
      </c>
    </row>
    <row r="1202" spans="6:20" x14ac:dyDescent="0.3">
      <c r="F1202" s="124">
        <v>1196</v>
      </c>
      <c r="G1202" s="33">
        <f t="shared" ca="1" si="31"/>
        <v>3.0635135418740116E-2</v>
      </c>
      <c r="N1202" s="118" t="s">
        <v>1571</v>
      </c>
      <c r="O1202" s="122">
        <v>8.25</v>
      </c>
      <c r="P1202" s="122">
        <v>8.25</v>
      </c>
      <c r="Q1202" s="122">
        <v>7.97</v>
      </c>
      <c r="R1202" s="122">
        <v>8.11</v>
      </c>
      <c r="S1202" s="122">
        <v>6.01</v>
      </c>
      <c r="T1202" s="123">
        <v>1053408</v>
      </c>
    </row>
    <row r="1203" spans="6:20" x14ac:dyDescent="0.3">
      <c r="F1203" s="124">
        <v>1197</v>
      </c>
      <c r="G1203" s="33">
        <f t="shared" ca="1" si="31"/>
        <v>-1.9042451982312997E-2</v>
      </c>
      <c r="N1203" s="118" t="s">
        <v>1572</v>
      </c>
      <c r="O1203" s="122">
        <v>8.09</v>
      </c>
      <c r="P1203" s="122">
        <v>8.3000000000000007</v>
      </c>
      <c r="Q1203" s="122">
        <v>7.94</v>
      </c>
      <c r="R1203" s="122">
        <v>8.11</v>
      </c>
      <c r="S1203" s="122">
        <v>6.01</v>
      </c>
      <c r="T1203" s="123">
        <v>1043472</v>
      </c>
    </row>
    <row r="1204" spans="6:20" x14ac:dyDescent="0.3">
      <c r="F1204" s="124">
        <v>1198</v>
      </c>
      <c r="G1204" s="33">
        <f t="shared" ca="1" si="31"/>
        <v>-1.206478340950844E-2</v>
      </c>
      <c r="N1204" s="118" t="s">
        <v>1573</v>
      </c>
      <c r="O1204" s="122">
        <v>8.09</v>
      </c>
      <c r="P1204" s="122">
        <v>8.48</v>
      </c>
      <c r="Q1204" s="122">
        <v>7.72</v>
      </c>
      <c r="R1204" s="122">
        <v>8.06</v>
      </c>
      <c r="S1204" s="122">
        <v>5.97</v>
      </c>
      <c r="T1204" s="123">
        <v>2312904</v>
      </c>
    </row>
    <row r="1205" spans="6:20" x14ac:dyDescent="0.3">
      <c r="F1205" s="124">
        <v>1199</v>
      </c>
      <c r="G1205" s="33">
        <f t="shared" ca="1" si="31"/>
        <v>7.8189970582484003E-3</v>
      </c>
      <c r="N1205" s="118" t="s">
        <v>1574</v>
      </c>
      <c r="O1205" s="122">
        <v>8.06</v>
      </c>
      <c r="P1205" s="122">
        <v>8.2100000000000009</v>
      </c>
      <c r="Q1205" s="122">
        <v>7.53</v>
      </c>
      <c r="R1205" s="122">
        <v>7.97</v>
      </c>
      <c r="S1205" s="122">
        <v>5.91</v>
      </c>
      <c r="T1205" s="123">
        <v>2739324</v>
      </c>
    </row>
    <row r="1206" spans="6:20" x14ac:dyDescent="0.3">
      <c r="F1206" s="124">
        <v>1200</v>
      </c>
      <c r="G1206" s="33">
        <f t="shared" ca="1" si="31"/>
        <v>-4.9231458456288893E-3</v>
      </c>
      <c r="N1206" s="118" t="s">
        <v>1575</v>
      </c>
      <c r="O1206" s="122">
        <v>8.5</v>
      </c>
      <c r="P1206" s="122">
        <v>8.5</v>
      </c>
      <c r="Q1206" s="122">
        <v>7.82</v>
      </c>
      <c r="R1206" s="122">
        <v>7.97</v>
      </c>
      <c r="S1206" s="122">
        <v>5.9</v>
      </c>
      <c r="T1206" s="123">
        <v>4385718</v>
      </c>
    </row>
    <row r="1207" spans="6:20" x14ac:dyDescent="0.3">
      <c r="F1207" s="124">
        <v>1201</v>
      </c>
      <c r="G1207" s="33">
        <f t="shared" ca="1" si="31"/>
        <v>-7.4817102083638842E-2</v>
      </c>
      <c r="N1207" s="118" t="s">
        <v>1576</v>
      </c>
      <c r="O1207" s="122">
        <v>8.81</v>
      </c>
      <c r="P1207" s="122">
        <v>8.81</v>
      </c>
      <c r="Q1207" s="122">
        <v>8.39</v>
      </c>
      <c r="R1207" s="122">
        <v>8.4700000000000006</v>
      </c>
      <c r="S1207" s="122">
        <v>6.27</v>
      </c>
      <c r="T1207" s="123">
        <v>3688830</v>
      </c>
    </row>
    <row r="1208" spans="6:20" x14ac:dyDescent="0.3">
      <c r="F1208" s="124">
        <v>1202</v>
      </c>
      <c r="G1208" s="33">
        <f t="shared" ca="1" si="31"/>
        <v>5.5835308254410972E-2</v>
      </c>
      <c r="N1208" s="118" t="s">
        <v>1577</v>
      </c>
      <c r="O1208" s="122">
        <v>9.25</v>
      </c>
      <c r="P1208" s="122">
        <v>9.44</v>
      </c>
      <c r="Q1208" s="122">
        <v>8.73</v>
      </c>
      <c r="R1208" s="122">
        <v>8.7799999999999994</v>
      </c>
      <c r="S1208" s="122">
        <v>6.51</v>
      </c>
      <c r="T1208" s="123">
        <v>8054910</v>
      </c>
    </row>
    <row r="1209" spans="6:20" x14ac:dyDescent="0.3">
      <c r="F1209" s="124">
        <v>1203</v>
      </c>
      <c r="G1209" s="33">
        <f t="shared" ca="1" si="31"/>
        <v>-5.5922220903674227E-3</v>
      </c>
      <c r="N1209" s="118" t="s">
        <v>1578</v>
      </c>
      <c r="O1209" s="122">
        <v>8.61</v>
      </c>
      <c r="P1209" s="122">
        <v>9</v>
      </c>
      <c r="Q1209" s="122">
        <v>8.52</v>
      </c>
      <c r="R1209" s="122">
        <v>8.81</v>
      </c>
      <c r="S1209" s="122">
        <v>6.53</v>
      </c>
      <c r="T1209" s="123">
        <v>9289494</v>
      </c>
    </row>
    <row r="1210" spans="6:20" x14ac:dyDescent="0.3">
      <c r="F1210" s="124">
        <v>1204</v>
      </c>
      <c r="G1210" s="33">
        <f t="shared" ca="1" si="31"/>
        <v>-6.0494603861530501E-2</v>
      </c>
    </row>
    <row r="1211" spans="6:20" x14ac:dyDescent="0.3">
      <c r="F1211" s="124">
        <v>1205</v>
      </c>
      <c r="G1211" s="33">
        <f t="shared" ca="1" si="31"/>
        <v>4.3273515061640656E-2</v>
      </c>
    </row>
    <row r="1212" spans="6:20" x14ac:dyDescent="0.3">
      <c r="F1212" s="124">
        <v>1206</v>
      </c>
      <c r="G1212" s="33">
        <f t="shared" ca="1" si="31"/>
        <v>-4.7293940355005804E-3</v>
      </c>
    </row>
    <row r="1213" spans="6:20" x14ac:dyDescent="0.3">
      <c r="F1213" s="124">
        <v>1207</v>
      </c>
      <c r="G1213" s="33">
        <f t="shared" ca="1" si="31"/>
        <v>7.1575030433708364E-3</v>
      </c>
    </row>
    <row r="1214" spans="6:20" x14ac:dyDescent="0.3">
      <c r="F1214" s="124">
        <v>1208</v>
      </c>
      <c r="G1214" s="33">
        <f t="shared" ca="1" si="31"/>
        <v>3.0722746293221199E-2</v>
      </c>
    </row>
    <row r="1215" spans="6:20" x14ac:dyDescent="0.3">
      <c r="F1215" s="124">
        <v>1209</v>
      </c>
      <c r="G1215" s="33">
        <f t="shared" ca="1" si="31"/>
        <v>5.3359527142569661E-2</v>
      </c>
    </row>
    <row r="1216" spans="6:20" x14ac:dyDescent="0.3">
      <c r="F1216" s="124">
        <v>1210</v>
      </c>
      <c r="G1216" s="33">
        <f t="shared" ca="1" si="31"/>
        <v>-3.0781864153751438E-2</v>
      </c>
    </row>
    <row r="1217" spans="6:7" x14ac:dyDescent="0.3">
      <c r="F1217" s="124">
        <v>1211</v>
      </c>
      <c r="G1217" s="33">
        <f t="shared" ca="1" si="31"/>
        <v>2.348982841820399E-2</v>
      </c>
    </row>
    <row r="1218" spans="6:7" x14ac:dyDescent="0.3">
      <c r="F1218" s="124">
        <v>1212</v>
      </c>
      <c r="G1218" s="33">
        <f t="shared" ca="1" si="31"/>
        <v>3.6448994322346655E-2</v>
      </c>
    </row>
    <row r="1219" spans="6:7" x14ac:dyDescent="0.3">
      <c r="F1219" s="124">
        <v>1213</v>
      </c>
      <c r="G1219" s="33">
        <f t="shared" ca="1" si="31"/>
        <v>1.6768115185898002E-2</v>
      </c>
    </row>
    <row r="1220" spans="6:7" x14ac:dyDescent="0.3">
      <c r="F1220" s="124">
        <v>1214</v>
      </c>
      <c r="G1220" s="33">
        <f t="shared" ca="1" si="31"/>
        <v>-2.5414783079577889E-2</v>
      </c>
    </row>
    <row r="1221" spans="6:7" x14ac:dyDescent="0.3">
      <c r="F1221" s="124">
        <v>1215</v>
      </c>
      <c r="G1221" s="33">
        <f t="shared" ca="1" si="31"/>
        <v>-6.2304263608896675E-2</v>
      </c>
    </row>
    <row r="1222" spans="6:7" x14ac:dyDescent="0.3">
      <c r="F1222" s="124">
        <v>1216</v>
      </c>
      <c r="G1222" s="33">
        <f t="shared" ca="1" si="31"/>
        <v>4.0962416572463738E-2</v>
      </c>
    </row>
    <row r="1223" spans="6:7" x14ac:dyDescent="0.3">
      <c r="F1223" s="124">
        <v>1217</v>
      </c>
      <c r="G1223" s="33">
        <f t="shared" ca="1" si="31"/>
        <v>1.9951273240307595E-2</v>
      </c>
    </row>
    <row r="1224" spans="6:7" x14ac:dyDescent="0.3">
      <c r="F1224" s="124">
        <v>1218</v>
      </c>
      <c r="G1224" s="33">
        <f t="shared" ref="G1224:G1287" ca="1" si="32">_xlfn.NORM.INV(RAND(),$M$9,$M$10)</f>
        <v>5.7229325476284435E-3</v>
      </c>
    </row>
    <row r="1225" spans="6:7" x14ac:dyDescent="0.3">
      <c r="F1225" s="124">
        <v>1219</v>
      </c>
      <c r="G1225" s="33">
        <f t="shared" ca="1" si="32"/>
        <v>1.906762985049823E-2</v>
      </c>
    </row>
    <row r="1226" spans="6:7" x14ac:dyDescent="0.3">
      <c r="F1226" s="124">
        <v>1220</v>
      </c>
      <c r="G1226" s="33">
        <f t="shared" ca="1" si="32"/>
        <v>-3.3990236456808383E-2</v>
      </c>
    </row>
    <row r="1227" spans="6:7" x14ac:dyDescent="0.3">
      <c r="F1227" s="124">
        <v>1221</v>
      </c>
      <c r="G1227" s="33">
        <f t="shared" ca="1" si="32"/>
        <v>2.9507401002788442E-2</v>
      </c>
    </row>
    <row r="1228" spans="6:7" x14ac:dyDescent="0.3">
      <c r="F1228" s="124">
        <v>1222</v>
      </c>
      <c r="G1228" s="33">
        <f t="shared" ca="1" si="32"/>
        <v>-5.4487472007947416E-2</v>
      </c>
    </row>
    <row r="1229" spans="6:7" x14ac:dyDescent="0.3">
      <c r="F1229" s="124">
        <v>1223</v>
      </c>
      <c r="G1229" s="33">
        <f t="shared" ca="1" si="32"/>
        <v>-8.5834929009389847E-3</v>
      </c>
    </row>
    <row r="1230" spans="6:7" x14ac:dyDescent="0.3">
      <c r="F1230" s="124">
        <v>1224</v>
      </c>
      <c r="G1230" s="33">
        <f t="shared" ca="1" si="32"/>
        <v>6.4248350585120358E-3</v>
      </c>
    </row>
    <row r="1231" spans="6:7" x14ac:dyDescent="0.3">
      <c r="F1231" s="124">
        <v>1225</v>
      </c>
      <c r="G1231" s="33">
        <f t="shared" ca="1" si="32"/>
        <v>-1.8773805881485087E-2</v>
      </c>
    </row>
    <row r="1232" spans="6:7" x14ac:dyDescent="0.3">
      <c r="F1232" s="124">
        <v>1226</v>
      </c>
      <c r="G1232" s="33">
        <f t="shared" ca="1" si="32"/>
        <v>-1.5942803860035337E-2</v>
      </c>
    </row>
    <row r="1233" spans="6:7" x14ac:dyDescent="0.3">
      <c r="F1233" s="124">
        <v>1227</v>
      </c>
      <c r="G1233" s="33">
        <f t="shared" ca="1" si="32"/>
        <v>8.2656029514209806E-3</v>
      </c>
    </row>
    <row r="1234" spans="6:7" x14ac:dyDescent="0.3">
      <c r="F1234" s="124">
        <v>1228</v>
      </c>
      <c r="G1234" s="33">
        <f t="shared" ca="1" si="32"/>
        <v>1.574992604099045E-3</v>
      </c>
    </row>
    <row r="1235" spans="6:7" x14ac:dyDescent="0.3">
      <c r="F1235" s="124">
        <v>1229</v>
      </c>
      <c r="G1235" s="33">
        <f t="shared" ca="1" si="32"/>
        <v>3.9889289912142238E-2</v>
      </c>
    </row>
    <row r="1236" spans="6:7" x14ac:dyDescent="0.3">
      <c r="F1236" s="124">
        <v>1230</v>
      </c>
      <c r="G1236" s="33">
        <f t="shared" ca="1" si="32"/>
        <v>2.5077250125028046E-2</v>
      </c>
    </row>
    <row r="1237" spans="6:7" x14ac:dyDescent="0.3">
      <c r="F1237" s="124">
        <v>1231</v>
      </c>
      <c r="G1237" s="33">
        <f t="shared" ca="1" si="32"/>
        <v>-2.3477887263767649E-2</v>
      </c>
    </row>
    <row r="1238" spans="6:7" x14ac:dyDescent="0.3">
      <c r="F1238" s="124">
        <v>1232</v>
      </c>
      <c r="G1238" s="33">
        <f t="shared" ca="1" si="32"/>
        <v>3.6112420584672927E-2</v>
      </c>
    </row>
    <row r="1239" spans="6:7" x14ac:dyDescent="0.3">
      <c r="F1239" s="124">
        <v>1233</v>
      </c>
      <c r="G1239" s="33">
        <f t="shared" ca="1" si="32"/>
        <v>4.4976531345987079E-2</v>
      </c>
    </row>
    <row r="1240" spans="6:7" x14ac:dyDescent="0.3">
      <c r="F1240" s="124">
        <v>1234</v>
      </c>
      <c r="G1240" s="33">
        <f t="shared" ca="1" si="32"/>
        <v>-4.535648173786333E-2</v>
      </c>
    </row>
    <row r="1241" spans="6:7" x14ac:dyDescent="0.3">
      <c r="F1241" s="124">
        <v>1235</v>
      </c>
      <c r="G1241" s="33">
        <f t="shared" ca="1" si="32"/>
        <v>4.0357414325493494E-2</v>
      </c>
    </row>
    <row r="1242" spans="6:7" x14ac:dyDescent="0.3">
      <c r="F1242" s="124">
        <v>1236</v>
      </c>
      <c r="G1242" s="33">
        <f t="shared" ca="1" si="32"/>
        <v>-5.4960963487135266E-3</v>
      </c>
    </row>
    <row r="1243" spans="6:7" x14ac:dyDescent="0.3">
      <c r="F1243" s="124">
        <v>1237</v>
      </c>
      <c r="G1243" s="33">
        <f t="shared" ca="1" si="32"/>
        <v>1.4443414737287479E-2</v>
      </c>
    </row>
    <row r="1244" spans="6:7" x14ac:dyDescent="0.3">
      <c r="F1244" s="124">
        <v>1238</v>
      </c>
      <c r="G1244" s="33">
        <f t="shared" ca="1" si="32"/>
        <v>4.8117309953356682E-2</v>
      </c>
    </row>
    <row r="1245" spans="6:7" x14ac:dyDescent="0.3">
      <c r="F1245" s="124">
        <v>1239</v>
      </c>
      <c r="G1245" s="33">
        <f t="shared" ca="1" si="32"/>
        <v>-2.0407166440643585E-2</v>
      </c>
    </row>
    <row r="1246" spans="6:7" x14ac:dyDescent="0.3">
      <c r="F1246" s="124">
        <v>1240</v>
      </c>
      <c r="G1246" s="33">
        <f t="shared" ca="1" si="32"/>
        <v>-3.4669573854393967E-2</v>
      </c>
    </row>
    <row r="1247" spans="6:7" x14ac:dyDescent="0.3">
      <c r="F1247" s="124">
        <v>1241</v>
      </c>
      <c r="G1247" s="33">
        <f t="shared" ca="1" si="32"/>
        <v>3.9809906131775839E-2</v>
      </c>
    </row>
    <row r="1248" spans="6:7" x14ac:dyDescent="0.3">
      <c r="F1248" s="124">
        <v>1242</v>
      </c>
      <c r="G1248" s="33">
        <f t="shared" ca="1" si="32"/>
        <v>-2.4475898096905932E-3</v>
      </c>
    </row>
    <row r="1249" spans="6:7" x14ac:dyDescent="0.3">
      <c r="F1249" s="124">
        <v>1243</v>
      </c>
      <c r="G1249" s="33">
        <f t="shared" ca="1" si="32"/>
        <v>2.8284326086580224E-2</v>
      </c>
    </row>
    <row r="1250" spans="6:7" x14ac:dyDescent="0.3">
      <c r="F1250" s="124">
        <v>1244</v>
      </c>
      <c r="G1250" s="33">
        <f t="shared" ca="1" si="32"/>
        <v>-1.0038537292233498E-2</v>
      </c>
    </row>
    <row r="1251" spans="6:7" x14ac:dyDescent="0.3">
      <c r="F1251" s="124">
        <v>1245</v>
      </c>
      <c r="G1251" s="33">
        <f t="shared" ca="1" si="32"/>
        <v>1.9769893758304964E-2</v>
      </c>
    </row>
    <row r="1252" spans="6:7" x14ac:dyDescent="0.3">
      <c r="F1252" s="124">
        <v>1246</v>
      </c>
      <c r="G1252" s="33">
        <f t="shared" ca="1" si="32"/>
        <v>-4.8772413420422996E-2</v>
      </c>
    </row>
    <row r="1253" spans="6:7" x14ac:dyDescent="0.3">
      <c r="F1253" s="124">
        <v>1247</v>
      </c>
      <c r="G1253" s="33">
        <f t="shared" ca="1" si="32"/>
        <v>3.3220830167812694E-2</v>
      </c>
    </row>
    <row r="1254" spans="6:7" x14ac:dyDescent="0.3">
      <c r="F1254" s="124">
        <v>1248</v>
      </c>
      <c r="G1254" s="33">
        <f t="shared" ca="1" si="32"/>
        <v>-8.177682092734704E-3</v>
      </c>
    </row>
    <row r="1255" spans="6:7" x14ac:dyDescent="0.3">
      <c r="F1255" s="124">
        <v>1249</v>
      </c>
      <c r="G1255" s="33">
        <f t="shared" ca="1" si="32"/>
        <v>3.0884644335742919E-2</v>
      </c>
    </row>
    <row r="1256" spans="6:7" x14ac:dyDescent="0.3">
      <c r="F1256" s="124">
        <v>1250</v>
      </c>
      <c r="G1256" s="33">
        <f t="shared" ca="1" si="32"/>
        <v>-1.7234807956830918E-2</v>
      </c>
    </row>
    <row r="1257" spans="6:7" x14ac:dyDescent="0.3">
      <c r="F1257" s="124">
        <v>1251</v>
      </c>
      <c r="G1257" s="33">
        <f t="shared" ca="1" si="32"/>
        <v>-4.982534077008301E-3</v>
      </c>
    </row>
    <row r="1258" spans="6:7" x14ac:dyDescent="0.3">
      <c r="F1258" s="124">
        <v>1252</v>
      </c>
      <c r="G1258" s="33">
        <f t="shared" ca="1" si="32"/>
        <v>-1.3726747483592698E-2</v>
      </c>
    </row>
    <row r="1259" spans="6:7" x14ac:dyDescent="0.3">
      <c r="F1259" s="124">
        <v>1253</v>
      </c>
      <c r="G1259" s="33">
        <f t="shared" ca="1" si="32"/>
        <v>5.6045618086189141E-3</v>
      </c>
    </row>
    <row r="1260" spans="6:7" x14ac:dyDescent="0.3">
      <c r="F1260" s="124">
        <v>1254</v>
      </c>
      <c r="G1260" s="33">
        <f t="shared" ca="1" si="32"/>
        <v>1.956232406756658E-2</v>
      </c>
    </row>
    <row r="1261" spans="6:7" x14ac:dyDescent="0.3">
      <c r="F1261" s="124">
        <v>1255</v>
      </c>
      <c r="G1261" s="33">
        <f t="shared" ca="1" si="32"/>
        <v>-4.7595820714445257E-2</v>
      </c>
    </row>
    <row r="1262" spans="6:7" x14ac:dyDescent="0.3">
      <c r="F1262" s="124">
        <v>1256</v>
      </c>
      <c r="G1262" s="33">
        <f t="shared" ca="1" si="32"/>
        <v>-1.3507927540269714E-2</v>
      </c>
    </row>
    <row r="1263" spans="6:7" x14ac:dyDescent="0.3">
      <c r="F1263" s="124">
        <v>1257</v>
      </c>
      <c r="G1263" s="33">
        <f t="shared" ca="1" si="32"/>
        <v>1.2219680859373219E-2</v>
      </c>
    </row>
    <row r="1264" spans="6:7" x14ac:dyDescent="0.3">
      <c r="F1264" s="124">
        <v>1258</v>
      </c>
      <c r="G1264" s="33">
        <f t="shared" ca="1" si="32"/>
        <v>3.096157942068058E-2</v>
      </c>
    </row>
    <row r="1265" spans="6:7" x14ac:dyDescent="0.3">
      <c r="F1265" s="124">
        <v>1259</v>
      </c>
      <c r="G1265" s="33">
        <f t="shared" ca="1" si="32"/>
        <v>6.7935290051376954E-2</v>
      </c>
    </row>
    <row r="1266" spans="6:7" x14ac:dyDescent="0.3">
      <c r="F1266" s="124">
        <v>1260</v>
      </c>
      <c r="G1266" s="33">
        <f t="shared" ca="1" si="32"/>
        <v>1.9081148320352296E-2</v>
      </c>
    </row>
    <row r="1267" spans="6:7" x14ac:dyDescent="0.3">
      <c r="F1267" s="124">
        <v>1261</v>
      </c>
      <c r="G1267" s="33">
        <f t="shared" ca="1" si="32"/>
        <v>4.6004388135451645E-3</v>
      </c>
    </row>
    <row r="1268" spans="6:7" x14ac:dyDescent="0.3">
      <c r="F1268" s="124">
        <v>1262</v>
      </c>
      <c r="G1268" s="33">
        <f t="shared" ca="1" si="32"/>
        <v>-6.2814935782472643E-3</v>
      </c>
    </row>
    <row r="1269" spans="6:7" x14ac:dyDescent="0.3">
      <c r="F1269" s="124">
        <v>1263</v>
      </c>
      <c r="G1269" s="33">
        <f t="shared" ca="1" si="32"/>
        <v>-1.0419788489852724E-2</v>
      </c>
    </row>
    <row r="1270" spans="6:7" x14ac:dyDescent="0.3">
      <c r="F1270" s="124">
        <v>1264</v>
      </c>
      <c r="G1270" s="33">
        <f t="shared" ca="1" si="32"/>
        <v>2.0713858385085895E-2</v>
      </c>
    </row>
    <row r="1271" spans="6:7" x14ac:dyDescent="0.3">
      <c r="F1271" s="124">
        <v>1265</v>
      </c>
      <c r="G1271" s="33">
        <f t="shared" ca="1" si="32"/>
        <v>4.905204221224161E-2</v>
      </c>
    </row>
    <row r="1272" spans="6:7" x14ac:dyDescent="0.3">
      <c r="F1272" s="124">
        <v>1266</v>
      </c>
      <c r="G1272" s="33">
        <f t="shared" ca="1" si="32"/>
        <v>4.8413523621308879E-2</v>
      </c>
    </row>
    <row r="1273" spans="6:7" x14ac:dyDescent="0.3">
      <c r="F1273" s="124">
        <v>1267</v>
      </c>
      <c r="G1273" s="33">
        <f t="shared" ca="1" si="32"/>
        <v>1.0691649860413831E-2</v>
      </c>
    </row>
    <row r="1274" spans="6:7" x14ac:dyDescent="0.3">
      <c r="F1274" s="124">
        <v>1268</v>
      </c>
      <c r="G1274" s="33">
        <f t="shared" ca="1" si="32"/>
        <v>3.4203225999728474E-3</v>
      </c>
    </row>
    <row r="1275" spans="6:7" x14ac:dyDescent="0.3">
      <c r="F1275" s="124">
        <v>1269</v>
      </c>
      <c r="G1275" s="33">
        <f t="shared" ca="1" si="32"/>
        <v>-1.587991067234865E-2</v>
      </c>
    </row>
    <row r="1276" spans="6:7" x14ac:dyDescent="0.3">
      <c r="F1276" s="124">
        <v>1270</v>
      </c>
      <c r="G1276" s="33">
        <f t="shared" ca="1" si="32"/>
        <v>3.7535647770512041E-2</v>
      </c>
    </row>
    <row r="1277" spans="6:7" x14ac:dyDescent="0.3">
      <c r="F1277" s="124">
        <v>1271</v>
      </c>
      <c r="G1277" s="33">
        <f t="shared" ca="1" si="32"/>
        <v>4.238405402360354E-2</v>
      </c>
    </row>
    <row r="1278" spans="6:7" x14ac:dyDescent="0.3">
      <c r="F1278" s="124">
        <v>1272</v>
      </c>
      <c r="G1278" s="33">
        <f t="shared" ca="1" si="32"/>
        <v>4.010463542454952E-2</v>
      </c>
    </row>
    <row r="1279" spans="6:7" x14ac:dyDescent="0.3">
      <c r="F1279" s="124">
        <v>1273</v>
      </c>
      <c r="G1279" s="33">
        <f t="shared" ca="1" si="32"/>
        <v>-1.201089625398187E-2</v>
      </c>
    </row>
    <row r="1280" spans="6:7" x14ac:dyDescent="0.3">
      <c r="F1280" s="124">
        <v>1274</v>
      </c>
      <c r="G1280" s="33">
        <f t="shared" ca="1" si="32"/>
        <v>1.582466982566581E-2</v>
      </c>
    </row>
    <row r="1281" spans="6:7" x14ac:dyDescent="0.3">
      <c r="F1281" s="124">
        <v>1275</v>
      </c>
      <c r="G1281" s="33">
        <f t="shared" ca="1" si="32"/>
        <v>-1.3311016576346885E-2</v>
      </c>
    </row>
    <row r="1282" spans="6:7" x14ac:dyDescent="0.3">
      <c r="F1282" s="124">
        <v>1276</v>
      </c>
      <c r="G1282" s="33">
        <f t="shared" ca="1" si="32"/>
        <v>-2.6913877972833306E-2</v>
      </c>
    </row>
    <row r="1283" spans="6:7" x14ac:dyDescent="0.3">
      <c r="F1283" s="124">
        <v>1277</v>
      </c>
      <c r="G1283" s="33">
        <f t="shared" ca="1" si="32"/>
        <v>-4.2812707990780817E-3</v>
      </c>
    </row>
    <row r="1284" spans="6:7" x14ac:dyDescent="0.3">
      <c r="F1284" s="124">
        <v>1278</v>
      </c>
      <c r="G1284" s="33">
        <f t="shared" ca="1" si="32"/>
        <v>-1.193931609595375E-2</v>
      </c>
    </row>
    <row r="1285" spans="6:7" x14ac:dyDescent="0.3">
      <c r="F1285" s="124">
        <v>1279</v>
      </c>
      <c r="G1285" s="33">
        <f t="shared" ca="1" si="32"/>
        <v>-7.4931437570798176E-2</v>
      </c>
    </row>
    <row r="1286" spans="6:7" x14ac:dyDescent="0.3">
      <c r="F1286" s="124">
        <v>1280</v>
      </c>
      <c r="G1286" s="33">
        <f t="shared" ca="1" si="32"/>
        <v>2.6706209792804483E-2</v>
      </c>
    </row>
    <row r="1287" spans="6:7" x14ac:dyDescent="0.3">
      <c r="F1287" s="124">
        <v>1281</v>
      </c>
      <c r="G1287" s="33">
        <f t="shared" ca="1" si="32"/>
        <v>-6.3460492510067898E-2</v>
      </c>
    </row>
    <row r="1288" spans="6:7" x14ac:dyDescent="0.3">
      <c r="F1288" s="124">
        <v>1282</v>
      </c>
      <c r="G1288" s="33">
        <f t="shared" ref="G1288:G1351" ca="1" si="33">_xlfn.NORM.INV(RAND(),$M$9,$M$10)</f>
        <v>5.3910325767181466E-2</v>
      </c>
    </row>
    <row r="1289" spans="6:7" x14ac:dyDescent="0.3">
      <c r="F1289" s="124">
        <v>1283</v>
      </c>
      <c r="G1289" s="33">
        <f t="shared" ca="1" si="33"/>
        <v>5.6632944456045985E-3</v>
      </c>
    </row>
    <row r="1290" spans="6:7" x14ac:dyDescent="0.3">
      <c r="F1290" s="124">
        <v>1284</v>
      </c>
      <c r="G1290" s="33">
        <f t="shared" ca="1" si="33"/>
        <v>-6.4923209843030264E-3</v>
      </c>
    </row>
    <row r="1291" spans="6:7" x14ac:dyDescent="0.3">
      <c r="F1291" s="124">
        <v>1285</v>
      </c>
      <c r="G1291" s="33">
        <f t="shared" ca="1" si="33"/>
        <v>-4.5496182457223061E-2</v>
      </c>
    </row>
    <row r="1292" spans="6:7" x14ac:dyDescent="0.3">
      <c r="F1292" s="124">
        <v>1286</v>
      </c>
      <c r="G1292" s="33">
        <f t="shared" ca="1" si="33"/>
        <v>3.9301363683081979E-2</v>
      </c>
    </row>
    <row r="1293" spans="6:7" x14ac:dyDescent="0.3">
      <c r="F1293" s="124">
        <v>1287</v>
      </c>
      <c r="G1293" s="33">
        <f t="shared" ca="1" si="33"/>
        <v>1.9353398262776808E-2</v>
      </c>
    </row>
    <row r="1294" spans="6:7" x14ac:dyDescent="0.3">
      <c r="F1294" s="124">
        <v>1288</v>
      </c>
      <c r="G1294" s="33">
        <f t="shared" ca="1" si="33"/>
        <v>4.3740642536173421E-2</v>
      </c>
    </row>
    <row r="1295" spans="6:7" x14ac:dyDescent="0.3">
      <c r="F1295" s="124">
        <v>1289</v>
      </c>
      <c r="G1295" s="33">
        <f t="shared" ca="1" si="33"/>
        <v>2.427115423004696E-2</v>
      </c>
    </row>
    <row r="1296" spans="6:7" x14ac:dyDescent="0.3">
      <c r="F1296" s="124">
        <v>1290</v>
      </c>
      <c r="G1296" s="33">
        <f t="shared" ca="1" si="33"/>
        <v>-8.6874860503614003E-3</v>
      </c>
    </row>
    <row r="1297" spans="6:7" x14ac:dyDescent="0.3">
      <c r="F1297" s="124">
        <v>1291</v>
      </c>
      <c r="G1297" s="33">
        <f t="shared" ca="1" si="33"/>
        <v>2.2432160636329701E-3</v>
      </c>
    </row>
    <row r="1298" spans="6:7" x14ac:dyDescent="0.3">
      <c r="F1298" s="124">
        <v>1292</v>
      </c>
      <c r="G1298" s="33">
        <f t="shared" ca="1" si="33"/>
        <v>-3.1517075809083125E-2</v>
      </c>
    </row>
    <row r="1299" spans="6:7" x14ac:dyDescent="0.3">
      <c r="F1299" s="124">
        <v>1293</v>
      </c>
      <c r="G1299" s="33">
        <f t="shared" ca="1" si="33"/>
        <v>8.942977330740523E-3</v>
      </c>
    </row>
    <row r="1300" spans="6:7" x14ac:dyDescent="0.3">
      <c r="F1300" s="124">
        <v>1294</v>
      </c>
      <c r="G1300" s="33">
        <f t="shared" ca="1" si="33"/>
        <v>4.2224500213626455E-2</v>
      </c>
    </row>
    <row r="1301" spans="6:7" x14ac:dyDescent="0.3">
      <c r="F1301" s="124">
        <v>1295</v>
      </c>
      <c r="G1301" s="33">
        <f t="shared" ca="1" si="33"/>
        <v>6.8152796174894871E-3</v>
      </c>
    </row>
    <row r="1302" spans="6:7" x14ac:dyDescent="0.3">
      <c r="F1302" s="124">
        <v>1296</v>
      </c>
      <c r="G1302" s="33">
        <f t="shared" ca="1" si="33"/>
        <v>1.8467354583448607E-2</v>
      </c>
    </row>
    <row r="1303" spans="6:7" x14ac:dyDescent="0.3">
      <c r="F1303" s="124">
        <v>1297</v>
      </c>
      <c r="G1303" s="33">
        <f t="shared" ca="1" si="33"/>
        <v>-3.6026189925096545E-3</v>
      </c>
    </row>
    <row r="1304" spans="6:7" x14ac:dyDescent="0.3">
      <c r="F1304" s="124">
        <v>1298</v>
      </c>
      <c r="G1304" s="33">
        <f t="shared" ca="1" si="33"/>
        <v>1.3115989777006207E-2</v>
      </c>
    </row>
    <row r="1305" spans="6:7" x14ac:dyDescent="0.3">
      <c r="F1305" s="124">
        <v>1299</v>
      </c>
      <c r="G1305" s="33">
        <f t="shared" ca="1" si="33"/>
        <v>2.3184387004108728E-2</v>
      </c>
    </row>
    <row r="1306" spans="6:7" x14ac:dyDescent="0.3">
      <c r="F1306" s="124">
        <v>1300</v>
      </c>
      <c r="G1306" s="33">
        <f t="shared" ca="1" si="33"/>
        <v>-2.4161405041700713E-2</v>
      </c>
    </row>
    <row r="1307" spans="6:7" x14ac:dyDescent="0.3">
      <c r="F1307" s="124">
        <v>1301</v>
      </c>
      <c r="G1307" s="33">
        <f t="shared" ca="1" si="33"/>
        <v>5.992791616246532E-4</v>
      </c>
    </row>
    <row r="1308" spans="6:7" x14ac:dyDescent="0.3">
      <c r="F1308" s="124">
        <v>1302</v>
      </c>
      <c r="G1308" s="33">
        <f t="shared" ca="1" si="33"/>
        <v>4.1180792957622031E-3</v>
      </c>
    </row>
    <row r="1309" spans="6:7" x14ac:dyDescent="0.3">
      <c r="F1309" s="124">
        <v>1303</v>
      </c>
      <c r="G1309" s="33">
        <f t="shared" ca="1" si="33"/>
        <v>-3.2997538396321933E-2</v>
      </c>
    </row>
    <row r="1310" spans="6:7" x14ac:dyDescent="0.3">
      <c r="F1310" s="124">
        <v>1304</v>
      </c>
      <c r="G1310" s="33">
        <f t="shared" ca="1" si="33"/>
        <v>5.0685162175187981E-2</v>
      </c>
    </row>
    <row r="1311" spans="6:7" x14ac:dyDescent="0.3">
      <c r="F1311" s="124">
        <v>1305</v>
      </c>
      <c r="G1311" s="33">
        <f t="shared" ca="1" si="33"/>
        <v>3.0424931654363815E-2</v>
      </c>
    </row>
    <row r="1312" spans="6:7" x14ac:dyDescent="0.3">
      <c r="F1312" s="124">
        <v>1306</v>
      </c>
      <c r="G1312" s="33">
        <f t="shared" ca="1" si="33"/>
        <v>-1.4339520962280111E-2</v>
      </c>
    </row>
    <row r="1313" spans="6:7" x14ac:dyDescent="0.3">
      <c r="F1313" s="124">
        <v>1307</v>
      </c>
      <c r="G1313" s="33">
        <f t="shared" ca="1" si="33"/>
        <v>-6.9486595049516658E-3</v>
      </c>
    </row>
    <row r="1314" spans="6:7" x14ac:dyDescent="0.3">
      <c r="F1314" s="124">
        <v>1308</v>
      </c>
      <c r="G1314" s="33">
        <f t="shared" ca="1" si="33"/>
        <v>2.8835081760169131E-2</v>
      </c>
    </row>
    <row r="1315" spans="6:7" x14ac:dyDescent="0.3">
      <c r="F1315" s="124">
        <v>1309</v>
      </c>
      <c r="G1315" s="33">
        <f t="shared" ca="1" si="33"/>
        <v>-3.3290471497299197E-2</v>
      </c>
    </row>
    <row r="1316" spans="6:7" x14ac:dyDescent="0.3">
      <c r="F1316" s="124">
        <v>1310</v>
      </c>
      <c r="G1316" s="33">
        <f t="shared" ca="1" si="33"/>
        <v>1.7016433661787685E-2</v>
      </c>
    </row>
    <row r="1317" spans="6:7" x14ac:dyDescent="0.3">
      <c r="F1317" s="124">
        <v>1311</v>
      </c>
      <c r="G1317" s="33">
        <f t="shared" ca="1" si="33"/>
        <v>-2.9897025932234828E-2</v>
      </c>
    </row>
    <row r="1318" spans="6:7" x14ac:dyDescent="0.3">
      <c r="F1318" s="124">
        <v>1312</v>
      </c>
      <c r="G1318" s="33">
        <f t="shared" ca="1" si="33"/>
        <v>2.4331171000408353E-3</v>
      </c>
    </row>
    <row r="1319" spans="6:7" x14ac:dyDescent="0.3">
      <c r="F1319" s="124">
        <v>1313</v>
      </c>
      <c r="G1319" s="33">
        <f t="shared" ca="1" si="33"/>
        <v>2.1888807811732823E-2</v>
      </c>
    </row>
    <row r="1320" spans="6:7" x14ac:dyDescent="0.3">
      <c r="F1320" s="124">
        <v>1314</v>
      </c>
      <c r="G1320" s="33">
        <f t="shared" ca="1" si="33"/>
        <v>-3.7048516899647138E-2</v>
      </c>
    </row>
    <row r="1321" spans="6:7" x14ac:dyDescent="0.3">
      <c r="F1321" s="124">
        <v>1315</v>
      </c>
      <c r="G1321" s="33">
        <f t="shared" ca="1" si="33"/>
        <v>-4.303059768184743E-2</v>
      </c>
    </row>
    <row r="1322" spans="6:7" x14ac:dyDescent="0.3">
      <c r="F1322" s="124">
        <v>1316</v>
      </c>
      <c r="G1322" s="33">
        <f t="shared" ca="1" si="33"/>
        <v>1.9103769605456795E-4</v>
      </c>
    </row>
    <row r="1323" spans="6:7" x14ac:dyDescent="0.3">
      <c r="F1323" s="124">
        <v>1317</v>
      </c>
      <c r="G1323" s="33">
        <f t="shared" ca="1" si="33"/>
        <v>-2.9404105800050147E-2</v>
      </c>
    </row>
    <row r="1324" spans="6:7" x14ac:dyDescent="0.3">
      <c r="F1324" s="124">
        <v>1318</v>
      </c>
      <c r="G1324" s="33">
        <f t="shared" ca="1" si="33"/>
        <v>-4.2605428747774211E-2</v>
      </c>
    </row>
    <row r="1325" spans="6:7" x14ac:dyDescent="0.3">
      <c r="F1325" s="124">
        <v>1319</v>
      </c>
      <c r="G1325" s="33">
        <f t="shared" ca="1" si="33"/>
        <v>6.2693324349655008E-2</v>
      </c>
    </row>
    <row r="1326" spans="6:7" x14ac:dyDescent="0.3">
      <c r="F1326" s="124">
        <v>1320</v>
      </c>
      <c r="G1326" s="33">
        <f t="shared" ca="1" si="33"/>
        <v>-3.5455186727747744E-2</v>
      </c>
    </row>
    <row r="1327" spans="6:7" x14ac:dyDescent="0.3">
      <c r="F1327" s="124">
        <v>1321</v>
      </c>
      <c r="G1327" s="33">
        <f t="shared" ca="1" si="33"/>
        <v>-1.349631745275414E-2</v>
      </c>
    </row>
    <row r="1328" spans="6:7" x14ac:dyDescent="0.3">
      <c r="F1328" s="124">
        <v>1322</v>
      </c>
      <c r="G1328" s="33">
        <f t="shared" ca="1" si="33"/>
        <v>1.3057124836774195E-2</v>
      </c>
    </row>
    <row r="1329" spans="6:7" x14ac:dyDescent="0.3">
      <c r="F1329" s="124">
        <v>1323</v>
      </c>
      <c r="G1329" s="33">
        <f t="shared" ca="1" si="33"/>
        <v>-5.3509319312822464E-3</v>
      </c>
    </row>
    <row r="1330" spans="6:7" x14ac:dyDescent="0.3">
      <c r="F1330" s="124">
        <v>1324</v>
      </c>
      <c r="G1330" s="33">
        <f t="shared" ca="1" si="33"/>
        <v>-9.1713761136665711E-3</v>
      </c>
    </row>
    <row r="1331" spans="6:7" x14ac:dyDescent="0.3">
      <c r="F1331" s="124">
        <v>1325</v>
      </c>
      <c r="G1331" s="33">
        <f t="shared" ca="1" si="33"/>
        <v>-4.6004328342556938E-2</v>
      </c>
    </row>
    <row r="1332" spans="6:7" x14ac:dyDescent="0.3">
      <c r="F1332" s="124">
        <v>1326</v>
      </c>
      <c r="G1332" s="33">
        <f t="shared" ca="1" si="33"/>
        <v>-3.2872667184071745E-2</v>
      </c>
    </row>
    <row r="1333" spans="6:7" x14ac:dyDescent="0.3">
      <c r="F1333" s="124">
        <v>1327</v>
      </c>
      <c r="G1333" s="33">
        <f t="shared" ca="1" si="33"/>
        <v>1.102556964218408E-3</v>
      </c>
    </row>
    <row r="1334" spans="6:7" x14ac:dyDescent="0.3">
      <c r="F1334" s="124">
        <v>1328</v>
      </c>
      <c r="G1334" s="33">
        <f t="shared" ca="1" si="33"/>
        <v>-3.9331392554408165E-2</v>
      </c>
    </row>
    <row r="1335" spans="6:7" x14ac:dyDescent="0.3">
      <c r="F1335" s="124">
        <v>1329</v>
      </c>
      <c r="G1335" s="33">
        <f t="shared" ca="1" si="33"/>
        <v>3.1993885317405962E-2</v>
      </c>
    </row>
    <row r="1336" spans="6:7" x14ac:dyDescent="0.3">
      <c r="F1336" s="124">
        <v>1330</v>
      </c>
      <c r="G1336" s="33">
        <f t="shared" ca="1" si="33"/>
        <v>1.2203397731595563E-3</v>
      </c>
    </row>
    <row r="1337" spans="6:7" x14ac:dyDescent="0.3">
      <c r="F1337" s="124">
        <v>1331</v>
      </c>
      <c r="G1337" s="33">
        <f t="shared" ca="1" si="33"/>
        <v>-3.3417588919212107E-2</v>
      </c>
    </row>
    <row r="1338" spans="6:7" x14ac:dyDescent="0.3">
      <c r="F1338" s="124">
        <v>1332</v>
      </c>
      <c r="G1338" s="33">
        <f t="shared" ca="1" si="33"/>
        <v>-1.3617593906199758E-2</v>
      </c>
    </row>
    <row r="1339" spans="6:7" x14ac:dyDescent="0.3">
      <c r="F1339" s="124">
        <v>1333</v>
      </c>
      <c r="G1339" s="33">
        <f t="shared" ca="1" si="33"/>
        <v>7.3394621588534353E-2</v>
      </c>
    </row>
    <row r="1340" spans="6:7" x14ac:dyDescent="0.3">
      <c r="F1340" s="124">
        <v>1334</v>
      </c>
      <c r="G1340" s="33">
        <f t="shared" ca="1" si="33"/>
        <v>-5.1933291718035804E-2</v>
      </c>
    </row>
    <row r="1341" spans="6:7" x14ac:dyDescent="0.3">
      <c r="F1341" s="124">
        <v>1335</v>
      </c>
      <c r="G1341" s="33">
        <f t="shared" ca="1" si="33"/>
        <v>-2.0543965968719467E-2</v>
      </c>
    </row>
    <row r="1342" spans="6:7" x14ac:dyDescent="0.3">
      <c r="F1342" s="124">
        <v>1336</v>
      </c>
      <c r="G1342" s="33">
        <f t="shared" ca="1" si="33"/>
        <v>-6.2815462877361172E-2</v>
      </c>
    </row>
    <row r="1343" spans="6:7" x14ac:dyDescent="0.3">
      <c r="F1343" s="124">
        <v>1337</v>
      </c>
      <c r="G1343" s="33">
        <f t="shared" ca="1" si="33"/>
        <v>6.3338955322411522E-3</v>
      </c>
    </row>
    <row r="1344" spans="6:7" x14ac:dyDescent="0.3">
      <c r="F1344" s="124">
        <v>1338</v>
      </c>
      <c r="G1344" s="33">
        <f t="shared" ca="1" si="33"/>
        <v>8.2068136449671425E-2</v>
      </c>
    </row>
    <row r="1345" spans="6:7" x14ac:dyDescent="0.3">
      <c r="F1345" s="124">
        <v>1339</v>
      </c>
      <c r="G1345" s="33">
        <f t="shared" ca="1" si="33"/>
        <v>7.4997280582561939E-3</v>
      </c>
    </row>
    <row r="1346" spans="6:7" x14ac:dyDescent="0.3">
      <c r="F1346" s="124">
        <v>1340</v>
      </c>
      <c r="G1346" s="33">
        <f t="shared" ca="1" si="33"/>
        <v>3.9323285405434269E-2</v>
      </c>
    </row>
    <row r="1347" spans="6:7" x14ac:dyDescent="0.3">
      <c r="F1347" s="124">
        <v>1341</v>
      </c>
      <c r="G1347" s="33">
        <f t="shared" ca="1" si="33"/>
        <v>6.3052703891972872E-2</v>
      </c>
    </row>
    <row r="1348" spans="6:7" x14ac:dyDescent="0.3">
      <c r="F1348" s="124">
        <v>1342</v>
      </c>
      <c r="G1348" s="33">
        <f t="shared" ca="1" si="33"/>
        <v>-1.4670772422390642E-2</v>
      </c>
    </row>
    <row r="1349" spans="6:7" x14ac:dyDescent="0.3">
      <c r="F1349" s="124">
        <v>1343</v>
      </c>
      <c r="G1349" s="33">
        <f t="shared" ca="1" si="33"/>
        <v>-1.4541726387535654E-2</v>
      </c>
    </row>
    <row r="1350" spans="6:7" x14ac:dyDescent="0.3">
      <c r="F1350" s="124">
        <v>1344</v>
      </c>
      <c r="G1350" s="33">
        <f t="shared" ca="1" si="33"/>
        <v>4.1228672103387425E-2</v>
      </c>
    </row>
    <row r="1351" spans="6:7" x14ac:dyDescent="0.3">
      <c r="F1351" s="124">
        <v>1345</v>
      </c>
      <c r="G1351" s="33">
        <f t="shared" ca="1" si="33"/>
        <v>-1.32362783781537E-3</v>
      </c>
    </row>
    <row r="1352" spans="6:7" x14ac:dyDescent="0.3">
      <c r="F1352" s="124">
        <v>1346</v>
      </c>
      <c r="G1352" s="33">
        <f t="shared" ref="G1352:G1415" ca="1" si="34">_xlfn.NORM.INV(RAND(),$M$9,$M$10)</f>
        <v>-2.2062857846148462E-2</v>
      </c>
    </row>
    <row r="1353" spans="6:7" x14ac:dyDescent="0.3">
      <c r="F1353" s="124">
        <v>1347</v>
      </c>
      <c r="G1353" s="33">
        <f t="shared" ca="1" si="34"/>
        <v>2.0516696001790821E-3</v>
      </c>
    </row>
    <row r="1354" spans="6:7" x14ac:dyDescent="0.3">
      <c r="F1354" s="124">
        <v>1348</v>
      </c>
      <c r="G1354" s="33">
        <f t="shared" ca="1" si="34"/>
        <v>4.9684945997401798E-3</v>
      </c>
    </row>
    <row r="1355" spans="6:7" x14ac:dyDescent="0.3">
      <c r="F1355" s="124">
        <v>1349</v>
      </c>
      <c r="G1355" s="33">
        <f t="shared" ca="1" si="34"/>
        <v>-2.1451412077689299E-2</v>
      </c>
    </row>
    <row r="1356" spans="6:7" x14ac:dyDescent="0.3">
      <c r="F1356" s="124">
        <v>1350</v>
      </c>
      <c r="G1356" s="33">
        <f t="shared" ca="1" si="34"/>
        <v>4.6868157844851847E-3</v>
      </c>
    </row>
    <row r="1357" spans="6:7" x14ac:dyDescent="0.3">
      <c r="F1357" s="124">
        <v>1351</v>
      </c>
      <c r="G1357" s="33">
        <f t="shared" ca="1" si="34"/>
        <v>1.1358798619384464E-2</v>
      </c>
    </row>
    <row r="1358" spans="6:7" x14ac:dyDescent="0.3">
      <c r="F1358" s="124">
        <v>1352</v>
      </c>
      <c r="G1358" s="33">
        <f t="shared" ca="1" si="34"/>
        <v>2.7832122648329734E-2</v>
      </c>
    </row>
    <row r="1359" spans="6:7" x14ac:dyDescent="0.3">
      <c r="F1359" s="124">
        <v>1353</v>
      </c>
      <c r="G1359" s="33">
        <f t="shared" ca="1" si="34"/>
        <v>-3.0598950881544611E-2</v>
      </c>
    </row>
    <row r="1360" spans="6:7" x14ac:dyDescent="0.3">
      <c r="F1360" s="124">
        <v>1354</v>
      </c>
      <c r="G1360" s="33">
        <f t="shared" ca="1" si="34"/>
        <v>-9.3998526614549084E-3</v>
      </c>
    </row>
    <row r="1361" spans="6:7" x14ac:dyDescent="0.3">
      <c r="F1361" s="124">
        <v>1355</v>
      </c>
      <c r="G1361" s="33">
        <f t="shared" ca="1" si="34"/>
        <v>-1.6585873073446285E-2</v>
      </c>
    </row>
    <row r="1362" spans="6:7" x14ac:dyDescent="0.3">
      <c r="F1362" s="124">
        <v>1356</v>
      </c>
      <c r="G1362" s="33">
        <f t="shared" ca="1" si="34"/>
        <v>-6.36487792041258E-3</v>
      </c>
    </row>
    <row r="1363" spans="6:7" x14ac:dyDescent="0.3">
      <c r="F1363" s="124">
        <v>1357</v>
      </c>
      <c r="G1363" s="33">
        <f t="shared" ca="1" si="34"/>
        <v>1.7155960631456392E-2</v>
      </c>
    </row>
    <row r="1364" spans="6:7" x14ac:dyDescent="0.3">
      <c r="F1364" s="124">
        <v>1358</v>
      </c>
      <c r="G1364" s="33">
        <f t="shared" ca="1" si="34"/>
        <v>3.0889112430014048E-2</v>
      </c>
    </row>
    <row r="1365" spans="6:7" x14ac:dyDescent="0.3">
      <c r="F1365" s="124">
        <v>1359</v>
      </c>
      <c r="G1365" s="33">
        <f t="shared" ca="1" si="34"/>
        <v>-6.3177749781239592E-2</v>
      </c>
    </row>
    <row r="1366" spans="6:7" x14ac:dyDescent="0.3">
      <c r="F1366" s="124">
        <v>1360</v>
      </c>
      <c r="G1366" s="33">
        <f t="shared" ca="1" si="34"/>
        <v>6.7266973974656682E-2</v>
      </c>
    </row>
    <row r="1367" spans="6:7" x14ac:dyDescent="0.3">
      <c r="F1367" s="124">
        <v>1361</v>
      </c>
      <c r="G1367" s="33">
        <f t="shared" ca="1" si="34"/>
        <v>-1.3847372399206043E-2</v>
      </c>
    </row>
    <row r="1368" spans="6:7" x14ac:dyDescent="0.3">
      <c r="F1368" s="124">
        <v>1362</v>
      </c>
      <c r="G1368" s="33">
        <f t="shared" ca="1" si="34"/>
        <v>-5.6328195692053981E-2</v>
      </c>
    </row>
    <row r="1369" spans="6:7" x14ac:dyDescent="0.3">
      <c r="F1369" s="124">
        <v>1363</v>
      </c>
      <c r="G1369" s="33">
        <f t="shared" ca="1" si="34"/>
        <v>-4.2440235870032539E-2</v>
      </c>
    </row>
    <row r="1370" spans="6:7" x14ac:dyDescent="0.3">
      <c r="F1370" s="124">
        <v>1364</v>
      </c>
      <c r="G1370" s="33">
        <f t="shared" ca="1" si="34"/>
        <v>4.8407086661805404E-3</v>
      </c>
    </row>
    <row r="1371" spans="6:7" x14ac:dyDescent="0.3">
      <c r="F1371" s="124">
        <v>1365</v>
      </c>
      <c r="G1371" s="33">
        <f t="shared" ca="1" si="34"/>
        <v>4.0000776391161293E-2</v>
      </c>
    </row>
    <row r="1372" spans="6:7" x14ac:dyDescent="0.3">
      <c r="F1372" s="124">
        <v>1366</v>
      </c>
      <c r="G1372" s="33">
        <f t="shared" ca="1" si="34"/>
        <v>8.5358186872915333E-3</v>
      </c>
    </row>
    <row r="1373" spans="6:7" x14ac:dyDescent="0.3">
      <c r="F1373" s="124">
        <v>1367</v>
      </c>
      <c r="G1373" s="33">
        <f t="shared" ca="1" si="34"/>
        <v>4.2079970944265604E-2</v>
      </c>
    </row>
    <row r="1374" spans="6:7" x14ac:dyDescent="0.3">
      <c r="F1374" s="124">
        <v>1368</v>
      </c>
      <c r="G1374" s="33">
        <f t="shared" ca="1" si="34"/>
        <v>-6.8492160067342737E-3</v>
      </c>
    </row>
    <row r="1375" spans="6:7" x14ac:dyDescent="0.3">
      <c r="F1375" s="124">
        <v>1369</v>
      </c>
      <c r="G1375" s="33">
        <f t="shared" ca="1" si="34"/>
        <v>-3.5365755049661151E-3</v>
      </c>
    </row>
    <row r="1376" spans="6:7" x14ac:dyDescent="0.3">
      <c r="F1376" s="124">
        <v>1370</v>
      </c>
      <c r="G1376" s="33">
        <f t="shared" ca="1" si="34"/>
        <v>-1.8434193088394956E-2</v>
      </c>
    </row>
    <row r="1377" spans="6:7" x14ac:dyDescent="0.3">
      <c r="F1377" s="124">
        <v>1371</v>
      </c>
      <c r="G1377" s="33">
        <f t="shared" ca="1" si="34"/>
        <v>8.9580553159512508E-3</v>
      </c>
    </row>
    <row r="1378" spans="6:7" x14ac:dyDescent="0.3">
      <c r="F1378" s="124">
        <v>1372</v>
      </c>
      <c r="G1378" s="33">
        <f t="shared" ca="1" si="34"/>
        <v>1.5509410279669966E-2</v>
      </c>
    </row>
    <row r="1379" spans="6:7" x14ac:dyDescent="0.3">
      <c r="F1379" s="124">
        <v>1373</v>
      </c>
      <c r="G1379" s="33">
        <f t="shared" ca="1" si="34"/>
        <v>5.0319276515510304E-3</v>
      </c>
    </row>
    <row r="1380" spans="6:7" x14ac:dyDescent="0.3">
      <c r="F1380" s="124">
        <v>1374</v>
      </c>
      <c r="G1380" s="33">
        <f t="shared" ca="1" si="34"/>
        <v>-3.0963373955058469E-2</v>
      </c>
    </row>
    <row r="1381" spans="6:7" x14ac:dyDescent="0.3">
      <c r="F1381" s="124">
        <v>1375</v>
      </c>
      <c r="G1381" s="33">
        <f t="shared" ca="1" si="34"/>
        <v>1.3948048105218443E-2</v>
      </c>
    </row>
    <row r="1382" spans="6:7" x14ac:dyDescent="0.3">
      <c r="F1382" s="124">
        <v>1376</v>
      </c>
      <c r="G1382" s="33">
        <f t="shared" ca="1" si="34"/>
        <v>-2.4461902599186736E-2</v>
      </c>
    </row>
    <row r="1383" spans="6:7" x14ac:dyDescent="0.3">
      <c r="F1383" s="124">
        <v>1377</v>
      </c>
      <c r="G1383" s="33">
        <f t="shared" ca="1" si="34"/>
        <v>1.5714897346372332E-2</v>
      </c>
    </row>
    <row r="1384" spans="6:7" x14ac:dyDescent="0.3">
      <c r="F1384" s="124">
        <v>1378</v>
      </c>
      <c r="G1384" s="33">
        <f t="shared" ca="1" si="34"/>
        <v>-7.0418535773948921E-3</v>
      </c>
    </row>
    <row r="1385" spans="6:7" x14ac:dyDescent="0.3">
      <c r="F1385" s="124">
        <v>1379</v>
      </c>
      <c r="G1385" s="33">
        <f t="shared" ca="1" si="34"/>
        <v>3.1365084593875728E-3</v>
      </c>
    </row>
    <row r="1386" spans="6:7" x14ac:dyDescent="0.3">
      <c r="F1386" s="124">
        <v>1380</v>
      </c>
      <c r="G1386" s="33">
        <f t="shared" ca="1" si="34"/>
        <v>3.8421053260113462E-2</v>
      </c>
    </row>
    <row r="1387" spans="6:7" x14ac:dyDescent="0.3">
      <c r="F1387" s="124">
        <v>1381</v>
      </c>
      <c r="G1387" s="33">
        <f t="shared" ca="1" si="34"/>
        <v>3.0268554826813586E-2</v>
      </c>
    </row>
    <row r="1388" spans="6:7" x14ac:dyDescent="0.3">
      <c r="F1388" s="124">
        <v>1382</v>
      </c>
      <c r="G1388" s="33">
        <f t="shared" ca="1" si="34"/>
        <v>2.2844414739243906E-2</v>
      </c>
    </row>
    <row r="1389" spans="6:7" x14ac:dyDescent="0.3">
      <c r="F1389" s="124">
        <v>1383</v>
      </c>
      <c r="G1389" s="33">
        <f t="shared" ca="1" si="34"/>
        <v>-3.6247319175895125E-2</v>
      </c>
    </row>
    <row r="1390" spans="6:7" x14ac:dyDescent="0.3">
      <c r="F1390" s="124">
        <v>1384</v>
      </c>
      <c r="G1390" s="33">
        <f t="shared" ca="1" si="34"/>
        <v>-1.7993075331770102E-2</v>
      </c>
    </row>
    <row r="1391" spans="6:7" x14ac:dyDescent="0.3">
      <c r="F1391" s="124">
        <v>1385</v>
      </c>
      <c r="G1391" s="33">
        <f t="shared" ca="1" si="34"/>
        <v>-1.7942054803610974E-3</v>
      </c>
    </row>
    <row r="1392" spans="6:7" x14ac:dyDescent="0.3">
      <c r="F1392" s="124">
        <v>1386</v>
      </c>
      <c r="G1392" s="33">
        <f t="shared" ca="1" si="34"/>
        <v>-9.7175867358885969E-3</v>
      </c>
    </row>
    <row r="1393" spans="6:7" x14ac:dyDescent="0.3">
      <c r="F1393" s="124">
        <v>1387</v>
      </c>
      <c r="G1393" s="33">
        <f t="shared" ca="1" si="34"/>
        <v>-4.7798051957572529E-2</v>
      </c>
    </row>
    <row r="1394" spans="6:7" x14ac:dyDescent="0.3">
      <c r="F1394" s="124">
        <v>1388</v>
      </c>
      <c r="G1394" s="33">
        <f t="shared" ca="1" si="34"/>
        <v>-7.158362000352904E-3</v>
      </c>
    </row>
    <row r="1395" spans="6:7" x14ac:dyDescent="0.3">
      <c r="F1395" s="124">
        <v>1389</v>
      </c>
      <c r="G1395" s="33">
        <f t="shared" ca="1" si="34"/>
        <v>9.156644482683135E-3</v>
      </c>
    </row>
    <row r="1396" spans="6:7" x14ac:dyDescent="0.3">
      <c r="F1396" s="124">
        <v>1390</v>
      </c>
      <c r="G1396" s="33">
        <f t="shared" ca="1" si="34"/>
        <v>2.2395858855910829E-2</v>
      </c>
    </row>
    <row r="1397" spans="6:7" x14ac:dyDescent="0.3">
      <c r="F1397" s="124">
        <v>1391</v>
      </c>
      <c r="G1397" s="33">
        <f t="shared" ca="1" si="34"/>
        <v>5.3858145434178606E-2</v>
      </c>
    </row>
    <row r="1398" spans="6:7" x14ac:dyDescent="0.3">
      <c r="F1398" s="124">
        <v>1392</v>
      </c>
      <c r="G1398" s="33">
        <f t="shared" ca="1" si="34"/>
        <v>-3.444090248775844E-2</v>
      </c>
    </row>
    <row r="1399" spans="6:7" x14ac:dyDescent="0.3">
      <c r="F1399" s="124">
        <v>1393</v>
      </c>
      <c r="G1399" s="33">
        <f t="shared" ca="1" si="34"/>
        <v>2.857585003092528E-2</v>
      </c>
    </row>
    <row r="1400" spans="6:7" x14ac:dyDescent="0.3">
      <c r="F1400" s="124">
        <v>1394</v>
      </c>
      <c r="G1400" s="33">
        <f t="shared" ca="1" si="34"/>
        <v>-5.0561867141790161E-3</v>
      </c>
    </row>
    <row r="1401" spans="6:7" x14ac:dyDescent="0.3">
      <c r="F1401" s="124">
        <v>1395</v>
      </c>
      <c r="G1401" s="33">
        <f t="shared" ca="1" si="34"/>
        <v>5.3652334634122799E-2</v>
      </c>
    </row>
    <row r="1402" spans="6:7" x14ac:dyDescent="0.3">
      <c r="F1402" s="124">
        <v>1396</v>
      </c>
      <c r="G1402" s="33">
        <f t="shared" ca="1" si="34"/>
        <v>4.8163704358857341E-3</v>
      </c>
    </row>
    <row r="1403" spans="6:7" x14ac:dyDescent="0.3">
      <c r="F1403" s="124">
        <v>1397</v>
      </c>
      <c r="G1403" s="33">
        <f t="shared" ca="1" si="34"/>
        <v>1.730712956964324E-2</v>
      </c>
    </row>
    <row r="1404" spans="6:7" x14ac:dyDescent="0.3">
      <c r="F1404" s="124">
        <v>1398</v>
      </c>
      <c r="G1404" s="33">
        <f t="shared" ca="1" si="34"/>
        <v>-5.1893579258624435E-3</v>
      </c>
    </row>
    <row r="1405" spans="6:7" x14ac:dyDescent="0.3">
      <c r="F1405" s="124">
        <v>1399</v>
      </c>
      <c r="G1405" s="33">
        <f t="shared" ca="1" si="34"/>
        <v>4.4305459165079421E-2</v>
      </c>
    </row>
    <row r="1406" spans="6:7" x14ac:dyDescent="0.3">
      <c r="F1406" s="124">
        <v>1400</v>
      </c>
      <c r="G1406" s="33">
        <f t="shared" ca="1" si="34"/>
        <v>-1.3224687399448681E-2</v>
      </c>
    </row>
    <row r="1407" spans="6:7" x14ac:dyDescent="0.3">
      <c r="F1407" s="124">
        <v>1401</v>
      </c>
      <c r="G1407" s="33">
        <f t="shared" ca="1" si="34"/>
        <v>-2.3245657059515739E-2</v>
      </c>
    </row>
    <row r="1408" spans="6:7" x14ac:dyDescent="0.3">
      <c r="F1408" s="124">
        <v>1402</v>
      </c>
      <c r="G1408" s="33">
        <f t="shared" ca="1" si="34"/>
        <v>3.8034729067313016E-4</v>
      </c>
    </row>
    <row r="1409" spans="6:7" x14ac:dyDescent="0.3">
      <c r="F1409" s="124">
        <v>1403</v>
      </c>
      <c r="G1409" s="33">
        <f t="shared" ca="1" si="34"/>
        <v>2.2345470604011597E-3</v>
      </c>
    </row>
    <row r="1410" spans="6:7" x14ac:dyDescent="0.3">
      <c r="F1410" s="124">
        <v>1404</v>
      </c>
      <c r="G1410" s="33">
        <f t="shared" ca="1" si="34"/>
        <v>-3.6435342552960173E-2</v>
      </c>
    </row>
    <row r="1411" spans="6:7" x14ac:dyDescent="0.3">
      <c r="F1411" s="124">
        <v>1405</v>
      </c>
      <c r="G1411" s="33">
        <f t="shared" ca="1" si="34"/>
        <v>2.7911604453553914E-3</v>
      </c>
    </row>
    <row r="1412" spans="6:7" x14ac:dyDescent="0.3">
      <c r="F1412" s="124">
        <v>1406</v>
      </c>
      <c r="G1412" s="33">
        <f t="shared" ca="1" si="34"/>
        <v>2.7472821370832429E-2</v>
      </c>
    </row>
    <row r="1413" spans="6:7" x14ac:dyDescent="0.3">
      <c r="F1413" s="124">
        <v>1407</v>
      </c>
      <c r="G1413" s="33">
        <f t="shared" ca="1" si="34"/>
        <v>-2.4764037945934582E-3</v>
      </c>
    </row>
    <row r="1414" spans="6:7" x14ac:dyDescent="0.3">
      <c r="F1414" s="124">
        <v>1408</v>
      </c>
      <c r="G1414" s="33">
        <f t="shared" ca="1" si="34"/>
        <v>1.8674086595286396E-2</v>
      </c>
    </row>
    <row r="1415" spans="6:7" x14ac:dyDescent="0.3">
      <c r="F1415" s="124">
        <v>1409</v>
      </c>
      <c r="G1415" s="33">
        <f t="shared" ca="1" si="34"/>
        <v>1.6931216367043169E-2</v>
      </c>
    </row>
    <row r="1416" spans="6:7" x14ac:dyDescent="0.3">
      <c r="F1416" s="124">
        <v>1410</v>
      </c>
      <c r="G1416" s="33">
        <f t="shared" ref="G1416:G1479" ca="1" si="35">_xlfn.NORM.INV(RAND(),$M$9,$M$10)</f>
        <v>1.9339431725350065E-2</v>
      </c>
    </row>
    <row r="1417" spans="6:7" x14ac:dyDescent="0.3">
      <c r="F1417" s="124">
        <v>1411</v>
      </c>
      <c r="G1417" s="33">
        <f t="shared" ca="1" si="35"/>
        <v>-0.10106360309511656</v>
      </c>
    </row>
    <row r="1418" spans="6:7" x14ac:dyDescent="0.3">
      <c r="F1418" s="124">
        <v>1412</v>
      </c>
      <c r="G1418" s="33">
        <f t="shared" ca="1" si="35"/>
        <v>-1.5494600806066204E-2</v>
      </c>
    </row>
    <row r="1419" spans="6:7" x14ac:dyDescent="0.3">
      <c r="F1419" s="124">
        <v>1413</v>
      </c>
      <c r="G1419" s="33">
        <f t="shared" ca="1" si="35"/>
        <v>-2.3633319260227565E-2</v>
      </c>
    </row>
    <row r="1420" spans="6:7" x14ac:dyDescent="0.3">
      <c r="F1420" s="124">
        <v>1414</v>
      </c>
      <c r="G1420" s="33">
        <f t="shared" ca="1" si="35"/>
        <v>-2.9873118061655875E-2</v>
      </c>
    </row>
    <row r="1421" spans="6:7" x14ac:dyDescent="0.3">
      <c r="F1421" s="124">
        <v>1415</v>
      </c>
      <c r="G1421" s="33">
        <f t="shared" ca="1" si="35"/>
        <v>8.8670112868835631E-3</v>
      </c>
    </row>
    <row r="1422" spans="6:7" x14ac:dyDescent="0.3">
      <c r="F1422" s="124">
        <v>1416</v>
      </c>
      <c r="G1422" s="33">
        <f t="shared" ca="1" si="35"/>
        <v>1.7716576728163489E-2</v>
      </c>
    </row>
    <row r="1423" spans="6:7" x14ac:dyDescent="0.3">
      <c r="F1423" s="124">
        <v>1417</v>
      </c>
      <c r="G1423" s="33">
        <f t="shared" ca="1" si="35"/>
        <v>-4.5021248698900937E-2</v>
      </c>
    </row>
    <row r="1424" spans="6:7" x14ac:dyDescent="0.3">
      <c r="F1424" s="124">
        <v>1418</v>
      </c>
      <c r="G1424" s="33">
        <f t="shared" ca="1" si="35"/>
        <v>1.4721722153833772E-2</v>
      </c>
    </row>
    <row r="1425" spans="6:7" x14ac:dyDescent="0.3">
      <c r="F1425" s="124">
        <v>1419</v>
      </c>
      <c r="G1425" s="33">
        <f t="shared" ca="1" si="35"/>
        <v>-5.206911341996466E-2</v>
      </c>
    </row>
    <row r="1426" spans="6:7" x14ac:dyDescent="0.3">
      <c r="F1426" s="124">
        <v>1420</v>
      </c>
      <c r="G1426" s="33">
        <f t="shared" ca="1" si="35"/>
        <v>-2.4054591285393966E-2</v>
      </c>
    </row>
    <row r="1427" spans="6:7" x14ac:dyDescent="0.3">
      <c r="F1427" s="124">
        <v>1421</v>
      </c>
      <c r="G1427" s="33">
        <f t="shared" ca="1" si="35"/>
        <v>-4.8771821923409488E-2</v>
      </c>
    </row>
    <row r="1428" spans="6:7" x14ac:dyDescent="0.3">
      <c r="F1428" s="124">
        <v>1422</v>
      </c>
      <c r="G1428" s="33">
        <f t="shared" ca="1" si="35"/>
        <v>4.0822288403168552E-2</v>
      </c>
    </row>
    <row r="1429" spans="6:7" x14ac:dyDescent="0.3">
      <c r="F1429" s="124">
        <v>1423</v>
      </c>
      <c r="G1429" s="33">
        <f t="shared" ca="1" si="35"/>
        <v>4.2848873662549622E-2</v>
      </c>
    </row>
    <row r="1430" spans="6:7" x14ac:dyDescent="0.3">
      <c r="F1430" s="124">
        <v>1424</v>
      </c>
      <c r="G1430" s="33">
        <f t="shared" ca="1" si="35"/>
        <v>-4.7496923262688853E-2</v>
      </c>
    </row>
    <row r="1431" spans="6:7" x14ac:dyDescent="0.3">
      <c r="F1431" s="124">
        <v>1425</v>
      </c>
      <c r="G1431" s="33">
        <f t="shared" ca="1" si="35"/>
        <v>7.3477774329431311E-2</v>
      </c>
    </row>
    <row r="1432" spans="6:7" x14ac:dyDescent="0.3">
      <c r="F1432" s="124">
        <v>1426</v>
      </c>
      <c r="G1432" s="33">
        <f t="shared" ca="1" si="35"/>
        <v>-1.7586052230023071E-2</v>
      </c>
    </row>
    <row r="1433" spans="6:7" x14ac:dyDescent="0.3">
      <c r="F1433" s="124">
        <v>1427</v>
      </c>
      <c r="G1433" s="33">
        <f t="shared" ca="1" si="35"/>
        <v>2.0095199068921678E-2</v>
      </c>
    </row>
    <row r="1434" spans="6:7" x14ac:dyDescent="0.3">
      <c r="F1434" s="124">
        <v>1428</v>
      </c>
      <c r="G1434" s="33">
        <f t="shared" ca="1" si="35"/>
        <v>2.4070923595894651E-2</v>
      </c>
    </row>
    <row r="1435" spans="6:7" x14ac:dyDescent="0.3">
      <c r="F1435" s="124">
        <v>1429</v>
      </c>
      <c r="G1435" s="33">
        <f t="shared" ca="1" si="35"/>
        <v>2.5722877347424282E-2</v>
      </c>
    </row>
    <row r="1436" spans="6:7" x14ac:dyDescent="0.3">
      <c r="F1436" s="124">
        <v>1430</v>
      </c>
      <c r="G1436" s="33">
        <f t="shared" ca="1" si="35"/>
        <v>-9.6489009446518309E-3</v>
      </c>
    </row>
    <row r="1437" spans="6:7" x14ac:dyDescent="0.3">
      <c r="F1437" s="124">
        <v>1431</v>
      </c>
      <c r="G1437" s="33">
        <f t="shared" ca="1" si="35"/>
        <v>3.7637080654221187E-2</v>
      </c>
    </row>
    <row r="1438" spans="6:7" x14ac:dyDescent="0.3">
      <c r="F1438" s="124">
        <v>1432</v>
      </c>
      <c r="G1438" s="33">
        <f t="shared" ca="1" si="35"/>
        <v>2.5729032727750532E-2</v>
      </c>
    </row>
    <row r="1439" spans="6:7" x14ac:dyDescent="0.3">
      <c r="F1439" s="124">
        <v>1433</v>
      </c>
      <c r="G1439" s="33">
        <f t="shared" ca="1" si="35"/>
        <v>-3.8973261085082707E-2</v>
      </c>
    </row>
    <row r="1440" spans="6:7" x14ac:dyDescent="0.3">
      <c r="F1440" s="124">
        <v>1434</v>
      </c>
      <c r="G1440" s="33">
        <f t="shared" ca="1" si="35"/>
        <v>9.0217657877434743E-2</v>
      </c>
    </row>
    <row r="1441" spans="6:7" x14ac:dyDescent="0.3">
      <c r="F1441" s="124">
        <v>1435</v>
      </c>
      <c r="G1441" s="33">
        <f t="shared" ca="1" si="35"/>
        <v>-1.7635627047247041E-2</v>
      </c>
    </row>
    <row r="1442" spans="6:7" x14ac:dyDescent="0.3">
      <c r="F1442" s="124">
        <v>1436</v>
      </c>
      <c r="G1442" s="33">
        <f t="shared" ca="1" si="35"/>
        <v>-2.9404724325777414E-4</v>
      </c>
    </row>
    <row r="1443" spans="6:7" x14ac:dyDescent="0.3">
      <c r="F1443" s="124">
        <v>1437</v>
      </c>
      <c r="G1443" s="33">
        <f t="shared" ca="1" si="35"/>
        <v>3.0973413315100073E-2</v>
      </c>
    </row>
    <row r="1444" spans="6:7" x14ac:dyDescent="0.3">
      <c r="F1444" s="124">
        <v>1438</v>
      </c>
      <c r="G1444" s="33">
        <f t="shared" ca="1" si="35"/>
        <v>-3.3679762155950047E-2</v>
      </c>
    </row>
    <row r="1445" spans="6:7" x14ac:dyDescent="0.3">
      <c r="F1445" s="124">
        <v>1439</v>
      </c>
      <c r="G1445" s="33">
        <f t="shared" ca="1" si="35"/>
        <v>3.9116178478906014E-2</v>
      </c>
    </row>
    <row r="1446" spans="6:7" x14ac:dyDescent="0.3">
      <c r="F1446" s="124">
        <v>1440</v>
      </c>
      <c r="G1446" s="33">
        <f t="shared" ca="1" si="35"/>
        <v>3.943296930812016E-2</v>
      </c>
    </row>
    <row r="1447" spans="6:7" x14ac:dyDescent="0.3">
      <c r="F1447" s="124">
        <v>1441</v>
      </c>
      <c r="G1447" s="33">
        <f t="shared" ca="1" si="35"/>
        <v>1.3230615258842341E-2</v>
      </c>
    </row>
    <row r="1448" spans="6:7" x14ac:dyDescent="0.3">
      <c r="F1448" s="124">
        <v>1442</v>
      </c>
      <c r="G1448" s="33">
        <f t="shared" ca="1" si="35"/>
        <v>-1.2028343481177952E-2</v>
      </c>
    </row>
    <row r="1449" spans="6:7" x14ac:dyDescent="0.3">
      <c r="F1449" s="124">
        <v>1443</v>
      </c>
      <c r="G1449" s="33">
        <f t="shared" ca="1" si="35"/>
        <v>1.0999083234730138E-2</v>
      </c>
    </row>
    <row r="1450" spans="6:7" x14ac:dyDescent="0.3">
      <c r="F1450" s="124">
        <v>1444</v>
      </c>
      <c r="G1450" s="33">
        <f t="shared" ca="1" si="35"/>
        <v>-7.2525643291959279E-3</v>
      </c>
    </row>
    <row r="1451" spans="6:7" x14ac:dyDescent="0.3">
      <c r="F1451" s="124">
        <v>1445</v>
      </c>
      <c r="G1451" s="33">
        <f t="shared" ca="1" si="35"/>
        <v>3.0178395808320498E-2</v>
      </c>
    </row>
    <row r="1452" spans="6:7" x14ac:dyDescent="0.3">
      <c r="F1452" s="124">
        <v>1446</v>
      </c>
      <c r="G1452" s="33">
        <f t="shared" ca="1" si="35"/>
        <v>4.3691603852419957E-2</v>
      </c>
    </row>
    <row r="1453" spans="6:7" x14ac:dyDescent="0.3">
      <c r="F1453" s="124">
        <v>1447</v>
      </c>
      <c r="G1453" s="33">
        <f t="shared" ca="1" si="35"/>
        <v>1.9518715606810701E-2</v>
      </c>
    </row>
    <row r="1454" spans="6:7" x14ac:dyDescent="0.3">
      <c r="F1454" s="124">
        <v>1448</v>
      </c>
      <c r="G1454" s="33">
        <f t="shared" ca="1" si="35"/>
        <v>-1.5856955924077316E-3</v>
      </c>
    </row>
    <row r="1455" spans="6:7" x14ac:dyDescent="0.3">
      <c r="F1455" s="124">
        <v>1449</v>
      </c>
      <c r="G1455" s="33">
        <f t="shared" ca="1" si="35"/>
        <v>4.7489023017521816E-3</v>
      </c>
    </row>
    <row r="1456" spans="6:7" x14ac:dyDescent="0.3">
      <c r="F1456" s="124">
        <v>1450</v>
      </c>
      <c r="G1456" s="33">
        <f t="shared" ca="1" si="35"/>
        <v>-9.371403912974724E-3</v>
      </c>
    </row>
    <row r="1457" spans="6:7" x14ac:dyDescent="0.3">
      <c r="F1457" s="124">
        <v>1451</v>
      </c>
      <c r="G1457" s="33">
        <f t="shared" ca="1" si="35"/>
        <v>1.1859773876104894E-2</v>
      </c>
    </row>
    <row r="1458" spans="6:7" x14ac:dyDescent="0.3">
      <c r="F1458" s="124">
        <v>1452</v>
      </c>
      <c r="G1458" s="33">
        <f t="shared" ca="1" si="35"/>
        <v>2.4311072959572799E-2</v>
      </c>
    </row>
    <row r="1459" spans="6:7" x14ac:dyDescent="0.3">
      <c r="F1459" s="124">
        <v>1453</v>
      </c>
      <c r="G1459" s="33">
        <f t="shared" ca="1" si="35"/>
        <v>4.8162524976524132E-4</v>
      </c>
    </row>
    <row r="1460" spans="6:7" x14ac:dyDescent="0.3">
      <c r="F1460" s="124">
        <v>1454</v>
      </c>
      <c r="G1460" s="33">
        <f t="shared" ca="1" si="35"/>
        <v>-2.4769632223609764E-3</v>
      </c>
    </row>
    <row r="1461" spans="6:7" x14ac:dyDescent="0.3">
      <c r="F1461" s="124">
        <v>1455</v>
      </c>
      <c r="G1461" s="33">
        <f t="shared" ca="1" si="35"/>
        <v>1.4441989418286422E-2</v>
      </c>
    </row>
    <row r="1462" spans="6:7" x14ac:dyDescent="0.3">
      <c r="F1462" s="124">
        <v>1456</v>
      </c>
      <c r="G1462" s="33">
        <f t="shared" ca="1" si="35"/>
        <v>-2.7163618590916812E-2</v>
      </c>
    </row>
    <row r="1463" spans="6:7" x14ac:dyDescent="0.3">
      <c r="F1463" s="124">
        <v>1457</v>
      </c>
      <c r="G1463" s="33">
        <f t="shared" ca="1" si="35"/>
        <v>1.2662180449781252E-2</v>
      </c>
    </row>
    <row r="1464" spans="6:7" x14ac:dyDescent="0.3">
      <c r="F1464" s="124">
        <v>1458</v>
      </c>
      <c r="G1464" s="33">
        <f t="shared" ca="1" si="35"/>
        <v>6.7070184732424723E-2</v>
      </c>
    </row>
    <row r="1465" spans="6:7" x14ac:dyDescent="0.3">
      <c r="F1465" s="124">
        <v>1459</v>
      </c>
      <c r="G1465" s="33">
        <f t="shared" ca="1" si="35"/>
        <v>1.49613864552076E-3</v>
      </c>
    </row>
    <row r="1466" spans="6:7" x14ac:dyDescent="0.3">
      <c r="F1466" s="124">
        <v>1460</v>
      </c>
      <c r="G1466" s="33">
        <f t="shared" ca="1" si="35"/>
        <v>2.0611272632553662E-2</v>
      </c>
    </row>
    <row r="1467" spans="6:7" x14ac:dyDescent="0.3">
      <c r="F1467" s="124">
        <v>1461</v>
      </c>
      <c r="G1467" s="33">
        <f t="shared" ca="1" si="35"/>
        <v>-2.9848612051000162E-2</v>
      </c>
    </row>
    <row r="1468" spans="6:7" x14ac:dyDescent="0.3">
      <c r="F1468" s="124">
        <v>1462</v>
      </c>
      <c r="G1468" s="33">
        <f t="shared" ca="1" si="35"/>
        <v>1.7700927336897661E-2</v>
      </c>
    </row>
    <row r="1469" spans="6:7" x14ac:dyDescent="0.3">
      <c r="F1469" s="124">
        <v>1463</v>
      </c>
      <c r="G1469" s="33">
        <f t="shared" ca="1" si="35"/>
        <v>2.6050177414439338E-2</v>
      </c>
    </row>
    <row r="1470" spans="6:7" x14ac:dyDescent="0.3">
      <c r="F1470" s="124">
        <v>1464</v>
      </c>
      <c r="G1470" s="33">
        <f t="shared" ca="1" si="35"/>
        <v>5.4648233247729078E-2</v>
      </c>
    </row>
    <row r="1471" spans="6:7" x14ac:dyDescent="0.3">
      <c r="F1471" s="124">
        <v>1465</v>
      </c>
      <c r="G1471" s="33">
        <f t="shared" ca="1" si="35"/>
        <v>5.162955515001267E-2</v>
      </c>
    </row>
    <row r="1472" spans="6:7" x14ac:dyDescent="0.3">
      <c r="F1472" s="124">
        <v>1466</v>
      </c>
      <c r="G1472" s="33">
        <f t="shared" ca="1" si="35"/>
        <v>-5.5651677583055489E-2</v>
      </c>
    </row>
    <row r="1473" spans="6:7" x14ac:dyDescent="0.3">
      <c r="F1473" s="124">
        <v>1467</v>
      </c>
      <c r="G1473" s="33">
        <f t="shared" ca="1" si="35"/>
        <v>-1.856086556053657E-3</v>
      </c>
    </row>
    <row r="1474" spans="6:7" x14ac:dyDescent="0.3">
      <c r="F1474" s="124">
        <v>1468</v>
      </c>
      <c r="G1474" s="33">
        <f t="shared" ca="1" si="35"/>
        <v>1.1248271882378459E-2</v>
      </c>
    </row>
    <row r="1475" spans="6:7" x14ac:dyDescent="0.3">
      <c r="F1475" s="124">
        <v>1469</v>
      </c>
      <c r="G1475" s="33">
        <f t="shared" ca="1" si="35"/>
        <v>-5.2503696835340188E-2</v>
      </c>
    </row>
    <row r="1476" spans="6:7" x14ac:dyDescent="0.3">
      <c r="F1476" s="124">
        <v>1470</v>
      </c>
      <c r="G1476" s="33">
        <f t="shared" ca="1" si="35"/>
        <v>-3.3898326005198987E-2</v>
      </c>
    </row>
    <row r="1477" spans="6:7" x14ac:dyDescent="0.3">
      <c r="F1477" s="124">
        <v>1471</v>
      </c>
      <c r="G1477" s="33">
        <f t="shared" ca="1" si="35"/>
        <v>-2.6259904323449778E-2</v>
      </c>
    </row>
    <row r="1478" spans="6:7" x14ac:dyDescent="0.3">
      <c r="F1478" s="124">
        <v>1472</v>
      </c>
      <c r="G1478" s="33">
        <f t="shared" ca="1" si="35"/>
        <v>3.5543742900766208E-2</v>
      </c>
    </row>
    <row r="1479" spans="6:7" x14ac:dyDescent="0.3">
      <c r="F1479" s="124">
        <v>1473</v>
      </c>
      <c r="G1479" s="33">
        <f t="shared" ca="1" si="35"/>
        <v>-4.8282600436285211E-2</v>
      </c>
    </row>
    <row r="1480" spans="6:7" x14ac:dyDescent="0.3">
      <c r="F1480" s="124">
        <v>1474</v>
      </c>
      <c r="G1480" s="33">
        <f t="shared" ref="G1480:G1543" ca="1" si="36">_xlfn.NORM.INV(RAND(),$M$9,$M$10)</f>
        <v>1.0020152399357322E-2</v>
      </c>
    </row>
    <row r="1481" spans="6:7" x14ac:dyDescent="0.3">
      <c r="F1481" s="124">
        <v>1475</v>
      </c>
      <c r="G1481" s="33">
        <f t="shared" ca="1" si="36"/>
        <v>6.1227336703410525E-2</v>
      </c>
    </row>
    <row r="1482" spans="6:7" x14ac:dyDescent="0.3">
      <c r="F1482" s="124">
        <v>1476</v>
      </c>
      <c r="G1482" s="33">
        <f t="shared" ca="1" si="36"/>
        <v>-3.3043917698577251E-2</v>
      </c>
    </row>
    <row r="1483" spans="6:7" x14ac:dyDescent="0.3">
      <c r="F1483" s="124">
        <v>1477</v>
      </c>
      <c r="G1483" s="33">
        <f t="shared" ca="1" si="36"/>
        <v>2.6671602147270237E-2</v>
      </c>
    </row>
    <row r="1484" spans="6:7" x14ac:dyDescent="0.3">
      <c r="F1484" s="124">
        <v>1478</v>
      </c>
      <c r="G1484" s="33">
        <f t="shared" ca="1" si="36"/>
        <v>-4.4504743156950695E-2</v>
      </c>
    </row>
    <row r="1485" spans="6:7" x14ac:dyDescent="0.3">
      <c r="F1485" s="124">
        <v>1479</v>
      </c>
      <c r="G1485" s="33">
        <f t="shared" ca="1" si="36"/>
        <v>-5.8650383944517208E-3</v>
      </c>
    </row>
    <row r="1486" spans="6:7" x14ac:dyDescent="0.3">
      <c r="F1486" s="124">
        <v>1480</v>
      </c>
      <c r="G1486" s="33">
        <f t="shared" ca="1" si="36"/>
        <v>5.0520721937827438E-2</v>
      </c>
    </row>
    <row r="1487" spans="6:7" x14ac:dyDescent="0.3">
      <c r="F1487" s="124">
        <v>1481</v>
      </c>
      <c r="G1487" s="33">
        <f t="shared" ca="1" si="36"/>
        <v>8.2925983247691543E-3</v>
      </c>
    </row>
    <row r="1488" spans="6:7" x14ac:dyDescent="0.3">
      <c r="F1488" s="124">
        <v>1482</v>
      </c>
      <c r="G1488" s="33">
        <f t="shared" ca="1" si="36"/>
        <v>4.7432927859185195E-2</v>
      </c>
    </row>
    <row r="1489" spans="6:7" x14ac:dyDescent="0.3">
      <c r="F1489" s="124">
        <v>1483</v>
      </c>
      <c r="G1489" s="33">
        <f t="shared" ca="1" si="36"/>
        <v>-7.110756587651681E-3</v>
      </c>
    </row>
    <row r="1490" spans="6:7" x14ac:dyDescent="0.3">
      <c r="F1490" s="124">
        <v>1484</v>
      </c>
      <c r="G1490" s="33">
        <f t="shared" ca="1" si="36"/>
        <v>-2.1436552166952682E-2</v>
      </c>
    </row>
    <row r="1491" spans="6:7" x14ac:dyDescent="0.3">
      <c r="F1491" s="124">
        <v>1485</v>
      </c>
      <c r="G1491" s="33">
        <f t="shared" ca="1" si="36"/>
        <v>3.0757264643425417E-2</v>
      </c>
    </row>
    <row r="1492" spans="6:7" x14ac:dyDescent="0.3">
      <c r="F1492" s="124">
        <v>1486</v>
      </c>
      <c r="G1492" s="33">
        <f t="shared" ca="1" si="36"/>
        <v>1.0226468643125177E-2</v>
      </c>
    </row>
    <row r="1493" spans="6:7" x14ac:dyDescent="0.3">
      <c r="F1493" s="124">
        <v>1487</v>
      </c>
      <c r="G1493" s="33">
        <f t="shared" ca="1" si="36"/>
        <v>2.5427002206868967E-2</v>
      </c>
    </row>
    <row r="1494" spans="6:7" x14ac:dyDescent="0.3">
      <c r="F1494" s="124">
        <v>1488</v>
      </c>
      <c r="G1494" s="33">
        <f t="shared" ca="1" si="36"/>
        <v>3.0773411671267164E-2</v>
      </c>
    </row>
    <row r="1495" spans="6:7" x14ac:dyDescent="0.3">
      <c r="F1495" s="124">
        <v>1489</v>
      </c>
      <c r="G1495" s="33">
        <f t="shared" ca="1" si="36"/>
        <v>8.6146558254638177E-3</v>
      </c>
    </row>
    <row r="1496" spans="6:7" x14ac:dyDescent="0.3">
      <c r="F1496" s="124">
        <v>1490</v>
      </c>
      <c r="G1496" s="33">
        <f t="shared" ca="1" si="36"/>
        <v>3.792717251375771E-3</v>
      </c>
    </row>
    <row r="1497" spans="6:7" x14ac:dyDescent="0.3">
      <c r="F1497" s="124">
        <v>1491</v>
      </c>
      <c r="G1497" s="33">
        <f t="shared" ca="1" si="36"/>
        <v>-4.3585238274105924E-2</v>
      </c>
    </row>
    <row r="1498" spans="6:7" x14ac:dyDescent="0.3">
      <c r="F1498" s="124">
        <v>1492</v>
      </c>
      <c r="G1498" s="33">
        <f t="shared" ca="1" si="36"/>
        <v>-1.2514121410729068E-2</v>
      </c>
    </row>
    <row r="1499" spans="6:7" x14ac:dyDescent="0.3">
      <c r="F1499" s="124">
        <v>1493</v>
      </c>
      <c r="G1499" s="33">
        <f t="shared" ca="1" si="36"/>
        <v>-5.4534560238395584E-2</v>
      </c>
    </row>
    <row r="1500" spans="6:7" x14ac:dyDescent="0.3">
      <c r="F1500" s="124">
        <v>1494</v>
      </c>
      <c r="G1500" s="33">
        <f t="shared" ca="1" si="36"/>
        <v>-9.8669679590223658E-3</v>
      </c>
    </row>
    <row r="1501" spans="6:7" x14ac:dyDescent="0.3">
      <c r="F1501" s="124">
        <v>1495</v>
      </c>
      <c r="G1501" s="33">
        <f t="shared" ca="1" si="36"/>
        <v>-1.3250093419803086E-2</v>
      </c>
    </row>
    <row r="1502" spans="6:7" x14ac:dyDescent="0.3">
      <c r="F1502" s="124">
        <v>1496</v>
      </c>
      <c r="G1502" s="33">
        <f t="shared" ca="1" si="36"/>
        <v>1.3780823909206086E-2</v>
      </c>
    </row>
    <row r="1503" spans="6:7" x14ac:dyDescent="0.3">
      <c r="F1503" s="124">
        <v>1497</v>
      </c>
      <c r="G1503" s="33">
        <f t="shared" ca="1" si="36"/>
        <v>2.356558864492468E-3</v>
      </c>
    </row>
    <row r="1504" spans="6:7" x14ac:dyDescent="0.3">
      <c r="F1504" s="124">
        <v>1498</v>
      </c>
      <c r="G1504" s="33">
        <f t="shared" ca="1" si="36"/>
        <v>-1.3313376661308995E-2</v>
      </c>
    </row>
    <row r="1505" spans="6:7" x14ac:dyDescent="0.3">
      <c r="F1505" s="124">
        <v>1499</v>
      </c>
      <c r="G1505" s="33">
        <f t="shared" ca="1" si="36"/>
        <v>-6.6922553399135026E-2</v>
      </c>
    </row>
    <row r="1506" spans="6:7" x14ac:dyDescent="0.3">
      <c r="F1506" s="124">
        <v>1500</v>
      </c>
      <c r="G1506" s="33">
        <f t="shared" ca="1" si="36"/>
        <v>4.4447692213995978E-2</v>
      </c>
    </row>
    <row r="1507" spans="6:7" x14ac:dyDescent="0.3">
      <c r="F1507" s="124">
        <v>1501</v>
      </c>
      <c r="G1507" s="33">
        <f t="shared" ca="1" si="36"/>
        <v>7.6737588102979678E-3</v>
      </c>
    </row>
    <row r="1508" spans="6:7" x14ac:dyDescent="0.3">
      <c r="F1508" s="124">
        <v>1502</v>
      </c>
      <c r="G1508" s="33">
        <f t="shared" ca="1" si="36"/>
        <v>-1.3861558468457953E-2</v>
      </c>
    </row>
    <row r="1509" spans="6:7" x14ac:dyDescent="0.3">
      <c r="F1509" s="124">
        <v>1503</v>
      </c>
      <c r="G1509" s="33">
        <f t="shared" ca="1" si="36"/>
        <v>-2.6494705779561964E-2</v>
      </c>
    </row>
    <row r="1510" spans="6:7" x14ac:dyDescent="0.3">
      <c r="F1510" s="124">
        <v>1504</v>
      </c>
      <c r="G1510" s="33">
        <f t="shared" ca="1" si="36"/>
        <v>-2.9953436482099038E-2</v>
      </c>
    </row>
    <row r="1511" spans="6:7" x14ac:dyDescent="0.3">
      <c r="F1511" s="124">
        <v>1505</v>
      </c>
      <c r="G1511" s="33">
        <f t="shared" ca="1" si="36"/>
        <v>1.6181557068391448E-2</v>
      </c>
    </row>
    <row r="1512" spans="6:7" x14ac:dyDescent="0.3">
      <c r="F1512" s="124">
        <v>1506</v>
      </c>
      <c r="G1512" s="33">
        <f t="shared" ca="1" si="36"/>
        <v>7.5279576462357117E-3</v>
      </c>
    </row>
    <row r="1513" spans="6:7" x14ac:dyDescent="0.3">
      <c r="F1513" s="124">
        <v>1507</v>
      </c>
      <c r="G1513" s="33">
        <f t="shared" ca="1" si="36"/>
        <v>1.2296246573156398E-2</v>
      </c>
    </row>
    <row r="1514" spans="6:7" x14ac:dyDescent="0.3">
      <c r="F1514" s="124">
        <v>1508</v>
      </c>
      <c r="G1514" s="33">
        <f t="shared" ca="1" si="36"/>
        <v>2.8955122956679302E-2</v>
      </c>
    </row>
    <row r="1515" spans="6:7" x14ac:dyDescent="0.3">
      <c r="F1515" s="124">
        <v>1509</v>
      </c>
      <c r="G1515" s="33">
        <f t="shared" ca="1" si="36"/>
        <v>-2.1005821686240895E-2</v>
      </c>
    </row>
    <row r="1516" spans="6:7" x14ac:dyDescent="0.3">
      <c r="F1516" s="124">
        <v>1510</v>
      </c>
      <c r="G1516" s="33">
        <f t="shared" ca="1" si="36"/>
        <v>-3.2851017991892634E-2</v>
      </c>
    </row>
    <row r="1517" spans="6:7" x14ac:dyDescent="0.3">
      <c r="F1517" s="124">
        <v>1511</v>
      </c>
      <c r="G1517" s="33">
        <f t="shared" ca="1" si="36"/>
        <v>4.6358518859129644E-2</v>
      </c>
    </row>
    <row r="1518" spans="6:7" x14ac:dyDescent="0.3">
      <c r="F1518" s="124">
        <v>1512</v>
      </c>
      <c r="G1518" s="33">
        <f t="shared" ca="1" si="36"/>
        <v>2.523431791645599E-2</v>
      </c>
    </row>
    <row r="1519" spans="6:7" x14ac:dyDescent="0.3">
      <c r="F1519" s="124">
        <v>1513</v>
      </c>
      <c r="G1519" s="33">
        <f t="shared" ca="1" si="36"/>
        <v>-1.2102842983810404E-2</v>
      </c>
    </row>
    <row r="1520" spans="6:7" x14ac:dyDescent="0.3">
      <c r="F1520" s="124">
        <v>1514</v>
      </c>
      <c r="G1520" s="33">
        <f t="shared" ca="1" si="36"/>
        <v>-2.1006661075743824E-2</v>
      </c>
    </row>
    <row r="1521" spans="6:7" x14ac:dyDescent="0.3">
      <c r="F1521" s="124">
        <v>1515</v>
      </c>
      <c r="G1521" s="33">
        <f t="shared" ca="1" si="36"/>
        <v>4.2843038576788409E-2</v>
      </c>
    </row>
    <row r="1522" spans="6:7" x14ac:dyDescent="0.3">
      <c r="F1522" s="124">
        <v>1516</v>
      </c>
      <c r="G1522" s="33">
        <f t="shared" ca="1" si="36"/>
        <v>3.8460778568028285E-2</v>
      </c>
    </row>
    <row r="1523" spans="6:7" x14ac:dyDescent="0.3">
      <c r="F1523" s="124">
        <v>1517</v>
      </c>
      <c r="G1523" s="33">
        <f t="shared" ca="1" si="36"/>
        <v>2.1292918777113527E-2</v>
      </c>
    </row>
    <row r="1524" spans="6:7" x14ac:dyDescent="0.3">
      <c r="F1524" s="124">
        <v>1518</v>
      </c>
      <c r="G1524" s="33">
        <f t="shared" ca="1" si="36"/>
        <v>1.0488015198763665E-2</v>
      </c>
    </row>
    <row r="1525" spans="6:7" x14ac:dyDescent="0.3">
      <c r="F1525" s="124">
        <v>1519</v>
      </c>
      <c r="G1525" s="33">
        <f t="shared" ca="1" si="36"/>
        <v>4.5548297063197067E-2</v>
      </c>
    </row>
    <row r="1526" spans="6:7" x14ac:dyDescent="0.3">
      <c r="F1526" s="124">
        <v>1520</v>
      </c>
      <c r="G1526" s="33">
        <f t="shared" ca="1" si="36"/>
        <v>8.8282722127808865E-3</v>
      </c>
    </row>
    <row r="1527" spans="6:7" x14ac:dyDescent="0.3">
      <c r="F1527" s="124">
        <v>1521</v>
      </c>
      <c r="G1527" s="33">
        <f t="shared" ca="1" si="36"/>
        <v>-1.0978496805796014E-2</v>
      </c>
    </row>
    <row r="1528" spans="6:7" x14ac:dyDescent="0.3">
      <c r="F1528" s="124">
        <v>1522</v>
      </c>
      <c r="G1528" s="33">
        <f t="shared" ca="1" si="36"/>
        <v>5.2357260867570483E-2</v>
      </c>
    </row>
    <row r="1529" spans="6:7" x14ac:dyDescent="0.3">
      <c r="F1529" s="124">
        <v>1523</v>
      </c>
      <c r="G1529" s="33">
        <f t="shared" ca="1" si="36"/>
        <v>-7.737524717320309E-3</v>
      </c>
    </row>
    <row r="1530" spans="6:7" x14ac:dyDescent="0.3">
      <c r="F1530" s="124">
        <v>1524</v>
      </c>
      <c r="G1530" s="33">
        <f t="shared" ca="1" si="36"/>
        <v>-3.3697742965060076E-2</v>
      </c>
    </row>
    <row r="1531" spans="6:7" x14ac:dyDescent="0.3">
      <c r="F1531" s="124">
        <v>1525</v>
      </c>
      <c r="G1531" s="33">
        <f t="shared" ca="1" si="36"/>
        <v>1.5668459599974198E-2</v>
      </c>
    </row>
    <row r="1532" spans="6:7" x14ac:dyDescent="0.3">
      <c r="F1532" s="124">
        <v>1526</v>
      </c>
      <c r="G1532" s="33">
        <f t="shared" ca="1" si="36"/>
        <v>9.6301176924489702E-3</v>
      </c>
    </row>
    <row r="1533" spans="6:7" x14ac:dyDescent="0.3">
      <c r="F1533" s="124">
        <v>1527</v>
      </c>
      <c r="G1533" s="33">
        <f t="shared" ca="1" si="36"/>
        <v>-3.8039246724865396E-2</v>
      </c>
    </row>
    <row r="1534" spans="6:7" x14ac:dyDescent="0.3">
      <c r="F1534" s="124">
        <v>1528</v>
      </c>
      <c r="G1534" s="33">
        <f t="shared" ca="1" si="36"/>
        <v>-2.1162308622670592E-3</v>
      </c>
    </row>
    <row r="1535" spans="6:7" x14ac:dyDescent="0.3">
      <c r="F1535" s="124">
        <v>1529</v>
      </c>
      <c r="G1535" s="33">
        <f t="shared" ca="1" si="36"/>
        <v>2.9828659112760898E-2</v>
      </c>
    </row>
    <row r="1536" spans="6:7" x14ac:dyDescent="0.3">
      <c r="F1536" s="124">
        <v>1530</v>
      </c>
      <c r="G1536" s="33">
        <f t="shared" ca="1" si="36"/>
        <v>-1.4983377353403982E-2</v>
      </c>
    </row>
    <row r="1537" spans="6:7" x14ac:dyDescent="0.3">
      <c r="F1537" s="124">
        <v>1531</v>
      </c>
      <c r="G1537" s="33">
        <f t="shared" ca="1" si="36"/>
        <v>-2.2201325311397898E-2</v>
      </c>
    </row>
    <row r="1538" spans="6:7" x14ac:dyDescent="0.3">
      <c r="F1538" s="124">
        <v>1532</v>
      </c>
      <c r="G1538" s="33">
        <f t="shared" ca="1" si="36"/>
        <v>-3.3780311811369444E-2</v>
      </c>
    </row>
    <row r="1539" spans="6:7" x14ac:dyDescent="0.3">
      <c r="F1539" s="124">
        <v>1533</v>
      </c>
      <c r="G1539" s="33">
        <f t="shared" ca="1" si="36"/>
        <v>3.2796157916176939E-2</v>
      </c>
    </row>
    <row r="1540" spans="6:7" x14ac:dyDescent="0.3">
      <c r="F1540" s="124">
        <v>1534</v>
      </c>
      <c r="G1540" s="33">
        <f t="shared" ca="1" si="36"/>
        <v>1.9626753081828763E-2</v>
      </c>
    </row>
    <row r="1541" spans="6:7" x14ac:dyDescent="0.3">
      <c r="F1541" s="124">
        <v>1535</v>
      </c>
      <c r="G1541" s="33">
        <f t="shared" ca="1" si="36"/>
        <v>3.2484900783140619E-2</v>
      </c>
    </row>
    <row r="1542" spans="6:7" x14ac:dyDescent="0.3">
      <c r="F1542" s="124">
        <v>1536</v>
      </c>
      <c r="G1542" s="33">
        <f t="shared" ca="1" si="36"/>
        <v>1.767968605069407E-2</v>
      </c>
    </row>
    <row r="1543" spans="6:7" x14ac:dyDescent="0.3">
      <c r="F1543" s="124">
        <v>1537</v>
      </c>
      <c r="G1543" s="33">
        <f t="shared" ca="1" si="36"/>
        <v>-5.1973842189204769E-2</v>
      </c>
    </row>
    <row r="1544" spans="6:7" x14ac:dyDescent="0.3">
      <c r="F1544" s="124">
        <v>1538</v>
      </c>
      <c r="G1544" s="33">
        <f t="shared" ref="G1544:G1607" ca="1" si="37">_xlfn.NORM.INV(RAND(),$M$9,$M$10)</f>
        <v>-6.618777527079526E-3</v>
      </c>
    </row>
    <row r="1545" spans="6:7" x14ac:dyDescent="0.3">
      <c r="F1545" s="124">
        <v>1539</v>
      </c>
      <c r="G1545" s="33">
        <f t="shared" ca="1" si="37"/>
        <v>2.1181208794839076E-2</v>
      </c>
    </row>
    <row r="1546" spans="6:7" x14ac:dyDescent="0.3">
      <c r="F1546" s="124">
        <v>1540</v>
      </c>
      <c r="G1546" s="33">
        <f t="shared" ca="1" si="37"/>
        <v>-1.8553330077138143E-2</v>
      </c>
    </row>
    <row r="1547" spans="6:7" x14ac:dyDescent="0.3">
      <c r="F1547" s="124">
        <v>1541</v>
      </c>
      <c r="G1547" s="33">
        <f t="shared" ca="1" si="37"/>
        <v>-4.8688348544533525E-3</v>
      </c>
    </row>
    <row r="1548" spans="6:7" x14ac:dyDescent="0.3">
      <c r="F1548" s="124">
        <v>1542</v>
      </c>
      <c r="G1548" s="33">
        <f t="shared" ca="1" si="37"/>
        <v>3.3774831689264657E-2</v>
      </c>
    </row>
    <row r="1549" spans="6:7" x14ac:dyDescent="0.3">
      <c r="F1549" s="124">
        <v>1543</v>
      </c>
      <c r="G1549" s="33">
        <f t="shared" ca="1" si="37"/>
        <v>1.9249937277721018E-2</v>
      </c>
    </row>
    <row r="1550" spans="6:7" x14ac:dyDescent="0.3">
      <c r="F1550" s="124">
        <v>1544</v>
      </c>
      <c r="G1550" s="33">
        <f t="shared" ca="1" si="37"/>
        <v>-4.1347597069362561E-3</v>
      </c>
    </row>
    <row r="1551" spans="6:7" x14ac:dyDescent="0.3">
      <c r="F1551" s="124">
        <v>1545</v>
      </c>
      <c r="G1551" s="33">
        <f t="shared" ca="1" si="37"/>
        <v>2.3713328058100587E-3</v>
      </c>
    </row>
    <row r="1552" spans="6:7" x14ac:dyDescent="0.3">
      <c r="F1552" s="124">
        <v>1546</v>
      </c>
      <c r="G1552" s="33">
        <f t="shared" ca="1" si="37"/>
        <v>1.4770870892433459E-2</v>
      </c>
    </row>
    <row r="1553" spans="6:7" x14ac:dyDescent="0.3">
      <c r="F1553" s="124">
        <v>1547</v>
      </c>
      <c r="G1553" s="33">
        <f t="shared" ca="1" si="37"/>
        <v>4.0570271164253949E-2</v>
      </c>
    </row>
    <row r="1554" spans="6:7" x14ac:dyDescent="0.3">
      <c r="F1554" s="124">
        <v>1548</v>
      </c>
      <c r="G1554" s="33">
        <f t="shared" ca="1" si="37"/>
        <v>7.6257384397175124E-3</v>
      </c>
    </row>
    <row r="1555" spans="6:7" x14ac:dyDescent="0.3">
      <c r="F1555" s="124">
        <v>1549</v>
      </c>
      <c r="G1555" s="33">
        <f t="shared" ca="1" si="37"/>
        <v>-7.9851994107409553E-4</v>
      </c>
    </row>
    <row r="1556" spans="6:7" x14ac:dyDescent="0.3">
      <c r="F1556" s="124">
        <v>1550</v>
      </c>
      <c r="G1556" s="33">
        <f t="shared" ca="1" si="37"/>
        <v>3.9809437779994947E-2</v>
      </c>
    </row>
    <row r="1557" spans="6:7" x14ac:dyDescent="0.3">
      <c r="F1557" s="124">
        <v>1551</v>
      </c>
      <c r="G1557" s="33">
        <f t="shared" ca="1" si="37"/>
        <v>-1.6741147905657262E-2</v>
      </c>
    </row>
    <row r="1558" spans="6:7" x14ac:dyDescent="0.3">
      <c r="F1558" s="124">
        <v>1552</v>
      </c>
      <c r="G1558" s="33">
        <f t="shared" ca="1" si="37"/>
        <v>-3.4368651737609481E-2</v>
      </c>
    </row>
    <row r="1559" spans="6:7" x14ac:dyDescent="0.3">
      <c r="F1559" s="124">
        <v>1553</v>
      </c>
      <c r="G1559" s="33">
        <f t="shared" ca="1" si="37"/>
        <v>-5.0339579244118068E-2</v>
      </c>
    </row>
    <row r="1560" spans="6:7" x14ac:dyDescent="0.3">
      <c r="F1560" s="124">
        <v>1554</v>
      </c>
      <c r="G1560" s="33">
        <f t="shared" ca="1" si="37"/>
        <v>2.3282857086350247E-2</v>
      </c>
    </row>
    <row r="1561" spans="6:7" x14ac:dyDescent="0.3">
      <c r="F1561" s="124">
        <v>1555</v>
      </c>
      <c r="G1561" s="33">
        <f t="shared" ca="1" si="37"/>
        <v>-5.2077380541045756E-2</v>
      </c>
    </row>
    <row r="1562" spans="6:7" x14ac:dyDescent="0.3">
      <c r="F1562" s="124">
        <v>1556</v>
      </c>
      <c r="G1562" s="33">
        <f t="shared" ca="1" si="37"/>
        <v>4.0870940552780715E-3</v>
      </c>
    </row>
    <row r="1563" spans="6:7" x14ac:dyDescent="0.3">
      <c r="F1563" s="124">
        <v>1557</v>
      </c>
      <c r="G1563" s="33">
        <f t="shared" ca="1" si="37"/>
        <v>1.6197268840715474E-2</v>
      </c>
    </row>
    <row r="1564" spans="6:7" x14ac:dyDescent="0.3">
      <c r="F1564" s="124">
        <v>1558</v>
      </c>
      <c r="G1564" s="33">
        <f t="shared" ca="1" si="37"/>
        <v>1.8605358924953377E-2</v>
      </c>
    </row>
    <row r="1565" spans="6:7" x14ac:dyDescent="0.3">
      <c r="F1565" s="124">
        <v>1559</v>
      </c>
      <c r="G1565" s="33">
        <f t="shared" ca="1" si="37"/>
        <v>-4.2146460666611041E-2</v>
      </c>
    </row>
    <row r="1566" spans="6:7" x14ac:dyDescent="0.3">
      <c r="F1566" s="124">
        <v>1560</v>
      </c>
      <c r="G1566" s="33">
        <f t="shared" ca="1" si="37"/>
        <v>6.5254284476818178E-2</v>
      </c>
    </row>
    <row r="1567" spans="6:7" x14ac:dyDescent="0.3">
      <c r="F1567" s="124">
        <v>1561</v>
      </c>
      <c r="G1567" s="33">
        <f t="shared" ca="1" si="37"/>
        <v>-1.3785746560742069E-2</v>
      </c>
    </row>
    <row r="1568" spans="6:7" x14ac:dyDescent="0.3">
      <c r="F1568" s="124">
        <v>1562</v>
      </c>
      <c r="G1568" s="33">
        <f t="shared" ca="1" si="37"/>
        <v>2.2514342545632123E-2</v>
      </c>
    </row>
    <row r="1569" spans="6:7" x14ac:dyDescent="0.3">
      <c r="F1569" s="124">
        <v>1563</v>
      </c>
      <c r="G1569" s="33">
        <f t="shared" ca="1" si="37"/>
        <v>9.6222491201309115E-3</v>
      </c>
    </row>
    <row r="1570" spans="6:7" x14ac:dyDescent="0.3">
      <c r="F1570" s="124">
        <v>1564</v>
      </c>
      <c r="G1570" s="33">
        <f t="shared" ca="1" si="37"/>
        <v>1.8747740705421276E-2</v>
      </c>
    </row>
    <row r="1571" spans="6:7" x14ac:dyDescent="0.3">
      <c r="F1571" s="124">
        <v>1565</v>
      </c>
      <c r="G1571" s="33">
        <f t="shared" ca="1" si="37"/>
        <v>2.2308859731659178E-3</v>
      </c>
    </row>
    <row r="1572" spans="6:7" x14ac:dyDescent="0.3">
      <c r="F1572" s="124">
        <v>1566</v>
      </c>
      <c r="G1572" s="33">
        <f t="shared" ca="1" si="37"/>
        <v>-4.4162437126440642E-2</v>
      </c>
    </row>
    <row r="1573" spans="6:7" x14ac:dyDescent="0.3">
      <c r="F1573" s="124">
        <v>1567</v>
      </c>
      <c r="G1573" s="33">
        <f t="shared" ca="1" si="37"/>
        <v>-1.9470788813135863E-2</v>
      </c>
    </row>
    <row r="1574" spans="6:7" x14ac:dyDescent="0.3">
      <c r="F1574" s="124">
        <v>1568</v>
      </c>
      <c r="G1574" s="33">
        <f t="shared" ca="1" si="37"/>
        <v>-2.5683076247202456E-2</v>
      </c>
    </row>
    <row r="1575" spans="6:7" x14ac:dyDescent="0.3">
      <c r="F1575" s="124">
        <v>1569</v>
      </c>
      <c r="G1575" s="33">
        <f t="shared" ca="1" si="37"/>
        <v>6.4457263876126089E-2</v>
      </c>
    </row>
    <row r="1576" spans="6:7" x14ac:dyDescent="0.3">
      <c r="F1576" s="124">
        <v>1570</v>
      </c>
      <c r="G1576" s="33">
        <f t="shared" ca="1" si="37"/>
        <v>3.2834350204464735E-2</v>
      </c>
    </row>
    <row r="1577" spans="6:7" x14ac:dyDescent="0.3">
      <c r="F1577" s="124">
        <v>1571</v>
      </c>
      <c r="G1577" s="33">
        <f t="shared" ca="1" si="37"/>
        <v>3.8725339480413762E-2</v>
      </c>
    </row>
    <row r="1578" spans="6:7" x14ac:dyDescent="0.3">
      <c r="F1578" s="124">
        <v>1572</v>
      </c>
      <c r="G1578" s="33">
        <f t="shared" ca="1" si="37"/>
        <v>2.5571703084538277E-2</v>
      </c>
    </row>
    <row r="1579" spans="6:7" x14ac:dyDescent="0.3">
      <c r="F1579" s="124">
        <v>1573</v>
      </c>
      <c r="G1579" s="33">
        <f t="shared" ca="1" si="37"/>
        <v>-5.2156221088388004E-3</v>
      </c>
    </row>
    <row r="1580" spans="6:7" x14ac:dyDescent="0.3">
      <c r="F1580" s="124">
        <v>1574</v>
      </c>
      <c r="G1580" s="33">
        <f t="shared" ca="1" si="37"/>
        <v>2.9370896048879325E-2</v>
      </c>
    </row>
    <row r="1581" spans="6:7" x14ac:dyDescent="0.3">
      <c r="F1581" s="124">
        <v>1575</v>
      </c>
      <c r="G1581" s="33">
        <f t="shared" ca="1" si="37"/>
        <v>-5.6534477081494781E-3</v>
      </c>
    </row>
    <row r="1582" spans="6:7" x14ac:dyDescent="0.3">
      <c r="F1582" s="124">
        <v>1576</v>
      </c>
      <c r="G1582" s="33">
        <f t="shared" ca="1" si="37"/>
        <v>-3.8430905970258014E-2</v>
      </c>
    </row>
    <row r="1583" spans="6:7" x14ac:dyDescent="0.3">
      <c r="F1583" s="124">
        <v>1577</v>
      </c>
      <c r="G1583" s="33">
        <f t="shared" ca="1" si="37"/>
        <v>-1.5542029810887269E-2</v>
      </c>
    </row>
    <row r="1584" spans="6:7" x14ac:dyDescent="0.3">
      <c r="F1584" s="124">
        <v>1578</v>
      </c>
      <c r="G1584" s="33">
        <f t="shared" ca="1" si="37"/>
        <v>2.3351997936449497E-2</v>
      </c>
    </row>
    <row r="1585" spans="6:7" x14ac:dyDescent="0.3">
      <c r="F1585" s="124">
        <v>1579</v>
      </c>
      <c r="G1585" s="33">
        <f t="shared" ca="1" si="37"/>
        <v>3.5927547211866598E-2</v>
      </c>
    </row>
    <row r="1586" spans="6:7" x14ac:dyDescent="0.3">
      <c r="F1586" s="124">
        <v>1580</v>
      </c>
      <c r="G1586" s="33">
        <f t="shared" ca="1" si="37"/>
        <v>-6.4242126688959761E-2</v>
      </c>
    </row>
    <row r="1587" spans="6:7" x14ac:dyDescent="0.3">
      <c r="F1587" s="124">
        <v>1581</v>
      </c>
      <c r="G1587" s="33">
        <f t="shared" ca="1" si="37"/>
        <v>-1.0795292784341073E-2</v>
      </c>
    </row>
    <row r="1588" spans="6:7" x14ac:dyDescent="0.3">
      <c r="F1588" s="124">
        <v>1582</v>
      </c>
      <c r="G1588" s="33">
        <f t="shared" ca="1" si="37"/>
        <v>2.934026456275636E-2</v>
      </c>
    </row>
    <row r="1589" spans="6:7" x14ac:dyDescent="0.3">
      <c r="F1589" s="124">
        <v>1583</v>
      </c>
      <c r="G1589" s="33">
        <f t="shared" ca="1" si="37"/>
        <v>5.0907407707497264E-2</v>
      </c>
    </row>
    <row r="1590" spans="6:7" x14ac:dyDescent="0.3">
      <c r="F1590" s="124">
        <v>1584</v>
      </c>
      <c r="G1590" s="33">
        <f t="shared" ca="1" si="37"/>
        <v>-3.197201075664468E-2</v>
      </c>
    </row>
    <row r="1591" spans="6:7" x14ac:dyDescent="0.3">
      <c r="F1591" s="124">
        <v>1585</v>
      </c>
      <c r="G1591" s="33">
        <f t="shared" ca="1" si="37"/>
        <v>2.1493187221932816E-2</v>
      </c>
    </row>
    <row r="1592" spans="6:7" x14ac:dyDescent="0.3">
      <c r="F1592" s="124">
        <v>1586</v>
      </c>
      <c r="G1592" s="33">
        <f t="shared" ca="1" si="37"/>
        <v>-3.8782178398129856E-2</v>
      </c>
    </row>
    <row r="1593" spans="6:7" x14ac:dyDescent="0.3">
      <c r="F1593" s="124">
        <v>1587</v>
      </c>
      <c r="G1593" s="33">
        <f t="shared" ca="1" si="37"/>
        <v>-1.7124512745789994E-2</v>
      </c>
    </row>
    <row r="1594" spans="6:7" x14ac:dyDescent="0.3">
      <c r="F1594" s="124">
        <v>1588</v>
      </c>
      <c r="G1594" s="33">
        <f t="shared" ca="1" si="37"/>
        <v>2.173877841175902E-2</v>
      </c>
    </row>
    <row r="1595" spans="6:7" x14ac:dyDescent="0.3">
      <c r="F1595" s="124">
        <v>1589</v>
      </c>
      <c r="G1595" s="33">
        <f t="shared" ca="1" si="37"/>
        <v>-2.107772148310115E-2</v>
      </c>
    </row>
    <row r="1596" spans="6:7" x14ac:dyDescent="0.3">
      <c r="F1596" s="124">
        <v>1590</v>
      </c>
      <c r="G1596" s="33">
        <f t="shared" ca="1" si="37"/>
        <v>-1.9328284363065657E-3</v>
      </c>
    </row>
    <row r="1597" spans="6:7" x14ac:dyDescent="0.3">
      <c r="F1597" s="124">
        <v>1591</v>
      </c>
      <c r="G1597" s="33">
        <f t="shared" ca="1" si="37"/>
        <v>1.6171222384392343E-2</v>
      </c>
    </row>
    <row r="1598" spans="6:7" x14ac:dyDescent="0.3">
      <c r="F1598" s="124">
        <v>1592</v>
      </c>
      <c r="G1598" s="33">
        <f t="shared" ca="1" si="37"/>
        <v>-1.7483267048813776E-2</v>
      </c>
    </row>
    <row r="1599" spans="6:7" x14ac:dyDescent="0.3">
      <c r="F1599" s="124">
        <v>1593</v>
      </c>
      <c r="G1599" s="33">
        <f t="shared" ca="1" si="37"/>
        <v>3.0916438066046398E-2</v>
      </c>
    </row>
    <row r="1600" spans="6:7" x14ac:dyDescent="0.3">
      <c r="F1600" s="124">
        <v>1594</v>
      </c>
      <c r="G1600" s="33">
        <f t="shared" ca="1" si="37"/>
        <v>1.9075031334850858E-2</v>
      </c>
    </row>
    <row r="1601" spans="6:7" x14ac:dyDescent="0.3">
      <c r="F1601" s="124">
        <v>1595</v>
      </c>
      <c r="G1601" s="33">
        <f t="shared" ca="1" si="37"/>
        <v>3.9439812692267633E-3</v>
      </c>
    </row>
    <row r="1602" spans="6:7" x14ac:dyDescent="0.3">
      <c r="F1602" s="124">
        <v>1596</v>
      </c>
      <c r="G1602" s="33">
        <f t="shared" ca="1" si="37"/>
        <v>-2.6640487423993428E-2</v>
      </c>
    </row>
    <row r="1603" spans="6:7" x14ac:dyDescent="0.3">
      <c r="F1603" s="124">
        <v>1597</v>
      </c>
      <c r="G1603" s="33">
        <f t="shared" ca="1" si="37"/>
        <v>-7.8070009433557274E-3</v>
      </c>
    </row>
    <row r="1604" spans="6:7" x14ac:dyDescent="0.3">
      <c r="F1604" s="124">
        <v>1598</v>
      </c>
      <c r="G1604" s="33">
        <f t="shared" ca="1" si="37"/>
        <v>4.950510696476066E-2</v>
      </c>
    </row>
    <row r="1605" spans="6:7" x14ac:dyDescent="0.3">
      <c r="F1605" s="124">
        <v>1599</v>
      </c>
      <c r="G1605" s="33">
        <f t="shared" ca="1" si="37"/>
        <v>2.639027211437427E-3</v>
      </c>
    </row>
    <row r="1606" spans="6:7" x14ac:dyDescent="0.3">
      <c r="F1606" s="124">
        <v>1600</v>
      </c>
      <c r="G1606" s="33">
        <f t="shared" ca="1" si="37"/>
        <v>-4.3468130937568787E-2</v>
      </c>
    </row>
    <row r="1607" spans="6:7" x14ac:dyDescent="0.3">
      <c r="F1607" s="124">
        <v>1601</v>
      </c>
      <c r="G1607" s="33">
        <f t="shared" ca="1" si="37"/>
        <v>-1.8426241159191111E-2</v>
      </c>
    </row>
    <row r="1608" spans="6:7" x14ac:dyDescent="0.3">
      <c r="F1608" s="124">
        <v>1602</v>
      </c>
      <c r="G1608" s="33">
        <f t="shared" ref="G1608:G1671" ca="1" si="38">_xlfn.NORM.INV(RAND(),$M$9,$M$10)</f>
        <v>3.0616231952849935E-2</v>
      </c>
    </row>
    <row r="1609" spans="6:7" x14ac:dyDescent="0.3">
      <c r="F1609" s="124">
        <v>1603</v>
      </c>
      <c r="G1609" s="33">
        <f t="shared" ca="1" si="38"/>
        <v>-4.3730597594712636E-2</v>
      </c>
    </row>
    <row r="1610" spans="6:7" x14ac:dyDescent="0.3">
      <c r="F1610" s="124">
        <v>1604</v>
      </c>
      <c r="G1610" s="33">
        <f t="shared" ca="1" si="38"/>
        <v>1.0545715958391013E-2</v>
      </c>
    </row>
    <row r="1611" spans="6:7" x14ac:dyDescent="0.3">
      <c r="F1611" s="124">
        <v>1605</v>
      </c>
      <c r="G1611" s="33">
        <f t="shared" ca="1" si="38"/>
        <v>1.4136553716339699E-2</v>
      </c>
    </row>
    <row r="1612" spans="6:7" x14ac:dyDescent="0.3">
      <c r="F1612" s="124">
        <v>1606</v>
      </c>
      <c r="G1612" s="33">
        <f t="shared" ca="1" si="38"/>
        <v>-2.6153751190944964E-2</v>
      </c>
    </row>
    <row r="1613" spans="6:7" x14ac:dyDescent="0.3">
      <c r="F1613" s="124">
        <v>1607</v>
      </c>
      <c r="G1613" s="33">
        <f t="shared" ca="1" si="38"/>
        <v>3.2359180736407027E-2</v>
      </c>
    </row>
    <row r="1614" spans="6:7" x14ac:dyDescent="0.3">
      <c r="F1614" s="124">
        <v>1608</v>
      </c>
      <c r="G1614" s="33">
        <f t="shared" ca="1" si="38"/>
        <v>5.1155262413320163E-2</v>
      </c>
    </row>
    <row r="1615" spans="6:7" x14ac:dyDescent="0.3">
      <c r="F1615" s="124">
        <v>1609</v>
      </c>
      <c r="G1615" s="33">
        <f t="shared" ca="1" si="38"/>
        <v>3.538269758377318E-2</v>
      </c>
    </row>
    <row r="1616" spans="6:7" x14ac:dyDescent="0.3">
      <c r="F1616" s="124">
        <v>1610</v>
      </c>
      <c r="G1616" s="33">
        <f t="shared" ca="1" si="38"/>
        <v>-2.2690553761479066E-2</v>
      </c>
    </row>
    <row r="1617" spans="6:7" x14ac:dyDescent="0.3">
      <c r="F1617" s="124">
        <v>1611</v>
      </c>
      <c r="G1617" s="33">
        <f t="shared" ca="1" si="38"/>
        <v>-2.7009177513581496E-2</v>
      </c>
    </row>
    <row r="1618" spans="6:7" x14ac:dyDescent="0.3">
      <c r="F1618" s="124">
        <v>1612</v>
      </c>
      <c r="G1618" s="33">
        <f t="shared" ca="1" si="38"/>
        <v>-1.7406224585359086E-2</v>
      </c>
    </row>
    <row r="1619" spans="6:7" x14ac:dyDescent="0.3">
      <c r="F1619" s="124">
        <v>1613</v>
      </c>
      <c r="G1619" s="33">
        <f t="shared" ca="1" si="38"/>
        <v>-2.377676944752076E-2</v>
      </c>
    </row>
    <row r="1620" spans="6:7" x14ac:dyDescent="0.3">
      <c r="F1620" s="124">
        <v>1614</v>
      </c>
      <c r="G1620" s="33">
        <f t="shared" ca="1" si="38"/>
        <v>-6.9023899678788024E-3</v>
      </c>
    </row>
    <row r="1621" spans="6:7" x14ac:dyDescent="0.3">
      <c r="F1621" s="124">
        <v>1615</v>
      </c>
      <c r="G1621" s="33">
        <f t="shared" ca="1" si="38"/>
        <v>2.6801306192803402E-2</v>
      </c>
    </row>
    <row r="1622" spans="6:7" x14ac:dyDescent="0.3">
      <c r="F1622" s="124">
        <v>1616</v>
      </c>
      <c r="G1622" s="33">
        <f t="shared" ca="1" si="38"/>
        <v>-5.7583062236585436E-2</v>
      </c>
    </row>
    <row r="1623" spans="6:7" x14ac:dyDescent="0.3">
      <c r="F1623" s="124">
        <v>1617</v>
      </c>
      <c r="G1623" s="33">
        <f t="shared" ca="1" si="38"/>
        <v>1.5768214239716059E-2</v>
      </c>
    </row>
    <row r="1624" spans="6:7" x14ac:dyDescent="0.3">
      <c r="F1624" s="124">
        <v>1618</v>
      </c>
      <c r="G1624" s="33">
        <f t="shared" ca="1" si="38"/>
        <v>-4.1445127587800154E-2</v>
      </c>
    </row>
    <row r="1625" spans="6:7" x14ac:dyDescent="0.3">
      <c r="F1625" s="124">
        <v>1619</v>
      </c>
      <c r="G1625" s="33">
        <f t="shared" ca="1" si="38"/>
        <v>-1.3172187306451193E-2</v>
      </c>
    </row>
    <row r="1626" spans="6:7" x14ac:dyDescent="0.3">
      <c r="F1626" s="124">
        <v>1620</v>
      </c>
      <c r="G1626" s="33">
        <f t="shared" ca="1" si="38"/>
        <v>2.2522646777067765E-2</v>
      </c>
    </row>
    <row r="1627" spans="6:7" x14ac:dyDescent="0.3">
      <c r="F1627" s="124">
        <v>1621</v>
      </c>
      <c r="G1627" s="33">
        <f t="shared" ca="1" si="38"/>
        <v>2.6698752887750067E-2</v>
      </c>
    </row>
    <row r="1628" spans="6:7" x14ac:dyDescent="0.3">
      <c r="F1628" s="124">
        <v>1622</v>
      </c>
      <c r="G1628" s="33">
        <f t="shared" ca="1" si="38"/>
        <v>2.41966739136905E-2</v>
      </c>
    </row>
    <row r="1629" spans="6:7" x14ac:dyDescent="0.3">
      <c r="F1629" s="124">
        <v>1623</v>
      </c>
      <c r="G1629" s="33">
        <f t="shared" ca="1" si="38"/>
        <v>4.5808375692361434E-3</v>
      </c>
    </row>
    <row r="1630" spans="6:7" x14ac:dyDescent="0.3">
      <c r="F1630" s="124">
        <v>1624</v>
      </c>
      <c r="G1630" s="33">
        <f t="shared" ca="1" si="38"/>
        <v>-2.1019845538704784E-3</v>
      </c>
    </row>
    <row r="1631" spans="6:7" x14ac:dyDescent="0.3">
      <c r="F1631" s="124">
        <v>1625</v>
      </c>
      <c r="G1631" s="33">
        <f t="shared" ca="1" si="38"/>
        <v>-4.8819284420455272E-2</v>
      </c>
    </row>
    <row r="1632" spans="6:7" x14ac:dyDescent="0.3">
      <c r="F1632" s="124">
        <v>1626</v>
      </c>
      <c r="G1632" s="33">
        <f t="shared" ca="1" si="38"/>
        <v>-2.4378694462172824E-2</v>
      </c>
    </row>
    <row r="1633" spans="6:7" x14ac:dyDescent="0.3">
      <c r="F1633" s="124">
        <v>1627</v>
      </c>
      <c r="G1633" s="33">
        <f t="shared" ca="1" si="38"/>
        <v>-6.1160312950164471E-4</v>
      </c>
    </row>
    <row r="1634" spans="6:7" x14ac:dyDescent="0.3">
      <c r="F1634" s="124">
        <v>1628</v>
      </c>
      <c r="G1634" s="33">
        <f t="shared" ca="1" si="38"/>
        <v>-2.0710893550302662E-2</v>
      </c>
    </row>
    <row r="1635" spans="6:7" x14ac:dyDescent="0.3">
      <c r="F1635" s="124">
        <v>1629</v>
      </c>
      <c r="G1635" s="33">
        <f t="shared" ca="1" si="38"/>
        <v>2.1935972184251234E-2</v>
      </c>
    </row>
    <row r="1636" spans="6:7" x14ac:dyDescent="0.3">
      <c r="F1636" s="124">
        <v>1630</v>
      </c>
      <c r="G1636" s="33">
        <f t="shared" ca="1" si="38"/>
        <v>-1.6575071682686845E-2</v>
      </c>
    </row>
    <row r="1637" spans="6:7" x14ac:dyDescent="0.3">
      <c r="F1637" s="124">
        <v>1631</v>
      </c>
      <c r="G1637" s="33">
        <f t="shared" ca="1" si="38"/>
        <v>-3.0725084821001666E-2</v>
      </c>
    </row>
    <row r="1638" spans="6:7" x14ac:dyDescent="0.3">
      <c r="F1638" s="124">
        <v>1632</v>
      </c>
      <c r="G1638" s="33">
        <f t="shared" ca="1" si="38"/>
        <v>4.6434618762760463E-3</v>
      </c>
    </row>
    <row r="1639" spans="6:7" x14ac:dyDescent="0.3">
      <c r="F1639" s="124">
        <v>1633</v>
      </c>
      <c r="G1639" s="33">
        <f t="shared" ca="1" si="38"/>
        <v>2.4788177206897827E-2</v>
      </c>
    </row>
    <row r="1640" spans="6:7" x14ac:dyDescent="0.3">
      <c r="F1640" s="124">
        <v>1634</v>
      </c>
      <c r="G1640" s="33">
        <f t="shared" ca="1" si="38"/>
        <v>7.378952602190938E-3</v>
      </c>
    </row>
    <row r="1641" spans="6:7" x14ac:dyDescent="0.3">
      <c r="F1641" s="124">
        <v>1635</v>
      </c>
      <c r="G1641" s="33">
        <f t="shared" ca="1" si="38"/>
        <v>5.3569301741697335E-3</v>
      </c>
    </row>
    <row r="1642" spans="6:7" x14ac:dyDescent="0.3">
      <c r="F1642" s="124">
        <v>1636</v>
      </c>
      <c r="G1642" s="33">
        <f t="shared" ca="1" si="38"/>
        <v>8.2010428153683496E-5</v>
      </c>
    </row>
    <row r="1643" spans="6:7" x14ac:dyDescent="0.3">
      <c r="F1643" s="124">
        <v>1637</v>
      </c>
      <c r="G1643" s="33">
        <f t="shared" ca="1" si="38"/>
        <v>-1.1550715670168858E-2</v>
      </c>
    </row>
    <row r="1644" spans="6:7" x14ac:dyDescent="0.3">
      <c r="F1644" s="124">
        <v>1638</v>
      </c>
      <c r="G1644" s="33">
        <f t="shared" ca="1" si="38"/>
        <v>-4.5374151400952502E-2</v>
      </c>
    </row>
    <row r="1645" spans="6:7" x14ac:dyDescent="0.3">
      <c r="F1645" s="124">
        <v>1639</v>
      </c>
      <c r="G1645" s="33">
        <f t="shared" ca="1" si="38"/>
        <v>-1.2793084240905202E-2</v>
      </c>
    </row>
    <row r="1646" spans="6:7" x14ac:dyDescent="0.3">
      <c r="F1646" s="124">
        <v>1640</v>
      </c>
      <c r="G1646" s="33">
        <f t="shared" ca="1" si="38"/>
        <v>7.6260912734433528E-3</v>
      </c>
    </row>
    <row r="1647" spans="6:7" x14ac:dyDescent="0.3">
      <c r="F1647" s="124">
        <v>1641</v>
      </c>
      <c r="G1647" s="33">
        <f t="shared" ca="1" si="38"/>
        <v>1.7214846618090012E-2</v>
      </c>
    </row>
    <row r="1648" spans="6:7" x14ac:dyDescent="0.3">
      <c r="F1648" s="124">
        <v>1642</v>
      </c>
      <c r="G1648" s="33">
        <f t="shared" ca="1" si="38"/>
        <v>1.3008902663435268E-2</v>
      </c>
    </row>
    <row r="1649" spans="6:7" x14ac:dyDescent="0.3">
      <c r="F1649" s="124">
        <v>1643</v>
      </c>
      <c r="G1649" s="33">
        <f t="shared" ca="1" si="38"/>
        <v>2.3625172669152154E-2</v>
      </c>
    </row>
    <row r="1650" spans="6:7" x14ac:dyDescent="0.3">
      <c r="F1650" s="124">
        <v>1644</v>
      </c>
      <c r="G1650" s="33">
        <f t="shared" ca="1" si="38"/>
        <v>-1.0501276805702727E-2</v>
      </c>
    </row>
    <row r="1651" spans="6:7" x14ac:dyDescent="0.3">
      <c r="F1651" s="124">
        <v>1645</v>
      </c>
      <c r="G1651" s="33">
        <f t="shared" ca="1" si="38"/>
        <v>3.2120899894379218E-2</v>
      </c>
    </row>
    <row r="1652" spans="6:7" x14ac:dyDescent="0.3">
      <c r="F1652" s="124">
        <v>1646</v>
      </c>
      <c r="G1652" s="33">
        <f t="shared" ca="1" si="38"/>
        <v>4.7043520161857803E-3</v>
      </c>
    </row>
    <row r="1653" spans="6:7" x14ac:dyDescent="0.3">
      <c r="F1653" s="124">
        <v>1647</v>
      </c>
      <c r="G1653" s="33">
        <f t="shared" ca="1" si="38"/>
        <v>-7.2335507148788289E-3</v>
      </c>
    </row>
    <row r="1654" spans="6:7" x14ac:dyDescent="0.3">
      <c r="F1654" s="124">
        <v>1648</v>
      </c>
      <c r="G1654" s="33">
        <f t="shared" ca="1" si="38"/>
        <v>3.0273738127533072E-3</v>
      </c>
    </row>
    <row r="1655" spans="6:7" x14ac:dyDescent="0.3">
      <c r="F1655" s="124">
        <v>1649</v>
      </c>
      <c r="G1655" s="33">
        <f t="shared" ca="1" si="38"/>
        <v>-4.3427056501760285E-2</v>
      </c>
    </row>
    <row r="1656" spans="6:7" x14ac:dyDescent="0.3">
      <c r="F1656" s="124">
        <v>1650</v>
      </c>
      <c r="G1656" s="33">
        <f t="shared" ca="1" si="38"/>
        <v>1.8624783723925047E-2</v>
      </c>
    </row>
    <row r="1657" spans="6:7" x14ac:dyDescent="0.3">
      <c r="F1657" s="124">
        <v>1651</v>
      </c>
      <c r="G1657" s="33">
        <f t="shared" ca="1" si="38"/>
        <v>3.4926771189870934E-2</v>
      </c>
    </row>
    <row r="1658" spans="6:7" x14ac:dyDescent="0.3">
      <c r="F1658" s="124">
        <v>1652</v>
      </c>
      <c r="G1658" s="33">
        <f t="shared" ca="1" si="38"/>
        <v>2.1261627400887523E-2</v>
      </c>
    </row>
    <row r="1659" spans="6:7" x14ac:dyDescent="0.3">
      <c r="F1659" s="124">
        <v>1653</v>
      </c>
      <c r="G1659" s="33">
        <f t="shared" ca="1" si="38"/>
        <v>-1.8694685301148279E-2</v>
      </c>
    </row>
    <row r="1660" spans="6:7" x14ac:dyDescent="0.3">
      <c r="F1660" s="124">
        <v>1654</v>
      </c>
      <c r="G1660" s="33">
        <f t="shared" ca="1" si="38"/>
        <v>-9.3640002682387098E-3</v>
      </c>
    </row>
    <row r="1661" spans="6:7" x14ac:dyDescent="0.3">
      <c r="F1661" s="124">
        <v>1655</v>
      </c>
      <c r="G1661" s="33">
        <f t="shared" ca="1" si="38"/>
        <v>-7.5633844893863234E-3</v>
      </c>
    </row>
    <row r="1662" spans="6:7" x14ac:dyDescent="0.3">
      <c r="F1662" s="124">
        <v>1656</v>
      </c>
      <c r="G1662" s="33">
        <f t="shared" ca="1" si="38"/>
        <v>-5.3300126882427135E-2</v>
      </c>
    </row>
    <row r="1663" spans="6:7" x14ac:dyDescent="0.3">
      <c r="F1663" s="124">
        <v>1657</v>
      </c>
      <c r="G1663" s="33">
        <f t="shared" ca="1" si="38"/>
        <v>-1.6329037141970551E-2</v>
      </c>
    </row>
    <row r="1664" spans="6:7" x14ac:dyDescent="0.3">
      <c r="F1664" s="124">
        <v>1658</v>
      </c>
      <c r="G1664" s="33">
        <f t="shared" ca="1" si="38"/>
        <v>3.4272371653254002E-2</v>
      </c>
    </row>
    <row r="1665" spans="6:7" x14ac:dyDescent="0.3">
      <c r="F1665" s="124">
        <v>1659</v>
      </c>
      <c r="G1665" s="33">
        <f t="shared" ca="1" si="38"/>
        <v>-1.9700688809246931E-2</v>
      </c>
    </row>
    <row r="1666" spans="6:7" x14ac:dyDescent="0.3">
      <c r="F1666" s="124">
        <v>1660</v>
      </c>
      <c r="G1666" s="33">
        <f t="shared" ca="1" si="38"/>
        <v>-3.981974517398653E-2</v>
      </c>
    </row>
    <row r="1667" spans="6:7" x14ac:dyDescent="0.3">
      <c r="F1667" s="124">
        <v>1661</v>
      </c>
      <c r="G1667" s="33">
        <f t="shared" ca="1" si="38"/>
        <v>3.1192389997317112E-2</v>
      </c>
    </row>
    <row r="1668" spans="6:7" x14ac:dyDescent="0.3">
      <c r="F1668" s="124">
        <v>1662</v>
      </c>
      <c r="G1668" s="33">
        <f t="shared" ca="1" si="38"/>
        <v>2.0086257162670935E-2</v>
      </c>
    </row>
    <row r="1669" spans="6:7" x14ac:dyDescent="0.3">
      <c r="F1669" s="124">
        <v>1663</v>
      </c>
      <c r="G1669" s="33">
        <f t="shared" ca="1" si="38"/>
        <v>3.3490913961384247E-2</v>
      </c>
    </row>
    <row r="1670" spans="6:7" x14ac:dyDescent="0.3">
      <c r="F1670" s="124">
        <v>1664</v>
      </c>
      <c r="G1670" s="33">
        <f t="shared" ca="1" si="38"/>
        <v>-2.0480084182873927E-2</v>
      </c>
    </row>
    <row r="1671" spans="6:7" x14ac:dyDescent="0.3">
      <c r="F1671" s="124">
        <v>1665</v>
      </c>
      <c r="G1671" s="33">
        <f t="shared" ca="1" si="38"/>
        <v>-6.6364589882731148E-3</v>
      </c>
    </row>
    <row r="1672" spans="6:7" x14ac:dyDescent="0.3">
      <c r="F1672" s="124">
        <v>1666</v>
      </c>
      <c r="G1672" s="33">
        <f t="shared" ref="G1672:G1735" ca="1" si="39">_xlfn.NORM.INV(RAND(),$M$9,$M$10)</f>
        <v>-5.0956070204197984E-2</v>
      </c>
    </row>
    <row r="1673" spans="6:7" x14ac:dyDescent="0.3">
      <c r="F1673" s="124">
        <v>1667</v>
      </c>
      <c r="G1673" s="33">
        <f t="shared" ca="1" si="39"/>
        <v>1.9585633785461559E-2</v>
      </c>
    </row>
    <row r="1674" spans="6:7" x14ac:dyDescent="0.3">
      <c r="F1674" s="124">
        <v>1668</v>
      </c>
      <c r="G1674" s="33">
        <f t="shared" ca="1" si="39"/>
        <v>1.4707154376524395E-2</v>
      </c>
    </row>
    <row r="1675" spans="6:7" x14ac:dyDescent="0.3">
      <c r="F1675" s="124">
        <v>1669</v>
      </c>
      <c r="G1675" s="33">
        <f t="shared" ca="1" si="39"/>
        <v>3.0198031667918405E-2</v>
      </c>
    </row>
    <row r="1676" spans="6:7" x14ac:dyDescent="0.3">
      <c r="F1676" s="124">
        <v>1670</v>
      </c>
      <c r="G1676" s="33">
        <f t="shared" ca="1" si="39"/>
        <v>-3.097326995813383E-2</v>
      </c>
    </row>
    <row r="1677" spans="6:7" x14ac:dyDescent="0.3">
      <c r="F1677" s="124">
        <v>1671</v>
      </c>
      <c r="G1677" s="33">
        <f t="shared" ca="1" si="39"/>
        <v>-6.1781741791315035E-2</v>
      </c>
    </row>
    <row r="1678" spans="6:7" x14ac:dyDescent="0.3">
      <c r="F1678" s="124">
        <v>1672</v>
      </c>
      <c r="G1678" s="33">
        <f t="shared" ca="1" si="39"/>
        <v>5.4372985960396726E-3</v>
      </c>
    </row>
    <row r="1679" spans="6:7" x14ac:dyDescent="0.3">
      <c r="F1679" s="124">
        <v>1673</v>
      </c>
      <c r="G1679" s="33">
        <f t="shared" ca="1" si="39"/>
        <v>-2.8722638097038809E-2</v>
      </c>
    </row>
    <row r="1680" spans="6:7" x14ac:dyDescent="0.3">
      <c r="F1680" s="124">
        <v>1674</v>
      </c>
      <c r="G1680" s="33">
        <f t="shared" ca="1" si="39"/>
        <v>-3.7269114907722015E-2</v>
      </c>
    </row>
    <row r="1681" spans="6:7" x14ac:dyDescent="0.3">
      <c r="F1681" s="124">
        <v>1675</v>
      </c>
      <c r="G1681" s="33">
        <f t="shared" ca="1" si="39"/>
        <v>-1.6037302541438422E-2</v>
      </c>
    </row>
    <row r="1682" spans="6:7" x14ac:dyDescent="0.3">
      <c r="F1682" s="124">
        <v>1676</v>
      </c>
      <c r="G1682" s="33">
        <f t="shared" ca="1" si="39"/>
        <v>2.8175354846831868E-2</v>
      </c>
    </row>
    <row r="1683" spans="6:7" x14ac:dyDescent="0.3">
      <c r="F1683" s="124">
        <v>1677</v>
      </c>
      <c r="G1683" s="33">
        <f t="shared" ca="1" si="39"/>
        <v>-4.1484802889263241E-2</v>
      </c>
    </row>
    <row r="1684" spans="6:7" x14ac:dyDescent="0.3">
      <c r="F1684" s="124">
        <v>1678</v>
      </c>
      <c r="G1684" s="33">
        <f t="shared" ca="1" si="39"/>
        <v>1.3187227995781411E-2</v>
      </c>
    </row>
    <row r="1685" spans="6:7" x14ac:dyDescent="0.3">
      <c r="F1685" s="124">
        <v>1679</v>
      </c>
      <c r="G1685" s="33">
        <f t="shared" ca="1" si="39"/>
        <v>5.9672963003893111E-2</v>
      </c>
    </row>
    <row r="1686" spans="6:7" x14ac:dyDescent="0.3">
      <c r="F1686" s="124">
        <v>1680</v>
      </c>
      <c r="G1686" s="33">
        <f t="shared" ca="1" si="39"/>
        <v>1.4873860541951976E-2</v>
      </c>
    </row>
    <row r="1687" spans="6:7" x14ac:dyDescent="0.3">
      <c r="F1687" s="124">
        <v>1681</v>
      </c>
      <c r="G1687" s="33">
        <f t="shared" ca="1" si="39"/>
        <v>2.0319884800551965E-2</v>
      </c>
    </row>
    <row r="1688" spans="6:7" x14ac:dyDescent="0.3">
      <c r="F1688" s="124">
        <v>1682</v>
      </c>
      <c r="G1688" s="33">
        <f t="shared" ca="1" si="39"/>
        <v>-1.9521066039910214E-2</v>
      </c>
    </row>
    <row r="1689" spans="6:7" x14ac:dyDescent="0.3">
      <c r="F1689" s="124">
        <v>1683</v>
      </c>
      <c r="G1689" s="33">
        <f t="shared" ca="1" si="39"/>
        <v>9.1537079783605563E-2</v>
      </c>
    </row>
    <row r="1690" spans="6:7" x14ac:dyDescent="0.3">
      <c r="F1690" s="124">
        <v>1684</v>
      </c>
      <c r="G1690" s="33">
        <f t="shared" ca="1" si="39"/>
        <v>2.622682578319151E-2</v>
      </c>
    </row>
    <row r="1691" spans="6:7" x14ac:dyDescent="0.3">
      <c r="F1691" s="124">
        <v>1685</v>
      </c>
      <c r="G1691" s="33">
        <f t="shared" ca="1" si="39"/>
        <v>-2.3234021000077595E-2</v>
      </c>
    </row>
    <row r="1692" spans="6:7" x14ac:dyDescent="0.3">
      <c r="F1692" s="124">
        <v>1686</v>
      </c>
      <c r="G1692" s="33">
        <f t="shared" ca="1" si="39"/>
        <v>-4.4914919282287413E-2</v>
      </c>
    </row>
    <row r="1693" spans="6:7" x14ac:dyDescent="0.3">
      <c r="F1693" s="124">
        <v>1687</v>
      </c>
      <c r="G1693" s="33">
        <f t="shared" ca="1" si="39"/>
        <v>-3.6291150473776491E-2</v>
      </c>
    </row>
    <row r="1694" spans="6:7" x14ac:dyDescent="0.3">
      <c r="F1694" s="124">
        <v>1688</v>
      </c>
      <c r="G1694" s="33">
        <f t="shared" ca="1" si="39"/>
        <v>-3.6026176454349898E-2</v>
      </c>
    </row>
    <row r="1695" spans="6:7" x14ac:dyDescent="0.3">
      <c r="F1695" s="124">
        <v>1689</v>
      </c>
      <c r="G1695" s="33">
        <f t="shared" ca="1" si="39"/>
        <v>4.6483215807143582E-2</v>
      </c>
    </row>
    <row r="1696" spans="6:7" x14ac:dyDescent="0.3">
      <c r="F1696" s="124">
        <v>1690</v>
      </c>
      <c r="G1696" s="33">
        <f t="shared" ca="1" si="39"/>
        <v>-1.4140181665641044E-2</v>
      </c>
    </row>
    <row r="1697" spans="6:7" x14ac:dyDescent="0.3">
      <c r="F1697" s="124">
        <v>1691</v>
      </c>
      <c r="G1697" s="33">
        <f t="shared" ca="1" si="39"/>
        <v>2.8243794241101048E-2</v>
      </c>
    </row>
    <row r="1698" spans="6:7" x14ac:dyDescent="0.3">
      <c r="F1698" s="124">
        <v>1692</v>
      </c>
      <c r="G1698" s="33">
        <f t="shared" ca="1" si="39"/>
        <v>-1.8026828326324178E-3</v>
      </c>
    </row>
    <row r="1699" spans="6:7" x14ac:dyDescent="0.3">
      <c r="F1699" s="124">
        <v>1693</v>
      </c>
      <c r="G1699" s="33">
        <f t="shared" ca="1" si="39"/>
        <v>-4.1745151438363423E-3</v>
      </c>
    </row>
    <row r="1700" spans="6:7" x14ac:dyDescent="0.3">
      <c r="F1700" s="124">
        <v>1694</v>
      </c>
      <c r="G1700" s="33">
        <f t="shared" ca="1" si="39"/>
        <v>-3.6376288107384462E-2</v>
      </c>
    </row>
    <row r="1701" spans="6:7" x14ac:dyDescent="0.3">
      <c r="F1701" s="124">
        <v>1695</v>
      </c>
      <c r="G1701" s="33">
        <f t="shared" ca="1" si="39"/>
        <v>6.5021276443856229E-3</v>
      </c>
    </row>
    <row r="1702" spans="6:7" x14ac:dyDescent="0.3">
      <c r="F1702" s="124">
        <v>1696</v>
      </c>
      <c r="G1702" s="33">
        <f t="shared" ca="1" si="39"/>
        <v>5.4520397897184117E-2</v>
      </c>
    </row>
    <row r="1703" spans="6:7" x14ac:dyDescent="0.3">
      <c r="F1703" s="124">
        <v>1697</v>
      </c>
      <c r="G1703" s="33">
        <f t="shared" ca="1" si="39"/>
        <v>5.8628130742385431E-2</v>
      </c>
    </row>
    <row r="1704" spans="6:7" x14ac:dyDescent="0.3">
      <c r="F1704" s="124">
        <v>1698</v>
      </c>
      <c r="G1704" s="33">
        <f t="shared" ca="1" si="39"/>
        <v>2.1500266144037831E-2</v>
      </c>
    </row>
    <row r="1705" spans="6:7" x14ac:dyDescent="0.3">
      <c r="F1705" s="124">
        <v>1699</v>
      </c>
      <c r="G1705" s="33">
        <f t="shared" ca="1" si="39"/>
        <v>-5.5452919663134724E-2</v>
      </c>
    </row>
    <row r="1706" spans="6:7" x14ac:dyDescent="0.3">
      <c r="F1706" s="124">
        <v>1700</v>
      </c>
      <c r="G1706" s="33">
        <f t="shared" ca="1" si="39"/>
        <v>-8.2290806710895829E-3</v>
      </c>
    </row>
    <row r="1707" spans="6:7" x14ac:dyDescent="0.3">
      <c r="F1707" s="124">
        <v>1701</v>
      </c>
      <c r="G1707" s="33">
        <f t="shared" ca="1" si="39"/>
        <v>-4.7832828902349203E-3</v>
      </c>
    </row>
    <row r="1708" spans="6:7" x14ac:dyDescent="0.3">
      <c r="F1708" s="124">
        <v>1702</v>
      </c>
      <c r="G1708" s="33">
        <f t="shared" ca="1" si="39"/>
        <v>-1.3548496036307506E-2</v>
      </c>
    </row>
    <row r="1709" spans="6:7" x14ac:dyDescent="0.3">
      <c r="F1709" s="124">
        <v>1703</v>
      </c>
      <c r="G1709" s="33">
        <f t="shared" ca="1" si="39"/>
        <v>1.7898193142459638E-2</v>
      </c>
    </row>
    <row r="1710" spans="6:7" x14ac:dyDescent="0.3">
      <c r="F1710" s="124">
        <v>1704</v>
      </c>
      <c r="G1710" s="33">
        <f t="shared" ca="1" si="39"/>
        <v>-2.2446319197573922E-3</v>
      </c>
    </row>
    <row r="1711" spans="6:7" x14ac:dyDescent="0.3">
      <c r="F1711" s="124">
        <v>1705</v>
      </c>
      <c r="G1711" s="33">
        <f t="shared" ca="1" si="39"/>
        <v>1.7188929989720842E-2</v>
      </c>
    </row>
    <row r="1712" spans="6:7" x14ac:dyDescent="0.3">
      <c r="F1712" s="124">
        <v>1706</v>
      </c>
      <c r="G1712" s="33">
        <f t="shared" ca="1" si="39"/>
        <v>-2.8168120592376261E-2</v>
      </c>
    </row>
    <row r="1713" spans="6:7" x14ac:dyDescent="0.3">
      <c r="F1713" s="124">
        <v>1707</v>
      </c>
      <c r="G1713" s="33">
        <f t="shared" ca="1" si="39"/>
        <v>-2.0371951151205516E-2</v>
      </c>
    </row>
    <row r="1714" spans="6:7" x14ac:dyDescent="0.3">
      <c r="F1714" s="124">
        <v>1708</v>
      </c>
      <c r="G1714" s="33">
        <f t="shared" ca="1" si="39"/>
        <v>1.9599254891082385E-2</v>
      </c>
    </row>
    <row r="1715" spans="6:7" x14ac:dyDescent="0.3">
      <c r="F1715" s="124">
        <v>1709</v>
      </c>
      <c r="G1715" s="33">
        <f t="shared" ca="1" si="39"/>
        <v>-5.3639756021841574E-2</v>
      </c>
    </row>
    <row r="1716" spans="6:7" x14ac:dyDescent="0.3">
      <c r="F1716" s="124">
        <v>1710</v>
      </c>
      <c r="G1716" s="33">
        <f t="shared" ca="1" si="39"/>
        <v>5.6985290001417728E-2</v>
      </c>
    </row>
    <row r="1717" spans="6:7" x14ac:dyDescent="0.3">
      <c r="F1717" s="124">
        <v>1711</v>
      </c>
      <c r="G1717" s="33">
        <f t="shared" ca="1" si="39"/>
        <v>1.2119949262919445E-2</v>
      </c>
    </row>
    <row r="1718" spans="6:7" x14ac:dyDescent="0.3">
      <c r="F1718" s="124">
        <v>1712</v>
      </c>
      <c r="G1718" s="33">
        <f t="shared" ca="1" si="39"/>
        <v>3.9532818441254898E-2</v>
      </c>
    </row>
    <row r="1719" spans="6:7" x14ac:dyDescent="0.3">
      <c r="F1719" s="124">
        <v>1713</v>
      </c>
      <c r="G1719" s="33">
        <f t="shared" ca="1" si="39"/>
        <v>-4.953552229568667E-3</v>
      </c>
    </row>
    <row r="1720" spans="6:7" x14ac:dyDescent="0.3">
      <c r="F1720" s="124">
        <v>1714</v>
      </c>
      <c r="G1720" s="33">
        <f t="shared" ca="1" si="39"/>
        <v>3.2647343390753189E-2</v>
      </c>
    </row>
    <row r="1721" spans="6:7" x14ac:dyDescent="0.3">
      <c r="F1721" s="124">
        <v>1715</v>
      </c>
      <c r="G1721" s="33">
        <f t="shared" ca="1" si="39"/>
        <v>2.9381195373578625E-2</v>
      </c>
    </row>
    <row r="1722" spans="6:7" x14ac:dyDescent="0.3">
      <c r="F1722" s="124">
        <v>1716</v>
      </c>
      <c r="G1722" s="33">
        <f t="shared" ca="1" si="39"/>
        <v>3.2214449526748274E-3</v>
      </c>
    </row>
    <row r="1723" spans="6:7" x14ac:dyDescent="0.3">
      <c r="F1723" s="124">
        <v>1717</v>
      </c>
      <c r="G1723" s="33">
        <f t="shared" ca="1" si="39"/>
        <v>-6.2877005205011936E-3</v>
      </c>
    </row>
    <row r="1724" spans="6:7" x14ac:dyDescent="0.3">
      <c r="F1724" s="124">
        <v>1718</v>
      </c>
      <c r="G1724" s="33">
        <f t="shared" ca="1" si="39"/>
        <v>2.9315931305632346E-2</v>
      </c>
    </row>
    <row r="1725" spans="6:7" x14ac:dyDescent="0.3">
      <c r="F1725" s="124">
        <v>1719</v>
      </c>
      <c r="G1725" s="33">
        <f t="shared" ca="1" si="39"/>
        <v>7.8495443230391041E-3</v>
      </c>
    </row>
    <row r="1726" spans="6:7" x14ac:dyDescent="0.3">
      <c r="F1726" s="124">
        <v>1720</v>
      </c>
      <c r="G1726" s="33">
        <f t="shared" ca="1" si="39"/>
        <v>-4.2704580675287339E-2</v>
      </c>
    </row>
    <row r="1727" spans="6:7" x14ac:dyDescent="0.3">
      <c r="F1727" s="124">
        <v>1721</v>
      </c>
      <c r="G1727" s="33">
        <f t="shared" ca="1" si="39"/>
        <v>-1.5926908943581241E-2</v>
      </c>
    </row>
    <row r="1728" spans="6:7" x14ac:dyDescent="0.3">
      <c r="F1728" s="124">
        <v>1722</v>
      </c>
      <c r="G1728" s="33">
        <f t="shared" ca="1" si="39"/>
        <v>2.7696806206848758E-2</v>
      </c>
    </row>
    <row r="1729" spans="6:7" x14ac:dyDescent="0.3">
      <c r="F1729" s="124">
        <v>1723</v>
      </c>
      <c r="G1729" s="33">
        <f t="shared" ca="1" si="39"/>
        <v>-5.3930517606745245E-3</v>
      </c>
    </row>
    <row r="1730" spans="6:7" x14ac:dyDescent="0.3">
      <c r="F1730" s="124">
        <v>1724</v>
      </c>
      <c r="G1730" s="33">
        <f t="shared" ca="1" si="39"/>
        <v>-1.8195732788358569E-4</v>
      </c>
    </row>
    <row r="1731" spans="6:7" x14ac:dyDescent="0.3">
      <c r="F1731" s="124">
        <v>1725</v>
      </c>
      <c r="G1731" s="33">
        <f t="shared" ca="1" si="39"/>
        <v>-3.1857011159124253E-2</v>
      </c>
    </row>
    <row r="1732" spans="6:7" x14ac:dyDescent="0.3">
      <c r="F1732" s="124">
        <v>1726</v>
      </c>
      <c r="G1732" s="33">
        <f t="shared" ca="1" si="39"/>
        <v>-4.7349404740237314E-2</v>
      </c>
    </row>
    <row r="1733" spans="6:7" x14ac:dyDescent="0.3">
      <c r="F1733" s="124">
        <v>1727</v>
      </c>
      <c r="G1733" s="33">
        <f t="shared" ca="1" si="39"/>
        <v>6.7754758025214256E-3</v>
      </c>
    </row>
    <row r="1734" spans="6:7" x14ac:dyDescent="0.3">
      <c r="F1734" s="124">
        <v>1728</v>
      </c>
      <c r="G1734" s="33">
        <f t="shared" ca="1" si="39"/>
        <v>1.4713771888106766E-2</v>
      </c>
    </row>
    <row r="1735" spans="6:7" x14ac:dyDescent="0.3">
      <c r="F1735" s="124">
        <v>1729</v>
      </c>
      <c r="G1735" s="33">
        <f t="shared" ca="1" si="39"/>
        <v>-3.7409435000329568E-2</v>
      </c>
    </row>
    <row r="1736" spans="6:7" x14ac:dyDescent="0.3">
      <c r="F1736" s="124">
        <v>1730</v>
      </c>
      <c r="G1736" s="33">
        <f t="shared" ref="G1736:G1799" ca="1" si="40">_xlfn.NORM.INV(RAND(),$M$9,$M$10)</f>
        <v>-4.0481098979817776E-2</v>
      </c>
    </row>
    <row r="1737" spans="6:7" x14ac:dyDescent="0.3">
      <c r="F1737" s="124">
        <v>1731</v>
      </c>
      <c r="G1737" s="33">
        <f t="shared" ca="1" si="40"/>
        <v>1.6742390076142363E-2</v>
      </c>
    </row>
    <row r="1738" spans="6:7" x14ac:dyDescent="0.3">
      <c r="F1738" s="124">
        <v>1732</v>
      </c>
      <c r="G1738" s="33">
        <f t="shared" ca="1" si="40"/>
        <v>6.7628300066306397E-3</v>
      </c>
    </row>
    <row r="1739" spans="6:7" x14ac:dyDescent="0.3">
      <c r="F1739" s="124">
        <v>1733</v>
      </c>
      <c r="G1739" s="33">
        <f t="shared" ca="1" si="40"/>
        <v>-1.0639427897325686E-2</v>
      </c>
    </row>
    <row r="1740" spans="6:7" x14ac:dyDescent="0.3">
      <c r="F1740" s="124">
        <v>1734</v>
      </c>
      <c r="G1740" s="33">
        <f t="shared" ca="1" si="40"/>
        <v>1.7144636455740218E-2</v>
      </c>
    </row>
    <row r="1741" spans="6:7" x14ac:dyDescent="0.3">
      <c r="F1741" s="124">
        <v>1735</v>
      </c>
      <c r="G1741" s="33">
        <f t="shared" ca="1" si="40"/>
        <v>4.8691087069187934E-2</v>
      </c>
    </row>
    <row r="1742" spans="6:7" x14ac:dyDescent="0.3">
      <c r="F1742" s="124">
        <v>1736</v>
      </c>
      <c r="G1742" s="33">
        <f t="shared" ca="1" si="40"/>
        <v>-3.54563229785093E-2</v>
      </c>
    </row>
    <row r="1743" spans="6:7" x14ac:dyDescent="0.3">
      <c r="F1743" s="124">
        <v>1737</v>
      </c>
      <c r="G1743" s="33">
        <f t="shared" ca="1" si="40"/>
        <v>-1.4178875597290457E-3</v>
      </c>
    </row>
    <row r="1744" spans="6:7" x14ac:dyDescent="0.3">
      <c r="F1744" s="124">
        <v>1738</v>
      </c>
      <c r="G1744" s="33">
        <f t="shared" ca="1" si="40"/>
        <v>-6.8396279692605295E-3</v>
      </c>
    </row>
    <row r="1745" spans="6:7" x14ac:dyDescent="0.3">
      <c r="F1745" s="124">
        <v>1739</v>
      </c>
      <c r="G1745" s="33">
        <f t="shared" ca="1" si="40"/>
        <v>3.7563439089292633E-2</v>
      </c>
    </row>
    <row r="1746" spans="6:7" x14ac:dyDescent="0.3">
      <c r="F1746" s="124">
        <v>1740</v>
      </c>
      <c r="G1746" s="33">
        <f t="shared" ca="1" si="40"/>
        <v>-3.0351335272857601E-2</v>
      </c>
    </row>
    <row r="1747" spans="6:7" x14ac:dyDescent="0.3">
      <c r="F1747" s="124">
        <v>1741</v>
      </c>
      <c r="G1747" s="33">
        <f t="shared" ca="1" si="40"/>
        <v>-6.3353127603808261E-3</v>
      </c>
    </row>
    <row r="1748" spans="6:7" x14ac:dyDescent="0.3">
      <c r="F1748" s="124">
        <v>1742</v>
      </c>
      <c r="G1748" s="33">
        <f t="shared" ca="1" si="40"/>
        <v>-2.2660334964172617E-2</v>
      </c>
    </row>
    <row r="1749" spans="6:7" x14ac:dyDescent="0.3">
      <c r="F1749" s="124">
        <v>1743</v>
      </c>
      <c r="G1749" s="33">
        <f t="shared" ca="1" si="40"/>
        <v>5.6634968052763857E-2</v>
      </c>
    </row>
    <row r="1750" spans="6:7" x14ac:dyDescent="0.3">
      <c r="F1750" s="124">
        <v>1744</v>
      </c>
      <c r="G1750" s="33">
        <f t="shared" ca="1" si="40"/>
        <v>-3.5151507249305942E-2</v>
      </c>
    </row>
    <row r="1751" spans="6:7" x14ac:dyDescent="0.3">
      <c r="F1751" s="124">
        <v>1745</v>
      </c>
      <c r="G1751" s="33">
        <f t="shared" ca="1" si="40"/>
        <v>5.8706239231672147E-2</v>
      </c>
    </row>
    <row r="1752" spans="6:7" x14ac:dyDescent="0.3">
      <c r="F1752" s="124">
        <v>1746</v>
      </c>
      <c r="G1752" s="33">
        <f t="shared" ca="1" si="40"/>
        <v>-3.0311580956264132E-2</v>
      </c>
    </row>
    <row r="1753" spans="6:7" x14ac:dyDescent="0.3">
      <c r="F1753" s="124">
        <v>1747</v>
      </c>
      <c r="G1753" s="33">
        <f t="shared" ca="1" si="40"/>
        <v>-4.3712355316221606E-2</v>
      </c>
    </row>
    <row r="1754" spans="6:7" x14ac:dyDescent="0.3">
      <c r="F1754" s="124">
        <v>1748</v>
      </c>
      <c r="G1754" s="33">
        <f t="shared" ca="1" si="40"/>
        <v>2.4140769239101762E-2</v>
      </c>
    </row>
    <row r="1755" spans="6:7" x14ac:dyDescent="0.3">
      <c r="F1755" s="124">
        <v>1749</v>
      </c>
      <c r="G1755" s="33">
        <f t="shared" ca="1" si="40"/>
        <v>2.0446116904954972E-2</v>
      </c>
    </row>
    <row r="1756" spans="6:7" x14ac:dyDescent="0.3">
      <c r="F1756" s="124">
        <v>1750</v>
      </c>
      <c r="G1756" s="33">
        <f t="shared" ca="1" si="40"/>
        <v>-2.9888098969304267E-2</v>
      </c>
    </row>
    <row r="1757" spans="6:7" x14ac:dyDescent="0.3">
      <c r="F1757" s="124">
        <v>1751</v>
      </c>
      <c r="G1757" s="33">
        <f t="shared" ca="1" si="40"/>
        <v>-3.9571918684927808E-3</v>
      </c>
    </row>
    <row r="1758" spans="6:7" x14ac:dyDescent="0.3">
      <c r="F1758" s="124">
        <v>1752</v>
      </c>
      <c r="G1758" s="33">
        <f t="shared" ca="1" si="40"/>
        <v>3.8191194810572476E-4</v>
      </c>
    </row>
    <row r="1759" spans="6:7" x14ac:dyDescent="0.3">
      <c r="F1759" s="124">
        <v>1753</v>
      </c>
      <c r="G1759" s="33">
        <f t="shared" ca="1" si="40"/>
        <v>-9.1140273874651852E-3</v>
      </c>
    </row>
    <row r="1760" spans="6:7" x14ac:dyDescent="0.3">
      <c r="F1760" s="124">
        <v>1754</v>
      </c>
      <c r="G1760" s="33">
        <f t="shared" ca="1" si="40"/>
        <v>3.4842608795161101E-2</v>
      </c>
    </row>
    <row r="1761" spans="6:7" x14ac:dyDescent="0.3">
      <c r="F1761" s="124">
        <v>1755</v>
      </c>
      <c r="G1761" s="33">
        <f t="shared" ca="1" si="40"/>
        <v>2.0545795212987925E-2</v>
      </c>
    </row>
    <row r="1762" spans="6:7" x14ac:dyDescent="0.3">
      <c r="F1762" s="124">
        <v>1756</v>
      </c>
      <c r="G1762" s="33">
        <f t="shared" ca="1" si="40"/>
        <v>-1.8693115299569379E-4</v>
      </c>
    </row>
    <row r="1763" spans="6:7" x14ac:dyDescent="0.3">
      <c r="F1763" s="124">
        <v>1757</v>
      </c>
      <c r="G1763" s="33">
        <f t="shared" ca="1" si="40"/>
        <v>2.201286409863434E-2</v>
      </c>
    </row>
    <row r="1764" spans="6:7" x14ac:dyDescent="0.3">
      <c r="F1764" s="124">
        <v>1758</v>
      </c>
      <c r="G1764" s="33">
        <f t="shared" ca="1" si="40"/>
        <v>-5.5224764545042338E-3</v>
      </c>
    </row>
    <row r="1765" spans="6:7" x14ac:dyDescent="0.3">
      <c r="F1765" s="124">
        <v>1759</v>
      </c>
      <c r="G1765" s="33">
        <f t="shared" ca="1" si="40"/>
        <v>-1.7579598646068763E-2</v>
      </c>
    </row>
    <row r="1766" spans="6:7" x14ac:dyDescent="0.3">
      <c r="F1766" s="124">
        <v>1760</v>
      </c>
      <c r="G1766" s="33">
        <f t="shared" ca="1" si="40"/>
        <v>9.8843127360773685E-3</v>
      </c>
    </row>
    <row r="1767" spans="6:7" x14ac:dyDescent="0.3">
      <c r="F1767" s="124">
        <v>1761</v>
      </c>
      <c r="G1767" s="33">
        <f t="shared" ca="1" si="40"/>
        <v>4.2985772923960896E-3</v>
      </c>
    </row>
    <row r="1768" spans="6:7" x14ac:dyDescent="0.3">
      <c r="F1768" s="124">
        <v>1762</v>
      </c>
      <c r="G1768" s="33">
        <f t="shared" ca="1" si="40"/>
        <v>4.7917536027275741E-2</v>
      </c>
    </row>
    <row r="1769" spans="6:7" x14ac:dyDescent="0.3">
      <c r="F1769" s="124">
        <v>1763</v>
      </c>
      <c r="G1769" s="33">
        <f t="shared" ca="1" si="40"/>
        <v>-3.6793964614815017E-2</v>
      </c>
    </row>
    <row r="1770" spans="6:7" x14ac:dyDescent="0.3">
      <c r="F1770" s="124">
        <v>1764</v>
      </c>
      <c r="G1770" s="33">
        <f t="shared" ca="1" si="40"/>
        <v>1.9389260882888136E-2</v>
      </c>
    </row>
    <row r="1771" spans="6:7" x14ac:dyDescent="0.3">
      <c r="F1771" s="124">
        <v>1765</v>
      </c>
      <c r="G1771" s="33">
        <f t="shared" ca="1" si="40"/>
        <v>-2.2714102624159512E-2</v>
      </c>
    </row>
    <row r="1772" spans="6:7" x14ac:dyDescent="0.3">
      <c r="F1772" s="124">
        <v>1766</v>
      </c>
      <c r="G1772" s="33">
        <f t="shared" ca="1" si="40"/>
        <v>2.1166322009582229E-2</v>
      </c>
    </row>
    <row r="1773" spans="6:7" x14ac:dyDescent="0.3">
      <c r="F1773" s="124">
        <v>1767</v>
      </c>
      <c r="G1773" s="33">
        <f t="shared" ca="1" si="40"/>
        <v>-1.1149313028702711E-2</v>
      </c>
    </row>
    <row r="1774" spans="6:7" x14ac:dyDescent="0.3">
      <c r="F1774" s="124">
        <v>1768</v>
      </c>
      <c r="G1774" s="33">
        <f t="shared" ca="1" si="40"/>
        <v>-1.3469797374268587E-2</v>
      </c>
    </row>
    <row r="1775" spans="6:7" x14ac:dyDescent="0.3">
      <c r="F1775" s="124">
        <v>1769</v>
      </c>
      <c r="G1775" s="33">
        <f t="shared" ca="1" si="40"/>
        <v>2.0307078700824904E-2</v>
      </c>
    </row>
    <row r="1776" spans="6:7" x14ac:dyDescent="0.3">
      <c r="F1776" s="124">
        <v>1770</v>
      </c>
      <c r="G1776" s="33">
        <f t="shared" ca="1" si="40"/>
        <v>-1.0099206687713209E-2</v>
      </c>
    </row>
    <row r="1777" spans="6:7" x14ac:dyDescent="0.3">
      <c r="F1777" s="124">
        <v>1771</v>
      </c>
      <c r="G1777" s="33">
        <f t="shared" ca="1" si="40"/>
        <v>-2.8078256396780462E-2</v>
      </c>
    </row>
    <row r="1778" spans="6:7" x14ac:dyDescent="0.3">
      <c r="F1778" s="124">
        <v>1772</v>
      </c>
      <c r="G1778" s="33">
        <f t="shared" ca="1" si="40"/>
        <v>-4.0991871560487943E-3</v>
      </c>
    </row>
    <row r="1779" spans="6:7" x14ac:dyDescent="0.3">
      <c r="F1779" s="124">
        <v>1773</v>
      </c>
      <c r="G1779" s="33">
        <f t="shared" ca="1" si="40"/>
        <v>1.5087724243092277E-3</v>
      </c>
    </row>
    <row r="1780" spans="6:7" x14ac:dyDescent="0.3">
      <c r="F1780" s="124">
        <v>1774</v>
      </c>
      <c r="G1780" s="33">
        <f t="shared" ca="1" si="40"/>
        <v>-3.6338337927418696E-2</v>
      </c>
    </row>
    <row r="1781" spans="6:7" x14ac:dyDescent="0.3">
      <c r="F1781" s="124">
        <v>1775</v>
      </c>
      <c r="G1781" s="33">
        <f t="shared" ca="1" si="40"/>
        <v>-3.0980093774691981E-2</v>
      </c>
    </row>
    <row r="1782" spans="6:7" x14ac:dyDescent="0.3">
      <c r="F1782" s="124">
        <v>1776</v>
      </c>
      <c r="G1782" s="33">
        <f t="shared" ca="1" si="40"/>
        <v>2.1047752990534015E-2</v>
      </c>
    </row>
    <row r="1783" spans="6:7" x14ac:dyDescent="0.3">
      <c r="F1783" s="124">
        <v>1777</v>
      </c>
      <c r="G1783" s="33">
        <f t="shared" ca="1" si="40"/>
        <v>4.8133933184496894E-2</v>
      </c>
    </row>
    <row r="1784" spans="6:7" x14ac:dyDescent="0.3">
      <c r="F1784" s="124">
        <v>1778</v>
      </c>
      <c r="G1784" s="33">
        <f t="shared" ca="1" si="40"/>
        <v>-4.6986693097252411E-2</v>
      </c>
    </row>
    <row r="1785" spans="6:7" x14ac:dyDescent="0.3">
      <c r="F1785" s="124">
        <v>1779</v>
      </c>
      <c r="G1785" s="33">
        <f t="shared" ca="1" si="40"/>
        <v>1.5945790777211093E-3</v>
      </c>
    </row>
    <row r="1786" spans="6:7" x14ac:dyDescent="0.3">
      <c r="F1786" s="124">
        <v>1780</v>
      </c>
      <c r="G1786" s="33">
        <f t="shared" ca="1" si="40"/>
        <v>2.2662758014450838E-2</v>
      </c>
    </row>
    <row r="1787" spans="6:7" x14ac:dyDescent="0.3">
      <c r="F1787" s="124">
        <v>1781</v>
      </c>
      <c r="G1787" s="33">
        <f t="shared" ca="1" si="40"/>
        <v>-2.4498292509649789E-2</v>
      </c>
    </row>
    <row r="1788" spans="6:7" x14ac:dyDescent="0.3">
      <c r="F1788" s="124">
        <v>1782</v>
      </c>
      <c r="G1788" s="33">
        <f t="shared" ca="1" si="40"/>
        <v>1.9650776711545085E-2</v>
      </c>
    </row>
    <row r="1789" spans="6:7" x14ac:dyDescent="0.3">
      <c r="F1789" s="124">
        <v>1783</v>
      </c>
      <c r="G1789" s="33">
        <f t="shared" ca="1" si="40"/>
        <v>-2.4760910003381844E-2</v>
      </c>
    </row>
    <row r="1790" spans="6:7" x14ac:dyDescent="0.3">
      <c r="F1790" s="124">
        <v>1784</v>
      </c>
      <c r="G1790" s="33">
        <f t="shared" ca="1" si="40"/>
        <v>8.7578328282352999E-3</v>
      </c>
    </row>
    <row r="1791" spans="6:7" x14ac:dyDescent="0.3">
      <c r="F1791" s="124">
        <v>1785</v>
      </c>
      <c r="G1791" s="33">
        <f t="shared" ca="1" si="40"/>
        <v>3.8110381294773774E-2</v>
      </c>
    </row>
    <row r="1792" spans="6:7" x14ac:dyDescent="0.3">
      <c r="F1792" s="124">
        <v>1786</v>
      </c>
      <c r="G1792" s="33">
        <f t="shared" ca="1" si="40"/>
        <v>-5.7010385979711191E-3</v>
      </c>
    </row>
    <row r="1793" spans="6:7" x14ac:dyDescent="0.3">
      <c r="F1793" s="124">
        <v>1787</v>
      </c>
      <c r="G1793" s="33">
        <f t="shared" ca="1" si="40"/>
        <v>-4.0000744371417395E-2</v>
      </c>
    </row>
    <row r="1794" spans="6:7" x14ac:dyDescent="0.3">
      <c r="F1794" s="124">
        <v>1788</v>
      </c>
      <c r="G1794" s="33">
        <f t="shared" ca="1" si="40"/>
        <v>-4.6681904764604251E-2</v>
      </c>
    </row>
    <row r="1795" spans="6:7" x14ac:dyDescent="0.3">
      <c r="F1795" s="124">
        <v>1789</v>
      </c>
      <c r="G1795" s="33">
        <f t="shared" ca="1" si="40"/>
        <v>2.8787520506825332E-2</v>
      </c>
    </row>
    <row r="1796" spans="6:7" x14ac:dyDescent="0.3">
      <c r="F1796" s="124">
        <v>1790</v>
      </c>
      <c r="G1796" s="33">
        <f t="shared" ca="1" si="40"/>
        <v>1.808886230772578E-2</v>
      </c>
    </row>
    <row r="1797" spans="6:7" x14ac:dyDescent="0.3">
      <c r="F1797" s="124">
        <v>1791</v>
      </c>
      <c r="G1797" s="33">
        <f t="shared" ca="1" si="40"/>
        <v>3.7754820131921309E-2</v>
      </c>
    </row>
    <row r="1798" spans="6:7" x14ac:dyDescent="0.3">
      <c r="F1798" s="124">
        <v>1792</v>
      </c>
      <c r="G1798" s="33">
        <f t="shared" ca="1" si="40"/>
        <v>6.5106281253016277E-2</v>
      </c>
    </row>
    <row r="1799" spans="6:7" x14ac:dyDescent="0.3">
      <c r="F1799" s="124">
        <v>1793</v>
      </c>
      <c r="G1799" s="33">
        <f t="shared" ca="1" si="40"/>
        <v>1.7267058520147677E-2</v>
      </c>
    </row>
    <row r="1800" spans="6:7" x14ac:dyDescent="0.3">
      <c r="F1800" s="124">
        <v>1794</v>
      </c>
      <c r="G1800" s="33">
        <f t="shared" ref="G1800:G1863" ca="1" si="41">_xlfn.NORM.INV(RAND(),$M$9,$M$10)</f>
        <v>3.6245813078086844E-2</v>
      </c>
    </row>
    <row r="1801" spans="6:7" x14ac:dyDescent="0.3">
      <c r="F1801" s="124">
        <v>1795</v>
      </c>
      <c r="G1801" s="33">
        <f t="shared" ca="1" si="41"/>
        <v>2.268110552858936E-2</v>
      </c>
    </row>
    <row r="1802" spans="6:7" x14ac:dyDescent="0.3">
      <c r="F1802" s="124">
        <v>1796</v>
      </c>
      <c r="G1802" s="33">
        <f t="shared" ca="1" si="41"/>
        <v>-2.7988072151872361E-2</v>
      </c>
    </row>
    <row r="1803" spans="6:7" x14ac:dyDescent="0.3">
      <c r="F1803" s="124">
        <v>1797</v>
      </c>
      <c r="G1803" s="33">
        <f t="shared" ca="1" si="41"/>
        <v>-3.8213173003083668E-2</v>
      </c>
    </row>
    <row r="1804" spans="6:7" x14ac:dyDescent="0.3">
      <c r="F1804" s="124">
        <v>1798</v>
      </c>
      <c r="G1804" s="33">
        <f t="shared" ca="1" si="41"/>
        <v>5.8664006021925438E-2</v>
      </c>
    </row>
    <row r="1805" spans="6:7" x14ac:dyDescent="0.3">
      <c r="F1805" s="124">
        <v>1799</v>
      </c>
      <c r="G1805" s="33">
        <f t="shared" ca="1" si="41"/>
        <v>-4.3824688215080482E-2</v>
      </c>
    </row>
    <row r="1806" spans="6:7" x14ac:dyDescent="0.3">
      <c r="F1806" s="124">
        <v>1800</v>
      </c>
      <c r="G1806" s="33">
        <f t="shared" ca="1" si="41"/>
        <v>-4.5640385112341836E-2</v>
      </c>
    </row>
    <row r="1807" spans="6:7" x14ac:dyDescent="0.3">
      <c r="F1807" s="124">
        <v>1801</v>
      </c>
      <c r="G1807" s="33">
        <f t="shared" ca="1" si="41"/>
        <v>-1.7172766477964289E-2</v>
      </c>
    </row>
    <row r="1808" spans="6:7" x14ac:dyDescent="0.3">
      <c r="F1808" s="124">
        <v>1802</v>
      </c>
      <c r="G1808" s="33">
        <f t="shared" ca="1" si="41"/>
        <v>1.8274930715346478E-2</v>
      </c>
    </row>
    <row r="1809" spans="6:7" x14ac:dyDescent="0.3">
      <c r="F1809" s="124">
        <v>1803</v>
      </c>
      <c r="G1809" s="33">
        <f t="shared" ca="1" si="41"/>
        <v>1.1874106206326202E-2</v>
      </c>
    </row>
    <row r="1810" spans="6:7" x14ac:dyDescent="0.3">
      <c r="F1810" s="124">
        <v>1804</v>
      </c>
      <c r="G1810" s="33">
        <f t="shared" ca="1" si="41"/>
        <v>1.0730376260716719E-2</v>
      </c>
    </row>
    <row r="1811" spans="6:7" x14ac:dyDescent="0.3">
      <c r="F1811" s="124">
        <v>1805</v>
      </c>
      <c r="G1811" s="33">
        <f t="shared" ca="1" si="41"/>
        <v>-1.4688552166746926E-2</v>
      </c>
    </row>
    <row r="1812" spans="6:7" x14ac:dyDescent="0.3">
      <c r="F1812" s="124">
        <v>1806</v>
      </c>
      <c r="G1812" s="33">
        <f t="shared" ca="1" si="41"/>
        <v>-3.0122814602425958E-2</v>
      </c>
    </row>
    <row r="1813" spans="6:7" x14ac:dyDescent="0.3">
      <c r="F1813" s="124">
        <v>1807</v>
      </c>
      <c r="G1813" s="33">
        <f t="shared" ca="1" si="41"/>
        <v>1.4203097947756396E-2</v>
      </c>
    </row>
    <row r="1814" spans="6:7" x14ac:dyDescent="0.3">
      <c r="F1814" s="124">
        <v>1808</v>
      </c>
      <c r="G1814" s="33">
        <f t="shared" ca="1" si="41"/>
        <v>-2.2605481658020017E-3</v>
      </c>
    </row>
    <row r="1815" spans="6:7" x14ac:dyDescent="0.3">
      <c r="F1815" s="124">
        <v>1809</v>
      </c>
      <c r="G1815" s="33">
        <f t="shared" ca="1" si="41"/>
        <v>-3.7855876874412796E-2</v>
      </c>
    </row>
    <row r="1816" spans="6:7" x14ac:dyDescent="0.3">
      <c r="F1816" s="124">
        <v>1810</v>
      </c>
      <c r="G1816" s="33">
        <f t="shared" ca="1" si="41"/>
        <v>1.7030530313473791E-2</v>
      </c>
    </row>
    <row r="1817" spans="6:7" x14ac:dyDescent="0.3">
      <c r="F1817" s="124">
        <v>1811</v>
      </c>
      <c r="G1817" s="33">
        <f t="shared" ca="1" si="41"/>
        <v>-4.716264954570086E-2</v>
      </c>
    </row>
    <row r="1818" spans="6:7" x14ac:dyDescent="0.3">
      <c r="F1818" s="124">
        <v>1812</v>
      </c>
      <c r="G1818" s="33">
        <f t="shared" ca="1" si="41"/>
        <v>1.4384076904576628E-2</v>
      </c>
    </row>
    <row r="1819" spans="6:7" x14ac:dyDescent="0.3">
      <c r="F1819" s="124">
        <v>1813</v>
      </c>
      <c r="G1819" s="33">
        <f t="shared" ca="1" si="41"/>
        <v>1.9599232757354468E-2</v>
      </c>
    </row>
    <row r="1820" spans="6:7" x14ac:dyDescent="0.3">
      <c r="F1820" s="124">
        <v>1814</v>
      </c>
      <c r="G1820" s="33">
        <f t="shared" ca="1" si="41"/>
        <v>6.9479892039436095E-2</v>
      </c>
    </row>
    <row r="1821" spans="6:7" x14ac:dyDescent="0.3">
      <c r="F1821" s="124">
        <v>1815</v>
      </c>
      <c r="G1821" s="33">
        <f t="shared" ca="1" si="41"/>
        <v>1.7768216847304376E-2</v>
      </c>
    </row>
    <row r="1822" spans="6:7" x14ac:dyDescent="0.3">
      <c r="F1822" s="124">
        <v>1816</v>
      </c>
      <c r="G1822" s="33">
        <f t="shared" ca="1" si="41"/>
        <v>1.0324325437752267E-2</v>
      </c>
    </row>
    <row r="1823" spans="6:7" x14ac:dyDescent="0.3">
      <c r="F1823" s="124">
        <v>1817</v>
      </c>
      <c r="G1823" s="33">
        <f t="shared" ca="1" si="41"/>
        <v>1.1867755986641214E-2</v>
      </c>
    </row>
    <row r="1824" spans="6:7" x14ac:dyDescent="0.3">
      <c r="F1824" s="124">
        <v>1818</v>
      </c>
      <c r="G1824" s="33">
        <f t="shared" ca="1" si="41"/>
        <v>4.1487593057384156E-2</v>
      </c>
    </row>
    <row r="1825" spans="6:7" x14ac:dyDescent="0.3">
      <c r="F1825" s="124">
        <v>1819</v>
      </c>
      <c r="G1825" s="33">
        <f t="shared" ca="1" si="41"/>
        <v>-2.7599741818167206E-4</v>
      </c>
    </row>
    <row r="1826" spans="6:7" x14ac:dyDescent="0.3">
      <c r="F1826" s="124">
        <v>1820</v>
      </c>
      <c r="G1826" s="33">
        <f t="shared" ca="1" si="41"/>
        <v>-1.6440226384281421E-2</v>
      </c>
    </row>
    <row r="1827" spans="6:7" x14ac:dyDescent="0.3">
      <c r="F1827" s="124">
        <v>1821</v>
      </c>
      <c r="G1827" s="33">
        <f t="shared" ca="1" si="41"/>
        <v>-1.6516735112924619E-2</v>
      </c>
    </row>
    <row r="1828" spans="6:7" x14ac:dyDescent="0.3">
      <c r="F1828" s="124">
        <v>1822</v>
      </c>
      <c r="G1828" s="33">
        <f t="shared" ca="1" si="41"/>
        <v>-1.5907954603497313E-3</v>
      </c>
    </row>
    <row r="1829" spans="6:7" x14ac:dyDescent="0.3">
      <c r="F1829" s="124">
        <v>1823</v>
      </c>
      <c r="G1829" s="33">
        <f t="shared" ca="1" si="41"/>
        <v>4.2098224824820028E-2</v>
      </c>
    </row>
    <row r="1830" spans="6:7" x14ac:dyDescent="0.3">
      <c r="F1830" s="124">
        <v>1824</v>
      </c>
      <c r="G1830" s="33">
        <f t="shared" ca="1" si="41"/>
        <v>-9.1370513467429679E-3</v>
      </c>
    </row>
    <row r="1831" spans="6:7" x14ac:dyDescent="0.3">
      <c r="F1831" s="124">
        <v>1825</v>
      </c>
      <c r="G1831" s="33">
        <f t="shared" ca="1" si="41"/>
        <v>1.4225919114307543E-2</v>
      </c>
    </row>
    <row r="1832" spans="6:7" x14ac:dyDescent="0.3">
      <c r="F1832" s="124">
        <v>1826</v>
      </c>
      <c r="G1832" s="33">
        <f t="shared" ca="1" si="41"/>
        <v>5.2270130309966599E-2</v>
      </c>
    </row>
    <row r="1833" spans="6:7" x14ac:dyDescent="0.3">
      <c r="F1833" s="124">
        <v>1827</v>
      </c>
      <c r="G1833" s="33">
        <f t="shared" ca="1" si="41"/>
        <v>-1.6727082615526911E-2</v>
      </c>
    </row>
    <row r="1834" spans="6:7" x14ac:dyDescent="0.3">
      <c r="F1834" s="124">
        <v>1828</v>
      </c>
      <c r="G1834" s="33">
        <f t="shared" ca="1" si="41"/>
        <v>2.2348934291953851E-2</v>
      </c>
    </row>
    <row r="1835" spans="6:7" x14ac:dyDescent="0.3">
      <c r="F1835" s="124">
        <v>1829</v>
      </c>
      <c r="G1835" s="33">
        <f t="shared" ca="1" si="41"/>
        <v>-3.3630647157728656E-2</v>
      </c>
    </row>
    <row r="1836" spans="6:7" x14ac:dyDescent="0.3">
      <c r="F1836" s="124">
        <v>1830</v>
      </c>
      <c r="G1836" s="33">
        <f t="shared" ca="1" si="41"/>
        <v>8.4850230872535112E-3</v>
      </c>
    </row>
    <row r="1837" spans="6:7" x14ac:dyDescent="0.3">
      <c r="F1837" s="124">
        <v>1831</v>
      </c>
      <c r="G1837" s="33">
        <f t="shared" ca="1" si="41"/>
        <v>-9.4147364139437334E-3</v>
      </c>
    </row>
    <row r="1838" spans="6:7" x14ac:dyDescent="0.3">
      <c r="F1838" s="124">
        <v>1832</v>
      </c>
      <c r="G1838" s="33">
        <f t="shared" ca="1" si="41"/>
        <v>9.2240899896782788E-2</v>
      </c>
    </row>
    <row r="1839" spans="6:7" x14ac:dyDescent="0.3">
      <c r="F1839" s="124">
        <v>1833</v>
      </c>
      <c r="G1839" s="33">
        <f t="shared" ca="1" si="41"/>
        <v>3.6502507072088658E-2</v>
      </c>
    </row>
    <row r="1840" spans="6:7" x14ac:dyDescent="0.3">
      <c r="F1840" s="124">
        <v>1834</v>
      </c>
      <c r="G1840" s="33">
        <f t="shared" ca="1" si="41"/>
        <v>2.8655850192549209E-2</v>
      </c>
    </row>
    <row r="1841" spans="6:7" x14ac:dyDescent="0.3">
      <c r="F1841" s="124">
        <v>1835</v>
      </c>
      <c r="G1841" s="33">
        <f t="shared" ca="1" si="41"/>
        <v>-2.1375977905682492E-2</v>
      </c>
    </row>
    <row r="1842" spans="6:7" x14ac:dyDescent="0.3">
      <c r="F1842" s="124">
        <v>1836</v>
      </c>
      <c r="G1842" s="33">
        <f t="shared" ca="1" si="41"/>
        <v>-7.2519935627389356E-2</v>
      </c>
    </row>
    <row r="1843" spans="6:7" x14ac:dyDescent="0.3">
      <c r="F1843" s="124">
        <v>1837</v>
      </c>
      <c r="G1843" s="33">
        <f t="shared" ca="1" si="41"/>
        <v>8.0417751862192063E-2</v>
      </c>
    </row>
    <row r="1844" spans="6:7" x14ac:dyDescent="0.3">
      <c r="F1844" s="124">
        <v>1838</v>
      </c>
      <c r="G1844" s="33">
        <f t="shared" ca="1" si="41"/>
        <v>2.0150469963654473E-2</v>
      </c>
    </row>
    <row r="1845" spans="6:7" x14ac:dyDescent="0.3">
      <c r="F1845" s="124">
        <v>1839</v>
      </c>
      <c r="G1845" s="33">
        <f t="shared" ca="1" si="41"/>
        <v>9.6839572204117583E-3</v>
      </c>
    </row>
    <row r="1846" spans="6:7" x14ac:dyDescent="0.3">
      <c r="F1846" s="124">
        <v>1840</v>
      </c>
      <c r="G1846" s="33">
        <f t="shared" ca="1" si="41"/>
        <v>5.3617197802132678E-2</v>
      </c>
    </row>
    <row r="1847" spans="6:7" x14ac:dyDescent="0.3">
      <c r="F1847" s="124">
        <v>1841</v>
      </c>
      <c r="G1847" s="33">
        <f t="shared" ca="1" si="41"/>
        <v>4.6423644448615006E-2</v>
      </c>
    </row>
    <row r="1848" spans="6:7" x14ac:dyDescent="0.3">
      <c r="F1848" s="124">
        <v>1842</v>
      </c>
      <c r="G1848" s="33">
        <f t="shared" ca="1" si="41"/>
        <v>5.0097912683352896E-2</v>
      </c>
    </row>
    <row r="1849" spans="6:7" x14ac:dyDescent="0.3">
      <c r="F1849" s="124">
        <v>1843</v>
      </c>
      <c r="G1849" s="33">
        <f t="shared" ca="1" si="41"/>
        <v>1.1906041099975624E-2</v>
      </c>
    </row>
    <row r="1850" spans="6:7" x14ac:dyDescent="0.3">
      <c r="F1850" s="124">
        <v>1844</v>
      </c>
      <c r="G1850" s="33">
        <f t="shared" ca="1" si="41"/>
        <v>-1.8449240296768189E-2</v>
      </c>
    </row>
    <row r="1851" spans="6:7" x14ac:dyDescent="0.3">
      <c r="F1851" s="124">
        <v>1845</v>
      </c>
      <c r="G1851" s="33">
        <f t="shared" ca="1" si="41"/>
        <v>-1.7931828427042804E-3</v>
      </c>
    </row>
    <row r="1852" spans="6:7" x14ac:dyDescent="0.3">
      <c r="F1852" s="124">
        <v>1846</v>
      </c>
      <c r="G1852" s="33">
        <f t="shared" ca="1" si="41"/>
        <v>1.6474859629410581E-2</v>
      </c>
    </row>
    <row r="1853" spans="6:7" x14ac:dyDescent="0.3">
      <c r="F1853" s="124">
        <v>1847</v>
      </c>
      <c r="G1853" s="33">
        <f t="shared" ca="1" si="41"/>
        <v>-1.5864362508846489E-2</v>
      </c>
    </row>
    <row r="1854" spans="6:7" x14ac:dyDescent="0.3">
      <c r="F1854" s="124">
        <v>1848</v>
      </c>
      <c r="G1854" s="33">
        <f t="shared" ca="1" si="41"/>
        <v>5.206269076850778E-2</v>
      </c>
    </row>
    <row r="1855" spans="6:7" x14ac:dyDescent="0.3">
      <c r="F1855" s="124">
        <v>1849</v>
      </c>
      <c r="G1855" s="33">
        <f t="shared" ca="1" si="41"/>
        <v>-3.4586677357609147E-2</v>
      </c>
    </row>
    <row r="1856" spans="6:7" x14ac:dyDescent="0.3">
      <c r="F1856" s="124">
        <v>1850</v>
      </c>
      <c r="G1856" s="33">
        <f t="shared" ca="1" si="41"/>
        <v>-7.1129203785169877E-3</v>
      </c>
    </row>
    <row r="1857" spans="6:7" x14ac:dyDescent="0.3">
      <c r="F1857" s="124">
        <v>1851</v>
      </c>
      <c r="G1857" s="33">
        <f t="shared" ca="1" si="41"/>
        <v>-3.1268818465630337E-2</v>
      </c>
    </row>
    <row r="1858" spans="6:7" x14ac:dyDescent="0.3">
      <c r="F1858" s="124">
        <v>1852</v>
      </c>
      <c r="G1858" s="33">
        <f t="shared" ca="1" si="41"/>
        <v>7.654573356075374E-2</v>
      </c>
    </row>
    <row r="1859" spans="6:7" x14ac:dyDescent="0.3">
      <c r="F1859" s="124">
        <v>1853</v>
      </c>
      <c r="G1859" s="33">
        <f t="shared" ca="1" si="41"/>
        <v>4.0809543669854571E-3</v>
      </c>
    </row>
    <row r="1860" spans="6:7" x14ac:dyDescent="0.3">
      <c r="F1860" s="124">
        <v>1854</v>
      </c>
      <c r="G1860" s="33">
        <f t="shared" ca="1" si="41"/>
        <v>1.1520400590090803E-2</v>
      </c>
    </row>
    <row r="1861" spans="6:7" x14ac:dyDescent="0.3">
      <c r="F1861" s="124">
        <v>1855</v>
      </c>
      <c r="G1861" s="33">
        <f t="shared" ca="1" si="41"/>
        <v>2.3636378040851589E-2</v>
      </c>
    </row>
    <row r="1862" spans="6:7" x14ac:dyDescent="0.3">
      <c r="F1862" s="124">
        <v>1856</v>
      </c>
      <c r="G1862" s="33">
        <f t="shared" ca="1" si="41"/>
        <v>4.538032440040829E-2</v>
      </c>
    </row>
    <row r="1863" spans="6:7" x14ac:dyDescent="0.3">
      <c r="F1863" s="124">
        <v>1857</v>
      </c>
      <c r="G1863" s="33">
        <f t="shared" ca="1" si="41"/>
        <v>-1.322114036569582E-2</v>
      </c>
    </row>
    <row r="1864" spans="6:7" x14ac:dyDescent="0.3">
      <c r="F1864" s="124">
        <v>1858</v>
      </c>
      <c r="G1864" s="33">
        <f t="shared" ref="G1864:G1927" ca="1" si="42">_xlfn.NORM.INV(RAND(),$M$9,$M$10)</f>
        <v>2.1339422675061132E-2</v>
      </c>
    </row>
    <row r="1865" spans="6:7" x14ac:dyDescent="0.3">
      <c r="F1865" s="124">
        <v>1859</v>
      </c>
      <c r="G1865" s="33">
        <f t="shared" ca="1" si="42"/>
        <v>4.8161877004476362E-2</v>
      </c>
    </row>
    <row r="1866" spans="6:7" x14ac:dyDescent="0.3">
      <c r="F1866" s="124">
        <v>1860</v>
      </c>
      <c r="G1866" s="33">
        <f t="shared" ca="1" si="42"/>
        <v>4.1610544589292635E-2</v>
      </c>
    </row>
    <row r="1867" spans="6:7" x14ac:dyDescent="0.3">
      <c r="F1867" s="124">
        <v>1861</v>
      </c>
      <c r="G1867" s="33">
        <f t="shared" ca="1" si="42"/>
        <v>-2.1562081414970742E-2</v>
      </c>
    </row>
    <row r="1868" spans="6:7" x14ac:dyDescent="0.3">
      <c r="F1868" s="124">
        <v>1862</v>
      </c>
      <c r="G1868" s="33">
        <f t="shared" ca="1" si="42"/>
        <v>-1.5614718728660982E-2</v>
      </c>
    </row>
    <row r="1869" spans="6:7" x14ac:dyDescent="0.3">
      <c r="F1869" s="124">
        <v>1863</v>
      </c>
      <c r="G1869" s="33">
        <f t="shared" ca="1" si="42"/>
        <v>1.8927648614348661E-2</v>
      </c>
    </row>
    <row r="1870" spans="6:7" x14ac:dyDescent="0.3">
      <c r="F1870" s="124">
        <v>1864</v>
      </c>
      <c r="G1870" s="33">
        <f t="shared" ca="1" si="42"/>
        <v>-2.2849201185342359E-2</v>
      </c>
    </row>
    <row r="1871" spans="6:7" x14ac:dyDescent="0.3">
      <c r="F1871" s="124">
        <v>1865</v>
      </c>
      <c r="G1871" s="33">
        <f t="shared" ca="1" si="42"/>
        <v>-2.0031900643264534E-2</v>
      </c>
    </row>
    <row r="1872" spans="6:7" x14ac:dyDescent="0.3">
      <c r="F1872" s="124">
        <v>1866</v>
      </c>
      <c r="G1872" s="33">
        <f t="shared" ca="1" si="42"/>
        <v>3.3950621665865689E-2</v>
      </c>
    </row>
    <row r="1873" spans="6:7" x14ac:dyDescent="0.3">
      <c r="F1873" s="124">
        <v>1867</v>
      </c>
      <c r="G1873" s="33">
        <f t="shared" ca="1" si="42"/>
        <v>4.1131380096958242E-2</v>
      </c>
    </row>
    <row r="1874" spans="6:7" x14ac:dyDescent="0.3">
      <c r="F1874" s="124">
        <v>1868</v>
      </c>
      <c r="G1874" s="33">
        <f t="shared" ca="1" si="42"/>
        <v>1.2199639298345756E-2</v>
      </c>
    </row>
    <row r="1875" spans="6:7" x14ac:dyDescent="0.3">
      <c r="F1875" s="124">
        <v>1869</v>
      </c>
      <c r="G1875" s="33">
        <f t="shared" ca="1" si="42"/>
        <v>-1.4956972643484355E-2</v>
      </c>
    </row>
    <row r="1876" spans="6:7" x14ac:dyDescent="0.3">
      <c r="F1876" s="124">
        <v>1870</v>
      </c>
      <c r="G1876" s="33">
        <f t="shared" ca="1" si="42"/>
        <v>3.8752315264319055E-2</v>
      </c>
    </row>
    <row r="1877" spans="6:7" x14ac:dyDescent="0.3">
      <c r="F1877" s="124">
        <v>1871</v>
      </c>
      <c r="G1877" s="33">
        <f t="shared" ca="1" si="42"/>
        <v>1.1115159140050491E-2</v>
      </c>
    </row>
    <row r="1878" spans="6:7" x14ac:dyDescent="0.3">
      <c r="F1878" s="124">
        <v>1872</v>
      </c>
      <c r="G1878" s="33">
        <f t="shared" ca="1" si="42"/>
        <v>7.7372950080637715E-2</v>
      </c>
    </row>
    <row r="1879" spans="6:7" x14ac:dyDescent="0.3">
      <c r="F1879" s="124">
        <v>1873</v>
      </c>
      <c r="G1879" s="33">
        <f t="shared" ca="1" si="42"/>
        <v>-1.7612211636800306E-2</v>
      </c>
    </row>
    <row r="1880" spans="6:7" x14ac:dyDescent="0.3">
      <c r="F1880" s="124">
        <v>1874</v>
      </c>
      <c r="G1880" s="33">
        <f t="shared" ca="1" si="42"/>
        <v>3.3292867626631785E-2</v>
      </c>
    </row>
    <row r="1881" spans="6:7" x14ac:dyDescent="0.3">
      <c r="F1881" s="124">
        <v>1875</v>
      </c>
      <c r="G1881" s="33">
        <f t="shared" ca="1" si="42"/>
        <v>-7.8537667486440997E-3</v>
      </c>
    </row>
    <row r="1882" spans="6:7" x14ac:dyDescent="0.3">
      <c r="F1882" s="124">
        <v>1876</v>
      </c>
      <c r="G1882" s="33">
        <f t="shared" ca="1" si="42"/>
        <v>-2.4449193447421145E-4</v>
      </c>
    </row>
    <row r="1883" spans="6:7" x14ac:dyDescent="0.3">
      <c r="F1883" s="124">
        <v>1877</v>
      </c>
      <c r="G1883" s="33">
        <f t="shared" ca="1" si="42"/>
        <v>-4.1816241006366238E-2</v>
      </c>
    </row>
    <row r="1884" spans="6:7" x14ac:dyDescent="0.3">
      <c r="F1884" s="124">
        <v>1878</v>
      </c>
      <c r="G1884" s="33">
        <f t="shared" ca="1" si="42"/>
        <v>6.6430945277084069E-3</v>
      </c>
    </row>
    <row r="1885" spans="6:7" x14ac:dyDescent="0.3">
      <c r="F1885" s="124">
        <v>1879</v>
      </c>
      <c r="G1885" s="33">
        <f t="shared" ca="1" si="42"/>
        <v>4.6248463296005148E-2</v>
      </c>
    </row>
    <row r="1886" spans="6:7" x14ac:dyDescent="0.3">
      <c r="F1886" s="124">
        <v>1880</v>
      </c>
      <c r="G1886" s="33">
        <f t="shared" ca="1" si="42"/>
        <v>6.3529118226696426E-3</v>
      </c>
    </row>
    <row r="1887" spans="6:7" x14ac:dyDescent="0.3">
      <c r="F1887" s="124">
        <v>1881</v>
      </c>
      <c r="G1887" s="33">
        <f t="shared" ca="1" si="42"/>
        <v>-2.1178005905474119E-2</v>
      </c>
    </row>
    <row r="1888" spans="6:7" x14ac:dyDescent="0.3">
      <c r="F1888" s="124">
        <v>1882</v>
      </c>
      <c r="G1888" s="33">
        <f t="shared" ca="1" si="42"/>
        <v>-1.9772687947533892E-2</v>
      </c>
    </row>
    <row r="1889" spans="6:7" x14ac:dyDescent="0.3">
      <c r="F1889" s="124">
        <v>1883</v>
      </c>
      <c r="G1889" s="33">
        <f t="shared" ca="1" si="42"/>
        <v>-1.1265085446607023E-2</v>
      </c>
    </row>
    <row r="1890" spans="6:7" x14ac:dyDescent="0.3">
      <c r="F1890" s="124">
        <v>1884</v>
      </c>
      <c r="G1890" s="33">
        <f t="shared" ca="1" si="42"/>
        <v>4.055291703625101E-2</v>
      </c>
    </row>
    <row r="1891" spans="6:7" x14ac:dyDescent="0.3">
      <c r="F1891" s="124">
        <v>1885</v>
      </c>
      <c r="G1891" s="33">
        <f t="shared" ca="1" si="42"/>
        <v>-8.6418985877443275E-3</v>
      </c>
    </row>
    <row r="1892" spans="6:7" x14ac:dyDescent="0.3">
      <c r="F1892" s="124">
        <v>1886</v>
      </c>
      <c r="G1892" s="33">
        <f t="shared" ca="1" si="42"/>
        <v>-3.1543760406692462E-2</v>
      </c>
    </row>
    <row r="1893" spans="6:7" x14ac:dyDescent="0.3">
      <c r="F1893" s="124">
        <v>1887</v>
      </c>
      <c r="G1893" s="33">
        <f t="shared" ca="1" si="42"/>
        <v>-3.6437577760275716E-2</v>
      </c>
    </row>
    <row r="1894" spans="6:7" x14ac:dyDescent="0.3">
      <c r="F1894" s="124">
        <v>1888</v>
      </c>
      <c r="G1894" s="33">
        <f t="shared" ca="1" si="42"/>
        <v>2.1659952880952023E-2</v>
      </c>
    </row>
    <row r="1895" spans="6:7" x14ac:dyDescent="0.3">
      <c r="F1895" s="124">
        <v>1889</v>
      </c>
      <c r="G1895" s="33">
        <f t="shared" ca="1" si="42"/>
        <v>-2.9894184749950304E-2</v>
      </c>
    </row>
    <row r="1896" spans="6:7" x14ac:dyDescent="0.3">
      <c r="F1896" s="124">
        <v>1890</v>
      </c>
      <c r="G1896" s="33">
        <f t="shared" ca="1" si="42"/>
        <v>1.9266467740652885E-2</v>
      </c>
    </row>
    <row r="1897" spans="6:7" x14ac:dyDescent="0.3">
      <c r="F1897" s="124">
        <v>1891</v>
      </c>
      <c r="G1897" s="33">
        <f t="shared" ca="1" si="42"/>
        <v>4.4207351061672048E-2</v>
      </c>
    </row>
    <row r="1898" spans="6:7" x14ac:dyDescent="0.3">
      <c r="F1898" s="124">
        <v>1892</v>
      </c>
      <c r="G1898" s="33">
        <f t="shared" ca="1" si="42"/>
        <v>1.8639248532028158E-2</v>
      </c>
    </row>
    <row r="1899" spans="6:7" x14ac:dyDescent="0.3">
      <c r="F1899" s="124">
        <v>1893</v>
      </c>
      <c r="G1899" s="33">
        <f t="shared" ca="1" si="42"/>
        <v>3.9439012886823742E-2</v>
      </c>
    </row>
    <row r="1900" spans="6:7" x14ac:dyDescent="0.3">
      <c r="F1900" s="124">
        <v>1894</v>
      </c>
      <c r="G1900" s="33">
        <f t="shared" ca="1" si="42"/>
        <v>-1.0113338246299638E-3</v>
      </c>
    </row>
    <row r="1901" spans="6:7" x14ac:dyDescent="0.3">
      <c r="F1901" s="124">
        <v>1895</v>
      </c>
      <c r="G1901" s="33">
        <f t="shared" ca="1" si="42"/>
        <v>-3.7893821799316323E-2</v>
      </c>
    </row>
    <row r="1902" spans="6:7" x14ac:dyDescent="0.3">
      <c r="F1902" s="124">
        <v>1896</v>
      </c>
      <c r="G1902" s="33">
        <f t="shared" ca="1" si="42"/>
        <v>2.7318905602409689E-2</v>
      </c>
    </row>
    <row r="1903" spans="6:7" x14ac:dyDescent="0.3">
      <c r="F1903" s="124">
        <v>1897</v>
      </c>
      <c r="G1903" s="33">
        <f t="shared" ca="1" si="42"/>
        <v>-5.2811793859522817E-2</v>
      </c>
    </row>
    <row r="1904" spans="6:7" x14ac:dyDescent="0.3">
      <c r="F1904" s="124">
        <v>1898</v>
      </c>
      <c r="G1904" s="33">
        <f t="shared" ca="1" si="42"/>
        <v>-5.2306877242914739E-2</v>
      </c>
    </row>
    <row r="1905" spans="6:7" x14ac:dyDescent="0.3">
      <c r="F1905" s="124">
        <v>1899</v>
      </c>
      <c r="G1905" s="33">
        <f t="shared" ca="1" si="42"/>
        <v>-3.3836604455768228E-2</v>
      </c>
    </row>
    <row r="1906" spans="6:7" x14ac:dyDescent="0.3">
      <c r="F1906" s="124">
        <v>1900</v>
      </c>
      <c r="G1906" s="33">
        <f t="shared" ca="1" si="42"/>
        <v>-2.0083296267203971E-2</v>
      </c>
    </row>
    <row r="1907" spans="6:7" x14ac:dyDescent="0.3">
      <c r="F1907" s="124">
        <v>1901</v>
      </c>
      <c r="G1907" s="33">
        <f t="shared" ca="1" si="42"/>
        <v>2.2097985302534665E-2</v>
      </c>
    </row>
    <row r="1908" spans="6:7" x14ac:dyDescent="0.3">
      <c r="F1908" s="124">
        <v>1902</v>
      </c>
      <c r="G1908" s="33">
        <f t="shared" ca="1" si="42"/>
        <v>5.719472318331268E-2</v>
      </c>
    </row>
    <row r="1909" spans="6:7" x14ac:dyDescent="0.3">
      <c r="F1909" s="124">
        <v>1903</v>
      </c>
      <c r="G1909" s="33">
        <f t="shared" ca="1" si="42"/>
        <v>5.7240410458084694E-2</v>
      </c>
    </row>
    <row r="1910" spans="6:7" x14ac:dyDescent="0.3">
      <c r="F1910" s="124">
        <v>1904</v>
      </c>
      <c r="G1910" s="33">
        <f t="shared" ca="1" si="42"/>
        <v>-5.2221100580565364E-3</v>
      </c>
    </row>
    <row r="1911" spans="6:7" x14ac:dyDescent="0.3">
      <c r="F1911" s="124">
        <v>1905</v>
      </c>
      <c r="G1911" s="33">
        <f t="shared" ca="1" si="42"/>
        <v>5.3726935171848442E-2</v>
      </c>
    </row>
    <row r="1912" spans="6:7" x14ac:dyDescent="0.3">
      <c r="F1912" s="124">
        <v>1906</v>
      </c>
      <c r="G1912" s="33">
        <f t="shared" ca="1" si="42"/>
        <v>-7.5804622504167226E-3</v>
      </c>
    </row>
    <row r="1913" spans="6:7" x14ac:dyDescent="0.3">
      <c r="F1913" s="124">
        <v>1907</v>
      </c>
      <c r="G1913" s="33">
        <f t="shared" ca="1" si="42"/>
        <v>-1.5030283047555985E-2</v>
      </c>
    </row>
    <row r="1914" spans="6:7" x14ac:dyDescent="0.3">
      <c r="F1914" s="124">
        <v>1908</v>
      </c>
      <c r="G1914" s="33">
        <f t="shared" ca="1" si="42"/>
        <v>1.0021023492966602E-2</v>
      </c>
    </row>
    <row r="1915" spans="6:7" x14ac:dyDescent="0.3">
      <c r="F1915" s="124">
        <v>1909</v>
      </c>
      <c r="G1915" s="33">
        <f t="shared" ca="1" si="42"/>
        <v>5.2067970247766743E-2</v>
      </c>
    </row>
    <row r="1916" spans="6:7" x14ac:dyDescent="0.3">
      <c r="F1916" s="124">
        <v>1910</v>
      </c>
      <c r="G1916" s="33">
        <f t="shared" ca="1" si="42"/>
        <v>-2.4782525266357373E-2</v>
      </c>
    </row>
    <row r="1917" spans="6:7" x14ac:dyDescent="0.3">
      <c r="F1917" s="124">
        <v>1911</v>
      </c>
      <c r="G1917" s="33">
        <f t="shared" ca="1" si="42"/>
        <v>1.1225304030646227E-2</v>
      </c>
    </row>
    <row r="1918" spans="6:7" x14ac:dyDescent="0.3">
      <c r="F1918" s="124">
        <v>1912</v>
      </c>
      <c r="G1918" s="33">
        <f t="shared" ca="1" si="42"/>
        <v>-1.6848839069957683E-2</v>
      </c>
    </row>
    <row r="1919" spans="6:7" x14ac:dyDescent="0.3">
      <c r="F1919" s="124">
        <v>1913</v>
      </c>
      <c r="G1919" s="33">
        <f t="shared" ca="1" si="42"/>
        <v>2.6798803530117443E-2</v>
      </c>
    </row>
    <row r="1920" spans="6:7" x14ac:dyDescent="0.3">
      <c r="F1920" s="124">
        <v>1914</v>
      </c>
      <c r="G1920" s="33">
        <f t="shared" ca="1" si="42"/>
        <v>-3.58959340645717E-2</v>
      </c>
    </row>
    <row r="1921" spans="6:7" x14ac:dyDescent="0.3">
      <c r="F1921" s="124">
        <v>1915</v>
      </c>
      <c r="G1921" s="33">
        <f t="shared" ca="1" si="42"/>
        <v>-2.1685654530236246E-2</v>
      </c>
    </row>
    <row r="1922" spans="6:7" x14ac:dyDescent="0.3">
      <c r="F1922" s="124">
        <v>1916</v>
      </c>
      <c r="G1922" s="33">
        <f t="shared" ca="1" si="42"/>
        <v>1.2471971345655447E-2</v>
      </c>
    </row>
    <row r="1923" spans="6:7" x14ac:dyDescent="0.3">
      <c r="F1923" s="124">
        <v>1917</v>
      </c>
      <c r="G1923" s="33">
        <f t="shared" ca="1" si="42"/>
        <v>8.0771072703984328E-2</v>
      </c>
    </row>
    <row r="1924" spans="6:7" x14ac:dyDescent="0.3">
      <c r="F1924" s="124">
        <v>1918</v>
      </c>
      <c r="G1924" s="33">
        <f t="shared" ca="1" si="42"/>
        <v>3.3048860642825119E-2</v>
      </c>
    </row>
    <row r="1925" spans="6:7" x14ac:dyDescent="0.3">
      <c r="F1925" s="124">
        <v>1919</v>
      </c>
      <c r="G1925" s="33">
        <f t="shared" ca="1" si="42"/>
        <v>4.2748013861410791E-3</v>
      </c>
    </row>
    <row r="1926" spans="6:7" x14ac:dyDescent="0.3">
      <c r="F1926" s="124">
        <v>1920</v>
      </c>
      <c r="G1926" s="33">
        <f t="shared" ca="1" si="42"/>
        <v>-8.1996589638570518E-3</v>
      </c>
    </row>
    <row r="1927" spans="6:7" x14ac:dyDescent="0.3">
      <c r="F1927" s="124">
        <v>1921</v>
      </c>
      <c r="G1927" s="33">
        <f t="shared" ca="1" si="42"/>
        <v>-4.2440966512682241E-2</v>
      </c>
    </row>
    <row r="1928" spans="6:7" x14ac:dyDescent="0.3">
      <c r="F1928" s="124">
        <v>1922</v>
      </c>
      <c r="G1928" s="33">
        <f t="shared" ref="G1928:G1991" ca="1" si="43">_xlfn.NORM.INV(RAND(),$M$9,$M$10)</f>
        <v>-9.5084392457252496E-3</v>
      </c>
    </row>
    <row r="1929" spans="6:7" x14ac:dyDescent="0.3">
      <c r="F1929" s="124">
        <v>1923</v>
      </c>
      <c r="G1929" s="33">
        <f t="shared" ca="1" si="43"/>
        <v>-1.4964707690155329E-2</v>
      </c>
    </row>
    <row r="1930" spans="6:7" x14ac:dyDescent="0.3">
      <c r="F1930" s="124">
        <v>1924</v>
      </c>
      <c r="G1930" s="33">
        <f t="shared" ca="1" si="43"/>
        <v>-2.809497202511179E-2</v>
      </c>
    </row>
    <row r="1931" spans="6:7" x14ac:dyDescent="0.3">
      <c r="F1931" s="124">
        <v>1925</v>
      </c>
      <c r="G1931" s="33">
        <f t="shared" ca="1" si="43"/>
        <v>-1.2888476638692532E-2</v>
      </c>
    </row>
    <row r="1932" spans="6:7" x14ac:dyDescent="0.3">
      <c r="F1932" s="124">
        <v>1926</v>
      </c>
      <c r="G1932" s="33">
        <f t="shared" ca="1" si="43"/>
        <v>8.1747073250681944E-3</v>
      </c>
    </row>
    <row r="1933" spans="6:7" x14ac:dyDescent="0.3">
      <c r="F1933" s="124">
        <v>1927</v>
      </c>
      <c r="G1933" s="33">
        <f t="shared" ca="1" si="43"/>
        <v>-3.1004850673872045E-2</v>
      </c>
    </row>
    <row r="1934" spans="6:7" x14ac:dyDescent="0.3">
      <c r="F1934" s="124">
        <v>1928</v>
      </c>
      <c r="G1934" s="33">
        <f t="shared" ca="1" si="43"/>
        <v>-1.513709018398551E-2</v>
      </c>
    </row>
    <row r="1935" spans="6:7" x14ac:dyDescent="0.3">
      <c r="F1935" s="124">
        <v>1929</v>
      </c>
      <c r="G1935" s="33">
        <f t="shared" ca="1" si="43"/>
        <v>1.0361730586684326E-2</v>
      </c>
    </row>
    <row r="1936" spans="6:7" x14ac:dyDescent="0.3">
      <c r="F1936" s="124">
        <v>1930</v>
      </c>
      <c r="G1936" s="33">
        <f t="shared" ca="1" si="43"/>
        <v>-1.5885704807066494E-2</v>
      </c>
    </row>
    <row r="1937" spans="6:7" x14ac:dyDescent="0.3">
      <c r="F1937" s="124">
        <v>1931</v>
      </c>
      <c r="G1937" s="33">
        <f t="shared" ca="1" si="43"/>
        <v>2.8592108024461413E-3</v>
      </c>
    </row>
    <row r="1938" spans="6:7" x14ac:dyDescent="0.3">
      <c r="F1938" s="124">
        <v>1932</v>
      </c>
      <c r="G1938" s="33">
        <f t="shared" ca="1" si="43"/>
        <v>-9.7745741988122942E-3</v>
      </c>
    </row>
    <row r="1939" spans="6:7" x14ac:dyDescent="0.3">
      <c r="F1939" s="124">
        <v>1933</v>
      </c>
      <c r="G1939" s="33">
        <f t="shared" ca="1" si="43"/>
        <v>1.4799210374482088E-2</v>
      </c>
    </row>
    <row r="1940" spans="6:7" x14ac:dyDescent="0.3">
      <c r="F1940" s="124">
        <v>1934</v>
      </c>
      <c r="G1940" s="33">
        <f t="shared" ca="1" si="43"/>
        <v>-1.918521720446931E-2</v>
      </c>
    </row>
    <row r="1941" spans="6:7" x14ac:dyDescent="0.3">
      <c r="F1941" s="124">
        <v>1935</v>
      </c>
      <c r="G1941" s="33">
        <f t="shared" ca="1" si="43"/>
        <v>1.1210104000063222E-2</v>
      </c>
    </row>
    <row r="1942" spans="6:7" x14ac:dyDescent="0.3">
      <c r="F1942" s="124">
        <v>1936</v>
      </c>
      <c r="G1942" s="33">
        <f t="shared" ca="1" si="43"/>
        <v>1.6926106554251804E-2</v>
      </c>
    </row>
    <row r="1943" spans="6:7" x14ac:dyDescent="0.3">
      <c r="F1943" s="124">
        <v>1937</v>
      </c>
      <c r="G1943" s="33">
        <f t="shared" ca="1" si="43"/>
        <v>1.0400466721661096E-2</v>
      </c>
    </row>
    <row r="1944" spans="6:7" x14ac:dyDescent="0.3">
      <c r="F1944" s="124">
        <v>1938</v>
      </c>
      <c r="G1944" s="33">
        <f t="shared" ca="1" si="43"/>
        <v>-1.5424228352578667E-3</v>
      </c>
    </row>
    <row r="1945" spans="6:7" x14ac:dyDescent="0.3">
      <c r="F1945" s="124">
        <v>1939</v>
      </c>
      <c r="G1945" s="33">
        <f t="shared" ca="1" si="43"/>
        <v>8.3911822888539916E-3</v>
      </c>
    </row>
    <row r="1946" spans="6:7" x14ac:dyDescent="0.3">
      <c r="F1946" s="124">
        <v>1940</v>
      </c>
      <c r="G1946" s="33">
        <f t="shared" ca="1" si="43"/>
        <v>5.9158435257476528E-2</v>
      </c>
    </row>
    <row r="1947" spans="6:7" x14ac:dyDescent="0.3">
      <c r="F1947" s="124">
        <v>1941</v>
      </c>
      <c r="G1947" s="33">
        <f t="shared" ca="1" si="43"/>
        <v>-1.7953674616607431E-2</v>
      </c>
    </row>
    <row r="1948" spans="6:7" x14ac:dyDescent="0.3">
      <c r="F1948" s="124">
        <v>1942</v>
      </c>
      <c r="G1948" s="33">
        <f t="shared" ca="1" si="43"/>
        <v>2.255371615093512E-2</v>
      </c>
    </row>
    <row r="1949" spans="6:7" x14ac:dyDescent="0.3">
      <c r="F1949" s="124">
        <v>1943</v>
      </c>
      <c r="G1949" s="33">
        <f t="shared" ca="1" si="43"/>
        <v>-1.0391463534326899E-2</v>
      </c>
    </row>
    <row r="1950" spans="6:7" x14ac:dyDescent="0.3">
      <c r="F1950" s="124">
        <v>1944</v>
      </c>
      <c r="G1950" s="33">
        <f t="shared" ca="1" si="43"/>
        <v>-1.3526128620404724E-4</v>
      </c>
    </row>
    <row r="1951" spans="6:7" x14ac:dyDescent="0.3">
      <c r="F1951" s="124">
        <v>1945</v>
      </c>
      <c r="G1951" s="33">
        <f t="shared" ca="1" si="43"/>
        <v>3.4056591442631822E-3</v>
      </c>
    </row>
    <row r="1952" spans="6:7" x14ac:dyDescent="0.3">
      <c r="F1952" s="124">
        <v>1946</v>
      </c>
      <c r="G1952" s="33">
        <f t="shared" ca="1" si="43"/>
        <v>2.2774211286610536E-2</v>
      </c>
    </row>
    <row r="1953" spans="6:7" x14ac:dyDescent="0.3">
      <c r="F1953" s="124">
        <v>1947</v>
      </c>
      <c r="G1953" s="33">
        <f t="shared" ca="1" si="43"/>
        <v>9.5035207156927773E-3</v>
      </c>
    </row>
    <row r="1954" spans="6:7" x14ac:dyDescent="0.3">
      <c r="F1954" s="124">
        <v>1948</v>
      </c>
      <c r="G1954" s="33">
        <f t="shared" ca="1" si="43"/>
        <v>-2.3559947519073067E-2</v>
      </c>
    </row>
    <row r="1955" spans="6:7" x14ac:dyDescent="0.3">
      <c r="F1955" s="124">
        <v>1949</v>
      </c>
      <c r="G1955" s="33">
        <f t="shared" ca="1" si="43"/>
        <v>5.1209125465574309E-2</v>
      </c>
    </row>
    <row r="1956" spans="6:7" x14ac:dyDescent="0.3">
      <c r="F1956" s="124">
        <v>1950</v>
      </c>
      <c r="G1956" s="33">
        <f t="shared" ca="1" si="43"/>
        <v>1.96298031218743E-6</v>
      </c>
    </row>
    <row r="1957" spans="6:7" x14ac:dyDescent="0.3">
      <c r="F1957" s="124">
        <v>1951</v>
      </c>
      <c r="G1957" s="33">
        <f t="shared" ca="1" si="43"/>
        <v>4.3958872409100527E-2</v>
      </c>
    </row>
    <row r="1958" spans="6:7" x14ac:dyDescent="0.3">
      <c r="F1958" s="124">
        <v>1952</v>
      </c>
      <c r="G1958" s="33">
        <f t="shared" ca="1" si="43"/>
        <v>-2.0505391198425264E-2</v>
      </c>
    </row>
    <row r="1959" spans="6:7" x14ac:dyDescent="0.3">
      <c r="F1959" s="124">
        <v>1953</v>
      </c>
      <c r="G1959" s="33">
        <f t="shared" ca="1" si="43"/>
        <v>1.0288141094404294E-2</v>
      </c>
    </row>
    <row r="1960" spans="6:7" x14ac:dyDescent="0.3">
      <c r="F1960" s="124">
        <v>1954</v>
      </c>
      <c r="G1960" s="33">
        <f t="shared" ca="1" si="43"/>
        <v>1.1022612068983275E-2</v>
      </c>
    </row>
    <row r="1961" spans="6:7" x14ac:dyDescent="0.3">
      <c r="F1961" s="124">
        <v>1955</v>
      </c>
      <c r="G1961" s="33">
        <f t="shared" ca="1" si="43"/>
        <v>-2.8366940900735355E-2</v>
      </c>
    </row>
    <row r="1962" spans="6:7" x14ac:dyDescent="0.3">
      <c r="F1962" s="124">
        <v>1956</v>
      </c>
      <c r="G1962" s="33">
        <f t="shared" ca="1" si="43"/>
        <v>-6.3635688274129007E-2</v>
      </c>
    </row>
    <row r="1963" spans="6:7" x14ac:dyDescent="0.3">
      <c r="F1963" s="124">
        <v>1957</v>
      </c>
      <c r="G1963" s="33">
        <f t="shared" ca="1" si="43"/>
        <v>-1.5708082781488959E-2</v>
      </c>
    </row>
    <row r="1964" spans="6:7" x14ac:dyDescent="0.3">
      <c r="F1964" s="124">
        <v>1958</v>
      </c>
      <c r="G1964" s="33">
        <f t="shared" ca="1" si="43"/>
        <v>-3.3348499255650012E-2</v>
      </c>
    </row>
    <row r="1965" spans="6:7" x14ac:dyDescent="0.3">
      <c r="F1965" s="124">
        <v>1959</v>
      </c>
      <c r="G1965" s="33">
        <f t="shared" ca="1" si="43"/>
        <v>-5.0065734730189958E-3</v>
      </c>
    </row>
    <row r="1966" spans="6:7" x14ac:dyDescent="0.3">
      <c r="F1966" s="124">
        <v>1960</v>
      </c>
      <c r="G1966" s="33">
        <f t="shared" ca="1" si="43"/>
        <v>6.9866099378742587E-3</v>
      </c>
    </row>
    <row r="1967" spans="6:7" x14ac:dyDescent="0.3">
      <c r="F1967" s="124">
        <v>1961</v>
      </c>
      <c r="G1967" s="33">
        <f t="shared" ca="1" si="43"/>
        <v>0.11136468382969636</v>
      </c>
    </row>
    <row r="1968" spans="6:7" x14ac:dyDescent="0.3">
      <c r="F1968" s="124">
        <v>1962</v>
      </c>
      <c r="G1968" s="33">
        <f t="shared" ca="1" si="43"/>
        <v>-2.3991223941086104E-2</v>
      </c>
    </row>
    <row r="1969" spans="6:7" x14ac:dyDescent="0.3">
      <c r="F1969" s="124">
        <v>1963</v>
      </c>
      <c r="G1969" s="33">
        <f t="shared" ca="1" si="43"/>
        <v>1.662842546183187E-2</v>
      </c>
    </row>
    <row r="1970" spans="6:7" x14ac:dyDescent="0.3">
      <c r="F1970" s="124">
        <v>1964</v>
      </c>
      <c r="G1970" s="33">
        <f t="shared" ca="1" si="43"/>
        <v>3.0279232994157156E-2</v>
      </c>
    </row>
    <row r="1971" spans="6:7" x14ac:dyDescent="0.3">
      <c r="F1971" s="124">
        <v>1965</v>
      </c>
      <c r="G1971" s="33">
        <f t="shared" ca="1" si="43"/>
        <v>-2.8713916779926258E-2</v>
      </c>
    </row>
    <row r="1972" spans="6:7" x14ac:dyDescent="0.3">
      <c r="F1972" s="124">
        <v>1966</v>
      </c>
      <c r="G1972" s="33">
        <f t="shared" ca="1" si="43"/>
        <v>-2.1427622624658308E-2</v>
      </c>
    </row>
    <row r="1973" spans="6:7" x14ac:dyDescent="0.3">
      <c r="F1973" s="124">
        <v>1967</v>
      </c>
      <c r="G1973" s="33">
        <f t="shared" ca="1" si="43"/>
        <v>3.7619076699386314E-2</v>
      </c>
    </row>
    <row r="1974" spans="6:7" x14ac:dyDescent="0.3">
      <c r="F1974" s="124">
        <v>1968</v>
      </c>
      <c r="G1974" s="33">
        <f t="shared" ca="1" si="43"/>
        <v>-1.5914324284741013E-2</v>
      </c>
    </row>
    <row r="1975" spans="6:7" x14ac:dyDescent="0.3">
      <c r="F1975" s="124">
        <v>1969</v>
      </c>
      <c r="G1975" s="33">
        <f t="shared" ca="1" si="43"/>
        <v>-3.078989947109528E-2</v>
      </c>
    </row>
    <row r="1976" spans="6:7" x14ac:dyDescent="0.3">
      <c r="F1976" s="124">
        <v>1970</v>
      </c>
      <c r="G1976" s="33">
        <f t="shared" ca="1" si="43"/>
        <v>-5.2667509736490793E-2</v>
      </c>
    </row>
    <row r="1977" spans="6:7" x14ac:dyDescent="0.3">
      <c r="F1977" s="124">
        <v>1971</v>
      </c>
      <c r="G1977" s="33">
        <f t="shared" ca="1" si="43"/>
        <v>-1.2600755982467775E-2</v>
      </c>
    </row>
    <row r="1978" spans="6:7" x14ac:dyDescent="0.3">
      <c r="F1978" s="124">
        <v>1972</v>
      </c>
      <c r="G1978" s="33">
        <f t="shared" ca="1" si="43"/>
        <v>-1.0777425300874478E-2</v>
      </c>
    </row>
    <row r="1979" spans="6:7" x14ac:dyDescent="0.3">
      <c r="F1979" s="124">
        <v>1973</v>
      </c>
      <c r="G1979" s="33">
        <f t="shared" ca="1" si="43"/>
        <v>-1.2471716013722531E-2</v>
      </c>
    </row>
    <row r="1980" spans="6:7" x14ac:dyDescent="0.3">
      <c r="F1980" s="124">
        <v>1974</v>
      </c>
      <c r="G1980" s="33">
        <f t="shared" ca="1" si="43"/>
        <v>2.1184159584570272E-2</v>
      </c>
    </row>
    <row r="1981" spans="6:7" x14ac:dyDescent="0.3">
      <c r="F1981" s="124">
        <v>1975</v>
      </c>
      <c r="G1981" s="33">
        <f t="shared" ca="1" si="43"/>
        <v>-1.4022596572114333E-2</v>
      </c>
    </row>
    <row r="1982" spans="6:7" x14ac:dyDescent="0.3">
      <c r="F1982" s="124">
        <v>1976</v>
      </c>
      <c r="G1982" s="33">
        <f t="shared" ca="1" si="43"/>
        <v>3.008423014532477E-2</v>
      </c>
    </row>
    <row r="1983" spans="6:7" x14ac:dyDescent="0.3">
      <c r="F1983" s="124">
        <v>1977</v>
      </c>
      <c r="G1983" s="33">
        <f t="shared" ca="1" si="43"/>
        <v>-7.6869582780717859E-3</v>
      </c>
    </row>
    <row r="1984" spans="6:7" x14ac:dyDescent="0.3">
      <c r="F1984" s="124">
        <v>1978</v>
      </c>
      <c r="G1984" s="33">
        <f t="shared" ca="1" si="43"/>
        <v>6.3982179731758182E-2</v>
      </c>
    </row>
    <row r="1985" spans="6:7" x14ac:dyDescent="0.3">
      <c r="F1985" s="124">
        <v>1979</v>
      </c>
      <c r="G1985" s="33">
        <f t="shared" ca="1" si="43"/>
        <v>6.8301767112250561E-4</v>
      </c>
    </row>
    <row r="1986" spans="6:7" x14ac:dyDescent="0.3">
      <c r="F1986" s="124">
        <v>1980</v>
      </c>
      <c r="G1986" s="33">
        <f t="shared" ca="1" si="43"/>
        <v>1.3089152670113863E-2</v>
      </c>
    </row>
    <row r="1987" spans="6:7" x14ac:dyDescent="0.3">
      <c r="F1987" s="124">
        <v>1981</v>
      </c>
      <c r="G1987" s="33">
        <f t="shared" ca="1" si="43"/>
        <v>-2.8931858745201416E-2</v>
      </c>
    </row>
    <row r="1988" spans="6:7" x14ac:dyDescent="0.3">
      <c r="F1988" s="124">
        <v>1982</v>
      </c>
      <c r="G1988" s="33">
        <f t="shared" ca="1" si="43"/>
        <v>5.8760861821066856E-3</v>
      </c>
    </row>
    <row r="1989" spans="6:7" x14ac:dyDescent="0.3">
      <c r="F1989" s="124">
        <v>1983</v>
      </c>
      <c r="G1989" s="33">
        <f t="shared" ca="1" si="43"/>
        <v>4.1801571026027433E-2</v>
      </c>
    </row>
    <row r="1990" spans="6:7" x14ac:dyDescent="0.3">
      <c r="F1990" s="124">
        <v>1984</v>
      </c>
      <c r="G1990" s="33">
        <f t="shared" ca="1" si="43"/>
        <v>6.6363436288620944E-2</v>
      </c>
    </row>
    <row r="1991" spans="6:7" x14ac:dyDescent="0.3">
      <c r="F1991" s="124">
        <v>1985</v>
      </c>
      <c r="G1991" s="33">
        <f t="shared" ca="1" si="43"/>
        <v>2.1824034978944622E-2</v>
      </c>
    </row>
    <row r="1992" spans="6:7" x14ac:dyDescent="0.3">
      <c r="F1992" s="124">
        <v>1986</v>
      </c>
      <c r="G1992" s="33">
        <f t="shared" ref="G1992:G2055" ca="1" si="44">_xlfn.NORM.INV(RAND(),$M$9,$M$10)</f>
        <v>-2.470680462993162E-2</v>
      </c>
    </row>
    <row r="1993" spans="6:7" x14ac:dyDescent="0.3">
      <c r="F1993" s="124">
        <v>1987</v>
      </c>
      <c r="G1993" s="33">
        <f t="shared" ca="1" si="44"/>
        <v>2.4047889979395963E-2</v>
      </c>
    </row>
    <row r="1994" spans="6:7" x14ac:dyDescent="0.3">
      <c r="F1994" s="124">
        <v>1988</v>
      </c>
      <c r="G1994" s="33">
        <f t="shared" ca="1" si="44"/>
        <v>-4.0765905178284552E-2</v>
      </c>
    </row>
    <row r="1995" spans="6:7" x14ac:dyDescent="0.3">
      <c r="F1995" s="124">
        <v>1989</v>
      </c>
      <c r="G1995" s="33">
        <f t="shared" ca="1" si="44"/>
        <v>-1.9788547068303602E-2</v>
      </c>
    </row>
    <row r="1996" spans="6:7" x14ac:dyDescent="0.3">
      <c r="F1996" s="124">
        <v>1990</v>
      </c>
      <c r="G1996" s="33">
        <f t="shared" ca="1" si="44"/>
        <v>2.1683091699259555E-2</v>
      </c>
    </row>
    <row r="1997" spans="6:7" x14ac:dyDescent="0.3">
      <c r="F1997" s="124">
        <v>1991</v>
      </c>
      <c r="G1997" s="33">
        <f t="shared" ca="1" si="44"/>
        <v>-1.2903213976532383E-2</v>
      </c>
    </row>
    <row r="1998" spans="6:7" x14ac:dyDescent="0.3">
      <c r="F1998" s="124">
        <v>1992</v>
      </c>
      <c r="G1998" s="33">
        <f t="shared" ca="1" si="44"/>
        <v>-2.6609713674440288E-2</v>
      </c>
    </row>
    <row r="1999" spans="6:7" x14ac:dyDescent="0.3">
      <c r="F1999" s="124">
        <v>1993</v>
      </c>
      <c r="G1999" s="33">
        <f t="shared" ca="1" si="44"/>
        <v>3.520949080534048E-3</v>
      </c>
    </row>
    <row r="2000" spans="6:7" x14ac:dyDescent="0.3">
      <c r="F2000" s="124">
        <v>1994</v>
      </c>
      <c r="G2000" s="33">
        <f t="shared" ca="1" si="44"/>
        <v>2.884971045898245E-2</v>
      </c>
    </row>
    <row r="2001" spans="6:7" x14ac:dyDescent="0.3">
      <c r="F2001" s="124">
        <v>1995</v>
      </c>
      <c r="G2001" s="33">
        <f t="shared" ca="1" si="44"/>
        <v>3.8308991480202502E-4</v>
      </c>
    </row>
    <row r="2002" spans="6:7" x14ac:dyDescent="0.3">
      <c r="F2002" s="124">
        <v>1996</v>
      </c>
      <c r="G2002" s="33">
        <f t="shared" ca="1" si="44"/>
        <v>-4.548539361158397E-2</v>
      </c>
    </row>
    <row r="2003" spans="6:7" x14ac:dyDescent="0.3">
      <c r="F2003" s="124">
        <v>1997</v>
      </c>
      <c r="G2003" s="33">
        <f t="shared" ca="1" si="44"/>
        <v>-1.160648841154498E-2</v>
      </c>
    </row>
    <row r="2004" spans="6:7" x14ac:dyDescent="0.3">
      <c r="F2004" s="124">
        <v>1998</v>
      </c>
      <c r="G2004" s="33">
        <f t="shared" ca="1" si="44"/>
        <v>4.402607075655663E-2</v>
      </c>
    </row>
    <row r="2005" spans="6:7" x14ac:dyDescent="0.3">
      <c r="F2005" s="124">
        <v>1999</v>
      </c>
      <c r="G2005" s="33">
        <f t="shared" ca="1" si="44"/>
        <v>-3.4350184148121361E-2</v>
      </c>
    </row>
    <row r="2006" spans="6:7" x14ac:dyDescent="0.3">
      <c r="F2006" s="124">
        <v>2000</v>
      </c>
      <c r="G2006" s="33">
        <f t="shared" ca="1" si="44"/>
        <v>2.2118034663955299E-2</v>
      </c>
    </row>
    <row r="2007" spans="6:7" x14ac:dyDescent="0.3">
      <c r="F2007" s="124">
        <v>2001</v>
      </c>
      <c r="G2007" s="33">
        <f t="shared" ca="1" si="44"/>
        <v>1.1545760549599545E-2</v>
      </c>
    </row>
    <row r="2008" spans="6:7" x14ac:dyDescent="0.3">
      <c r="F2008" s="124">
        <v>2002</v>
      </c>
      <c r="G2008" s="33">
        <f t="shared" ca="1" si="44"/>
        <v>-2.2071002239648675E-3</v>
      </c>
    </row>
    <row r="2009" spans="6:7" x14ac:dyDescent="0.3">
      <c r="F2009" s="124">
        <v>2003</v>
      </c>
      <c r="G2009" s="33">
        <f t="shared" ca="1" si="44"/>
        <v>1.0910263734102193E-3</v>
      </c>
    </row>
    <row r="2010" spans="6:7" x14ac:dyDescent="0.3">
      <c r="F2010" s="124">
        <v>2004</v>
      </c>
      <c r="G2010" s="33">
        <f t="shared" ca="1" si="44"/>
        <v>3.3581826998564851E-2</v>
      </c>
    </row>
    <row r="2011" spans="6:7" x14ac:dyDescent="0.3">
      <c r="F2011" s="124">
        <v>2005</v>
      </c>
      <c r="G2011" s="33">
        <f t="shared" ca="1" si="44"/>
        <v>-3.741677506788701E-4</v>
      </c>
    </row>
    <row r="2012" spans="6:7" x14ac:dyDescent="0.3">
      <c r="F2012" s="124">
        <v>2006</v>
      </c>
      <c r="G2012" s="33">
        <f t="shared" ca="1" si="44"/>
        <v>6.2348146942836869E-3</v>
      </c>
    </row>
    <row r="2013" spans="6:7" x14ac:dyDescent="0.3">
      <c r="F2013" s="124">
        <v>2007</v>
      </c>
      <c r="G2013" s="33">
        <f t="shared" ca="1" si="44"/>
        <v>-3.1384629024559345E-2</v>
      </c>
    </row>
    <row r="2014" spans="6:7" x14ac:dyDescent="0.3">
      <c r="F2014" s="124">
        <v>2008</v>
      </c>
      <c r="G2014" s="33">
        <f t="shared" ca="1" si="44"/>
        <v>1.6694486488946326E-2</v>
      </c>
    </row>
    <row r="2015" spans="6:7" x14ac:dyDescent="0.3">
      <c r="F2015" s="124">
        <v>2009</v>
      </c>
      <c r="G2015" s="33">
        <f t="shared" ca="1" si="44"/>
        <v>-1.4733067340246545E-2</v>
      </c>
    </row>
    <row r="2016" spans="6:7" x14ac:dyDescent="0.3">
      <c r="F2016" s="124">
        <v>2010</v>
      </c>
      <c r="G2016" s="33">
        <f t="shared" ca="1" si="44"/>
        <v>-3.5714872950157748E-3</v>
      </c>
    </row>
    <row r="2017" spans="6:7" x14ac:dyDescent="0.3">
      <c r="F2017" s="124">
        <v>2011</v>
      </c>
      <c r="G2017" s="33">
        <f t="shared" ca="1" si="44"/>
        <v>-2.9883298672800405E-2</v>
      </c>
    </row>
    <row r="2018" spans="6:7" x14ac:dyDescent="0.3">
      <c r="F2018" s="124">
        <v>2012</v>
      </c>
      <c r="G2018" s="33">
        <f t="shared" ca="1" si="44"/>
        <v>3.8238535888916833E-2</v>
      </c>
    </row>
    <row r="2019" spans="6:7" x14ac:dyDescent="0.3">
      <c r="F2019" s="124">
        <v>2013</v>
      </c>
      <c r="G2019" s="33">
        <f t="shared" ca="1" si="44"/>
        <v>-6.6738203159388235E-2</v>
      </c>
    </row>
    <row r="2020" spans="6:7" x14ac:dyDescent="0.3">
      <c r="F2020" s="124">
        <v>2014</v>
      </c>
      <c r="G2020" s="33">
        <f t="shared" ca="1" si="44"/>
        <v>-1.115893019171061E-2</v>
      </c>
    </row>
    <row r="2021" spans="6:7" x14ac:dyDescent="0.3">
      <c r="F2021" s="124">
        <v>2015</v>
      </c>
      <c r="G2021" s="33">
        <f t="shared" ca="1" si="44"/>
        <v>-1.7801186543363566E-2</v>
      </c>
    </row>
    <row r="2022" spans="6:7" x14ac:dyDescent="0.3">
      <c r="F2022" s="124">
        <v>2016</v>
      </c>
      <c r="G2022" s="33">
        <f t="shared" ca="1" si="44"/>
        <v>-1.1337959414095676E-2</v>
      </c>
    </row>
    <row r="2023" spans="6:7" x14ac:dyDescent="0.3">
      <c r="F2023" s="124">
        <v>2017</v>
      </c>
      <c r="G2023" s="33">
        <f t="shared" ca="1" si="44"/>
        <v>-2.8692483056887024E-2</v>
      </c>
    </row>
    <row r="2024" spans="6:7" x14ac:dyDescent="0.3">
      <c r="F2024" s="124">
        <v>2018</v>
      </c>
      <c r="G2024" s="33">
        <f t="shared" ca="1" si="44"/>
        <v>-1.7070547909957393E-2</v>
      </c>
    </row>
    <row r="2025" spans="6:7" x14ac:dyDescent="0.3">
      <c r="F2025" s="124">
        <v>2019</v>
      </c>
      <c r="G2025" s="33">
        <f t="shared" ca="1" si="44"/>
        <v>-1.7418349563981051E-4</v>
      </c>
    </row>
    <row r="2026" spans="6:7" x14ac:dyDescent="0.3">
      <c r="F2026" s="124">
        <v>2020</v>
      </c>
      <c r="G2026" s="33">
        <f t="shared" ca="1" si="44"/>
        <v>3.9659269951790782E-2</v>
      </c>
    </row>
    <row r="2027" spans="6:7" x14ac:dyDescent="0.3">
      <c r="F2027" s="124">
        <v>2021</v>
      </c>
      <c r="G2027" s="33">
        <f t="shared" ca="1" si="44"/>
        <v>-8.3174819896023842E-3</v>
      </c>
    </row>
    <row r="2028" spans="6:7" x14ac:dyDescent="0.3">
      <c r="F2028" s="124">
        <v>2022</v>
      </c>
      <c r="G2028" s="33">
        <f t="shared" ca="1" si="44"/>
        <v>-2.4217684856592078E-2</v>
      </c>
    </row>
    <row r="2029" spans="6:7" x14ac:dyDescent="0.3">
      <c r="F2029" s="124">
        <v>2023</v>
      </c>
      <c r="G2029" s="33">
        <f t="shared" ca="1" si="44"/>
        <v>-7.4930799318082475E-4</v>
      </c>
    </row>
    <row r="2030" spans="6:7" x14ac:dyDescent="0.3">
      <c r="F2030" s="124">
        <v>2024</v>
      </c>
      <c r="G2030" s="33">
        <f t="shared" ca="1" si="44"/>
        <v>-9.5063627003612872E-3</v>
      </c>
    </row>
    <row r="2031" spans="6:7" x14ac:dyDescent="0.3">
      <c r="F2031" s="124">
        <v>2025</v>
      </c>
      <c r="G2031" s="33">
        <f t="shared" ca="1" si="44"/>
        <v>5.699375464871119E-2</v>
      </c>
    </row>
    <row r="2032" spans="6:7" x14ac:dyDescent="0.3">
      <c r="F2032" s="124">
        <v>2026</v>
      </c>
      <c r="G2032" s="33">
        <f t="shared" ca="1" si="44"/>
        <v>9.1692112535960591E-3</v>
      </c>
    </row>
    <row r="2033" spans="6:7" x14ac:dyDescent="0.3">
      <c r="F2033" s="124">
        <v>2027</v>
      </c>
      <c r="G2033" s="33">
        <f t="shared" ca="1" si="44"/>
        <v>6.5926567190895229E-3</v>
      </c>
    </row>
    <row r="2034" spans="6:7" x14ac:dyDescent="0.3">
      <c r="F2034" s="124">
        <v>2028</v>
      </c>
      <c r="G2034" s="33">
        <f t="shared" ca="1" si="44"/>
        <v>-2.9125011668587275E-2</v>
      </c>
    </row>
    <row r="2035" spans="6:7" x14ac:dyDescent="0.3">
      <c r="F2035" s="124">
        <v>2029</v>
      </c>
      <c r="G2035" s="33">
        <f t="shared" ca="1" si="44"/>
        <v>-4.6334722050860574E-2</v>
      </c>
    </row>
    <row r="2036" spans="6:7" x14ac:dyDescent="0.3">
      <c r="F2036" s="124">
        <v>2030</v>
      </c>
      <c r="G2036" s="33">
        <f t="shared" ca="1" si="44"/>
        <v>-2.0313185942825371E-2</v>
      </c>
    </row>
    <row r="2037" spans="6:7" x14ac:dyDescent="0.3">
      <c r="F2037" s="124">
        <v>2031</v>
      </c>
      <c r="G2037" s="33">
        <f t="shared" ca="1" si="44"/>
        <v>4.7793024459436569E-2</v>
      </c>
    </row>
    <row r="2038" spans="6:7" x14ac:dyDescent="0.3">
      <c r="F2038" s="124">
        <v>2032</v>
      </c>
      <c r="G2038" s="33">
        <f t="shared" ca="1" si="44"/>
        <v>-3.2780491075666614E-2</v>
      </c>
    </row>
    <row r="2039" spans="6:7" x14ac:dyDescent="0.3">
      <c r="F2039" s="124">
        <v>2033</v>
      </c>
      <c r="G2039" s="33">
        <f t="shared" ca="1" si="44"/>
        <v>-1.4116066279810532E-2</v>
      </c>
    </row>
    <row r="2040" spans="6:7" x14ac:dyDescent="0.3">
      <c r="F2040" s="124">
        <v>2034</v>
      </c>
      <c r="G2040" s="33">
        <f t="shared" ca="1" si="44"/>
        <v>1.854786722917082E-2</v>
      </c>
    </row>
    <row r="2041" spans="6:7" x14ac:dyDescent="0.3">
      <c r="F2041" s="124">
        <v>2035</v>
      </c>
      <c r="G2041" s="33">
        <f t="shared" ca="1" si="44"/>
        <v>3.5227898252856188E-2</v>
      </c>
    </row>
    <row r="2042" spans="6:7" x14ac:dyDescent="0.3">
      <c r="F2042" s="124">
        <v>2036</v>
      </c>
      <c r="G2042" s="33">
        <f t="shared" ca="1" si="44"/>
        <v>-2.6436366974131691E-2</v>
      </c>
    </row>
    <row r="2043" spans="6:7" x14ac:dyDescent="0.3">
      <c r="F2043" s="124">
        <v>2037</v>
      </c>
      <c r="G2043" s="33">
        <f t="shared" ca="1" si="44"/>
        <v>5.301255085847581E-2</v>
      </c>
    </row>
    <row r="2044" spans="6:7" x14ac:dyDescent="0.3">
      <c r="F2044" s="124">
        <v>2038</v>
      </c>
      <c r="G2044" s="33">
        <f t="shared" ca="1" si="44"/>
        <v>-6.4697718582605701E-2</v>
      </c>
    </row>
    <row r="2045" spans="6:7" x14ac:dyDescent="0.3">
      <c r="F2045" s="124">
        <v>2039</v>
      </c>
      <c r="G2045" s="33">
        <f t="shared" ca="1" si="44"/>
        <v>1.1001174689427421E-3</v>
      </c>
    </row>
    <row r="2046" spans="6:7" x14ac:dyDescent="0.3">
      <c r="F2046" s="124">
        <v>2040</v>
      </c>
      <c r="G2046" s="33">
        <f t="shared" ca="1" si="44"/>
        <v>-6.6615204456766846E-3</v>
      </c>
    </row>
    <row r="2047" spans="6:7" x14ac:dyDescent="0.3">
      <c r="F2047" s="124">
        <v>2041</v>
      </c>
      <c r="G2047" s="33">
        <f t="shared" ca="1" si="44"/>
        <v>2.5009544295581717E-2</v>
      </c>
    </row>
    <row r="2048" spans="6:7" x14ac:dyDescent="0.3">
      <c r="F2048" s="124">
        <v>2042</v>
      </c>
      <c r="G2048" s="33">
        <f t="shared" ca="1" si="44"/>
        <v>-3.5206018338456505E-2</v>
      </c>
    </row>
    <row r="2049" spans="6:7" x14ac:dyDescent="0.3">
      <c r="F2049" s="124">
        <v>2043</v>
      </c>
      <c r="G2049" s="33">
        <f t="shared" ca="1" si="44"/>
        <v>-8.6312311172995031E-3</v>
      </c>
    </row>
    <row r="2050" spans="6:7" x14ac:dyDescent="0.3">
      <c r="F2050" s="124">
        <v>2044</v>
      </c>
      <c r="G2050" s="33">
        <f t="shared" ca="1" si="44"/>
        <v>-1.0394154703434518E-2</v>
      </c>
    </row>
    <row r="2051" spans="6:7" x14ac:dyDescent="0.3">
      <c r="F2051" s="124">
        <v>2045</v>
      </c>
      <c r="G2051" s="33">
        <f t="shared" ca="1" si="44"/>
        <v>1.4288790345712839E-2</v>
      </c>
    </row>
    <row r="2052" spans="6:7" x14ac:dyDescent="0.3">
      <c r="F2052" s="124">
        <v>2046</v>
      </c>
      <c r="G2052" s="33">
        <f t="shared" ca="1" si="44"/>
        <v>3.3445049101853835E-2</v>
      </c>
    </row>
    <row r="2053" spans="6:7" x14ac:dyDescent="0.3">
      <c r="F2053" s="124">
        <v>2047</v>
      </c>
      <c r="G2053" s="33">
        <f t="shared" ca="1" si="44"/>
        <v>-5.1330949867823827E-3</v>
      </c>
    </row>
    <row r="2054" spans="6:7" x14ac:dyDescent="0.3">
      <c r="F2054" s="124">
        <v>2048</v>
      </c>
      <c r="G2054" s="33">
        <f t="shared" ca="1" si="44"/>
        <v>-2.0304482401612676E-2</v>
      </c>
    </row>
    <row r="2055" spans="6:7" x14ac:dyDescent="0.3">
      <c r="F2055" s="124">
        <v>2049</v>
      </c>
      <c r="G2055" s="33">
        <f t="shared" ca="1" si="44"/>
        <v>2.5939389481367169E-2</v>
      </c>
    </row>
    <row r="2056" spans="6:7" x14ac:dyDescent="0.3">
      <c r="F2056" s="124">
        <v>2050</v>
      </c>
      <c r="G2056" s="33">
        <f t="shared" ref="G2056:G2119" ca="1" si="45">_xlfn.NORM.INV(RAND(),$M$9,$M$10)</f>
        <v>1.5825545514097386E-2</v>
      </c>
    </row>
    <row r="2057" spans="6:7" x14ac:dyDescent="0.3">
      <c r="F2057" s="124">
        <v>2051</v>
      </c>
      <c r="G2057" s="33">
        <f t="shared" ca="1" si="45"/>
        <v>-2.1017081666214006E-3</v>
      </c>
    </row>
    <row r="2058" spans="6:7" x14ac:dyDescent="0.3">
      <c r="F2058" s="124">
        <v>2052</v>
      </c>
      <c r="G2058" s="33">
        <f t="shared" ca="1" si="45"/>
        <v>-1.3458416614244312E-2</v>
      </c>
    </row>
    <row r="2059" spans="6:7" x14ac:dyDescent="0.3">
      <c r="F2059" s="124">
        <v>2053</v>
      </c>
      <c r="G2059" s="33">
        <f t="shared" ca="1" si="45"/>
        <v>-6.3898146833714026E-3</v>
      </c>
    </row>
    <row r="2060" spans="6:7" x14ac:dyDescent="0.3">
      <c r="F2060" s="124">
        <v>2054</v>
      </c>
      <c r="G2060" s="33">
        <f t="shared" ca="1" si="45"/>
        <v>-3.6347943651288787E-3</v>
      </c>
    </row>
    <row r="2061" spans="6:7" x14ac:dyDescent="0.3">
      <c r="F2061" s="124">
        <v>2055</v>
      </c>
      <c r="G2061" s="33">
        <f t="shared" ca="1" si="45"/>
        <v>2.0970182420097794E-2</v>
      </c>
    </row>
    <row r="2062" spans="6:7" x14ac:dyDescent="0.3">
      <c r="F2062" s="124">
        <v>2056</v>
      </c>
      <c r="G2062" s="33">
        <f t="shared" ca="1" si="45"/>
        <v>1.0868863895595257E-3</v>
      </c>
    </row>
    <row r="2063" spans="6:7" x14ac:dyDescent="0.3">
      <c r="F2063" s="124">
        <v>2057</v>
      </c>
      <c r="G2063" s="33">
        <f t="shared" ca="1" si="45"/>
        <v>-4.133398568070188E-2</v>
      </c>
    </row>
    <row r="2064" spans="6:7" x14ac:dyDescent="0.3">
      <c r="F2064" s="124">
        <v>2058</v>
      </c>
      <c r="G2064" s="33">
        <f t="shared" ca="1" si="45"/>
        <v>1.0897443097632003E-2</v>
      </c>
    </row>
    <row r="2065" spans="6:7" x14ac:dyDescent="0.3">
      <c r="F2065" s="124">
        <v>2059</v>
      </c>
      <c r="G2065" s="33">
        <f t="shared" ca="1" si="45"/>
        <v>-3.3002604943174176E-2</v>
      </c>
    </row>
    <row r="2066" spans="6:7" x14ac:dyDescent="0.3">
      <c r="F2066" s="124">
        <v>2060</v>
      </c>
      <c r="G2066" s="33">
        <f t="shared" ca="1" si="45"/>
        <v>9.7851223675770316E-3</v>
      </c>
    </row>
    <row r="2067" spans="6:7" x14ac:dyDescent="0.3">
      <c r="F2067" s="124">
        <v>2061</v>
      </c>
      <c r="G2067" s="33">
        <f t="shared" ca="1" si="45"/>
        <v>-2.6463905960897465E-2</v>
      </c>
    </row>
    <row r="2068" spans="6:7" x14ac:dyDescent="0.3">
      <c r="F2068" s="124">
        <v>2062</v>
      </c>
      <c r="G2068" s="33">
        <f t="shared" ca="1" si="45"/>
        <v>2.766908182851939E-2</v>
      </c>
    </row>
    <row r="2069" spans="6:7" x14ac:dyDescent="0.3">
      <c r="F2069" s="124">
        <v>2063</v>
      </c>
      <c r="G2069" s="33">
        <f t="shared" ca="1" si="45"/>
        <v>6.263439955123383E-2</v>
      </c>
    </row>
    <row r="2070" spans="6:7" x14ac:dyDescent="0.3">
      <c r="F2070" s="124">
        <v>2064</v>
      </c>
      <c r="G2070" s="33">
        <f t="shared" ca="1" si="45"/>
        <v>1.6303467972635312E-3</v>
      </c>
    </row>
    <row r="2071" spans="6:7" x14ac:dyDescent="0.3">
      <c r="F2071" s="124">
        <v>2065</v>
      </c>
      <c r="G2071" s="33">
        <f t="shared" ca="1" si="45"/>
        <v>5.9817706653660214E-2</v>
      </c>
    </row>
    <row r="2072" spans="6:7" x14ac:dyDescent="0.3">
      <c r="F2072" s="124">
        <v>2066</v>
      </c>
      <c r="G2072" s="33">
        <f t="shared" ca="1" si="45"/>
        <v>-1.469908318384204E-2</v>
      </c>
    </row>
    <row r="2073" spans="6:7" x14ac:dyDescent="0.3">
      <c r="F2073" s="124">
        <v>2067</v>
      </c>
      <c r="G2073" s="33">
        <f t="shared" ca="1" si="45"/>
        <v>-1.2326234681400924E-2</v>
      </c>
    </row>
    <row r="2074" spans="6:7" x14ac:dyDescent="0.3">
      <c r="F2074" s="124">
        <v>2068</v>
      </c>
      <c r="G2074" s="33">
        <f t="shared" ca="1" si="45"/>
        <v>-9.5564777218696793E-3</v>
      </c>
    </row>
    <row r="2075" spans="6:7" x14ac:dyDescent="0.3">
      <c r="F2075" s="124">
        <v>2069</v>
      </c>
      <c r="G2075" s="33">
        <f t="shared" ca="1" si="45"/>
        <v>2.5357902907077304E-2</v>
      </c>
    </row>
    <row r="2076" spans="6:7" x14ac:dyDescent="0.3">
      <c r="F2076" s="124">
        <v>2070</v>
      </c>
      <c r="G2076" s="33">
        <f t="shared" ca="1" si="45"/>
        <v>1.134984547636152E-2</v>
      </c>
    </row>
    <row r="2077" spans="6:7" x14ac:dyDescent="0.3">
      <c r="F2077" s="124">
        <v>2071</v>
      </c>
      <c r="G2077" s="33">
        <f t="shared" ca="1" si="45"/>
        <v>2.161308071889682E-2</v>
      </c>
    </row>
    <row r="2078" spans="6:7" x14ac:dyDescent="0.3">
      <c r="F2078" s="124">
        <v>2072</v>
      </c>
      <c r="G2078" s="33">
        <f t="shared" ca="1" si="45"/>
        <v>1.4072976139047609E-3</v>
      </c>
    </row>
    <row r="2079" spans="6:7" x14ac:dyDescent="0.3">
      <c r="F2079" s="124">
        <v>2073</v>
      </c>
      <c r="G2079" s="33">
        <f t="shared" ca="1" si="45"/>
        <v>6.3630334648563094E-3</v>
      </c>
    </row>
    <row r="2080" spans="6:7" x14ac:dyDescent="0.3">
      <c r="F2080" s="124">
        <v>2074</v>
      </c>
      <c r="G2080" s="33">
        <f t="shared" ca="1" si="45"/>
        <v>3.1234799285193914E-2</v>
      </c>
    </row>
    <row r="2081" spans="6:7" x14ac:dyDescent="0.3">
      <c r="F2081" s="124">
        <v>2075</v>
      </c>
      <c r="G2081" s="33">
        <f t="shared" ca="1" si="45"/>
        <v>3.455817893961604E-2</v>
      </c>
    </row>
    <row r="2082" spans="6:7" x14ac:dyDescent="0.3">
      <c r="F2082" s="124">
        <v>2076</v>
      </c>
      <c r="G2082" s="33">
        <f t="shared" ca="1" si="45"/>
        <v>-2.9839131171642202E-2</v>
      </c>
    </row>
    <row r="2083" spans="6:7" x14ac:dyDescent="0.3">
      <c r="F2083" s="124">
        <v>2077</v>
      </c>
      <c r="G2083" s="33">
        <f t="shared" ca="1" si="45"/>
        <v>2.3243777996546002E-2</v>
      </c>
    </row>
    <row r="2084" spans="6:7" x14ac:dyDescent="0.3">
      <c r="F2084" s="124">
        <v>2078</v>
      </c>
      <c r="G2084" s="33">
        <f t="shared" ca="1" si="45"/>
        <v>4.9211666125092195E-2</v>
      </c>
    </row>
    <row r="2085" spans="6:7" x14ac:dyDescent="0.3">
      <c r="F2085" s="124">
        <v>2079</v>
      </c>
      <c r="G2085" s="33">
        <f t="shared" ca="1" si="45"/>
        <v>-2.677644832417397E-2</v>
      </c>
    </row>
    <row r="2086" spans="6:7" x14ac:dyDescent="0.3">
      <c r="F2086" s="124">
        <v>2080</v>
      </c>
      <c r="G2086" s="33">
        <f t="shared" ca="1" si="45"/>
        <v>3.4406756713159632E-2</v>
      </c>
    </row>
    <row r="2087" spans="6:7" x14ac:dyDescent="0.3">
      <c r="F2087" s="124">
        <v>2081</v>
      </c>
      <c r="G2087" s="33">
        <f t="shared" ca="1" si="45"/>
        <v>1.5250976848123574E-3</v>
      </c>
    </row>
    <row r="2088" spans="6:7" x14ac:dyDescent="0.3">
      <c r="F2088" s="124">
        <v>2082</v>
      </c>
      <c r="G2088" s="33">
        <f t="shared" ca="1" si="45"/>
        <v>2.9576774089206691E-2</v>
      </c>
    </row>
    <row r="2089" spans="6:7" x14ac:dyDescent="0.3">
      <c r="F2089" s="124">
        <v>2083</v>
      </c>
      <c r="G2089" s="33">
        <f t="shared" ca="1" si="45"/>
        <v>1.6483878143389211E-2</v>
      </c>
    </row>
    <row r="2090" spans="6:7" x14ac:dyDescent="0.3">
      <c r="F2090" s="124">
        <v>2084</v>
      </c>
      <c r="G2090" s="33">
        <f t="shared" ca="1" si="45"/>
        <v>-3.6383065449595881E-2</v>
      </c>
    </row>
    <row r="2091" spans="6:7" x14ac:dyDescent="0.3">
      <c r="F2091" s="124">
        <v>2085</v>
      </c>
      <c r="G2091" s="33">
        <f t="shared" ca="1" si="45"/>
        <v>-6.3578994823968074E-2</v>
      </c>
    </row>
    <row r="2092" spans="6:7" x14ac:dyDescent="0.3">
      <c r="F2092" s="124">
        <v>2086</v>
      </c>
      <c r="G2092" s="33">
        <f t="shared" ca="1" si="45"/>
        <v>-1.3808609146605021E-3</v>
      </c>
    </row>
    <row r="2093" spans="6:7" x14ac:dyDescent="0.3">
      <c r="F2093" s="124">
        <v>2087</v>
      </c>
      <c r="G2093" s="33">
        <f t="shared" ca="1" si="45"/>
        <v>4.8697843254724482E-2</v>
      </c>
    </row>
    <row r="2094" spans="6:7" x14ac:dyDescent="0.3">
      <c r="F2094" s="124">
        <v>2088</v>
      </c>
      <c r="G2094" s="33">
        <f t="shared" ca="1" si="45"/>
        <v>3.3882426863371583E-2</v>
      </c>
    </row>
    <row r="2095" spans="6:7" x14ac:dyDescent="0.3">
      <c r="F2095" s="124">
        <v>2089</v>
      </c>
      <c r="G2095" s="33">
        <f t="shared" ca="1" si="45"/>
        <v>-2.0101455577437997E-2</v>
      </c>
    </row>
    <row r="2096" spans="6:7" x14ac:dyDescent="0.3">
      <c r="F2096" s="124">
        <v>2090</v>
      </c>
      <c r="G2096" s="33">
        <f t="shared" ca="1" si="45"/>
        <v>4.0887811865268464E-2</v>
      </c>
    </row>
    <row r="2097" spans="6:7" x14ac:dyDescent="0.3">
      <c r="F2097" s="124">
        <v>2091</v>
      </c>
      <c r="G2097" s="33">
        <f t="shared" ca="1" si="45"/>
        <v>-1.1925208567985465E-3</v>
      </c>
    </row>
    <row r="2098" spans="6:7" x14ac:dyDescent="0.3">
      <c r="F2098" s="124">
        <v>2092</v>
      </c>
      <c r="G2098" s="33">
        <f t="shared" ca="1" si="45"/>
        <v>3.1769210076208608E-2</v>
      </c>
    </row>
    <row r="2099" spans="6:7" x14ac:dyDescent="0.3">
      <c r="F2099" s="124">
        <v>2093</v>
      </c>
      <c r="G2099" s="33">
        <f t="shared" ca="1" si="45"/>
        <v>-4.224353951851887E-2</v>
      </c>
    </row>
    <row r="2100" spans="6:7" x14ac:dyDescent="0.3">
      <c r="F2100" s="124">
        <v>2094</v>
      </c>
      <c r="G2100" s="33">
        <f t="shared" ca="1" si="45"/>
        <v>-9.3462249764329451E-3</v>
      </c>
    </row>
    <row r="2101" spans="6:7" x14ac:dyDescent="0.3">
      <c r="F2101" s="124">
        <v>2095</v>
      </c>
      <c r="G2101" s="33">
        <f t="shared" ca="1" si="45"/>
        <v>-3.7097687007839115E-2</v>
      </c>
    </row>
    <row r="2102" spans="6:7" x14ac:dyDescent="0.3">
      <c r="F2102" s="124">
        <v>2096</v>
      </c>
      <c r="G2102" s="33">
        <f t="shared" ca="1" si="45"/>
        <v>-1.6276681995052562E-2</v>
      </c>
    </row>
    <row r="2103" spans="6:7" x14ac:dyDescent="0.3">
      <c r="F2103" s="124">
        <v>2097</v>
      </c>
      <c r="G2103" s="33">
        <f t="shared" ca="1" si="45"/>
        <v>-2.8685210745876535E-3</v>
      </c>
    </row>
    <row r="2104" spans="6:7" x14ac:dyDescent="0.3">
      <c r="F2104" s="124">
        <v>2098</v>
      </c>
      <c r="G2104" s="33">
        <f t="shared" ca="1" si="45"/>
        <v>-2.5818680511729909E-2</v>
      </c>
    </row>
    <row r="2105" spans="6:7" x14ac:dyDescent="0.3">
      <c r="F2105" s="124">
        <v>2099</v>
      </c>
      <c r="G2105" s="33">
        <f t="shared" ca="1" si="45"/>
        <v>1.7448340217521702E-2</v>
      </c>
    </row>
    <row r="2106" spans="6:7" x14ac:dyDescent="0.3">
      <c r="F2106" s="124">
        <v>2100</v>
      </c>
      <c r="G2106" s="33">
        <f t="shared" ca="1" si="45"/>
        <v>4.6795919635215831E-3</v>
      </c>
    </row>
    <row r="2107" spans="6:7" x14ac:dyDescent="0.3">
      <c r="F2107" s="124">
        <v>2101</v>
      </c>
      <c r="G2107" s="33">
        <f t="shared" ca="1" si="45"/>
        <v>-4.1941092333217862E-2</v>
      </c>
    </row>
    <row r="2108" spans="6:7" x14ac:dyDescent="0.3">
      <c r="F2108" s="124">
        <v>2102</v>
      </c>
      <c r="G2108" s="33">
        <f t="shared" ca="1" si="45"/>
        <v>-3.9492259053054264E-2</v>
      </c>
    </row>
    <row r="2109" spans="6:7" x14ac:dyDescent="0.3">
      <c r="F2109" s="124">
        <v>2103</v>
      </c>
      <c r="G2109" s="33">
        <f t="shared" ca="1" si="45"/>
        <v>1.3697135228406428E-2</v>
      </c>
    </row>
    <row r="2110" spans="6:7" x14ac:dyDescent="0.3">
      <c r="F2110" s="124">
        <v>2104</v>
      </c>
      <c r="G2110" s="33">
        <f t="shared" ca="1" si="45"/>
        <v>-4.5715861725960573E-2</v>
      </c>
    </row>
    <row r="2111" spans="6:7" x14ac:dyDescent="0.3">
      <c r="F2111" s="124">
        <v>2105</v>
      </c>
      <c r="G2111" s="33">
        <f t="shared" ca="1" si="45"/>
        <v>-8.0220690952772962E-3</v>
      </c>
    </row>
    <row r="2112" spans="6:7" x14ac:dyDescent="0.3">
      <c r="F2112" s="124">
        <v>2106</v>
      </c>
      <c r="G2112" s="33">
        <f t="shared" ca="1" si="45"/>
        <v>-1.5799491075533478E-2</v>
      </c>
    </row>
    <row r="2113" spans="6:7" x14ac:dyDescent="0.3">
      <c r="F2113" s="124">
        <v>2107</v>
      </c>
      <c r="G2113" s="33">
        <f t="shared" ca="1" si="45"/>
        <v>-3.9271516302683059E-2</v>
      </c>
    </row>
    <row r="2114" spans="6:7" x14ac:dyDescent="0.3">
      <c r="F2114" s="124">
        <v>2108</v>
      </c>
      <c r="G2114" s="33">
        <f t="shared" ca="1" si="45"/>
        <v>-4.3488027474725459E-2</v>
      </c>
    </row>
    <row r="2115" spans="6:7" x14ac:dyDescent="0.3">
      <c r="F2115" s="124">
        <v>2109</v>
      </c>
      <c r="G2115" s="33">
        <f t="shared" ca="1" si="45"/>
        <v>-2.8818111223229078E-2</v>
      </c>
    </row>
    <row r="2116" spans="6:7" x14ac:dyDescent="0.3">
      <c r="F2116" s="124">
        <v>2110</v>
      </c>
      <c r="G2116" s="33">
        <f t="shared" ca="1" si="45"/>
        <v>-1.7639674476618072E-2</v>
      </c>
    </row>
    <row r="2117" spans="6:7" x14ac:dyDescent="0.3">
      <c r="F2117" s="124">
        <v>2111</v>
      </c>
      <c r="G2117" s="33">
        <f t="shared" ca="1" si="45"/>
        <v>-1.686854850383666E-2</v>
      </c>
    </row>
    <row r="2118" spans="6:7" x14ac:dyDescent="0.3">
      <c r="F2118" s="124">
        <v>2112</v>
      </c>
      <c r="G2118" s="33">
        <f t="shared" ca="1" si="45"/>
        <v>-6.5786593330983039E-3</v>
      </c>
    </row>
    <row r="2119" spans="6:7" x14ac:dyDescent="0.3">
      <c r="F2119" s="124">
        <v>2113</v>
      </c>
      <c r="G2119" s="33">
        <f t="shared" ca="1" si="45"/>
        <v>5.9527854405054849E-3</v>
      </c>
    </row>
    <row r="2120" spans="6:7" x14ac:dyDescent="0.3">
      <c r="F2120" s="124">
        <v>2114</v>
      </c>
      <c r="G2120" s="33">
        <f t="shared" ref="G2120:G2183" ca="1" si="46">_xlfn.NORM.INV(RAND(),$M$9,$M$10)</f>
        <v>2.4629611078551997E-2</v>
      </c>
    </row>
    <row r="2121" spans="6:7" x14ac:dyDescent="0.3">
      <c r="F2121" s="124">
        <v>2115</v>
      </c>
      <c r="G2121" s="33">
        <f t="shared" ca="1" si="46"/>
        <v>3.1310814281962647E-2</v>
      </c>
    </row>
    <row r="2122" spans="6:7" x14ac:dyDescent="0.3">
      <c r="F2122" s="124">
        <v>2116</v>
      </c>
      <c r="G2122" s="33">
        <f t="shared" ca="1" si="46"/>
        <v>7.8912539308022972E-3</v>
      </c>
    </row>
    <row r="2123" spans="6:7" x14ac:dyDescent="0.3">
      <c r="F2123" s="124">
        <v>2117</v>
      </c>
      <c r="G2123" s="33">
        <f t="shared" ca="1" si="46"/>
        <v>-5.6868030460688078E-2</v>
      </c>
    </row>
    <row r="2124" spans="6:7" x14ac:dyDescent="0.3">
      <c r="F2124" s="124">
        <v>2118</v>
      </c>
      <c r="G2124" s="33">
        <f t="shared" ca="1" si="46"/>
        <v>-1.3074794050784565E-2</v>
      </c>
    </row>
    <row r="2125" spans="6:7" x14ac:dyDescent="0.3">
      <c r="F2125" s="124">
        <v>2119</v>
      </c>
      <c r="G2125" s="33">
        <f t="shared" ca="1" si="46"/>
        <v>6.2198362147679175E-2</v>
      </c>
    </row>
    <row r="2126" spans="6:7" x14ac:dyDescent="0.3">
      <c r="F2126" s="124">
        <v>2120</v>
      </c>
      <c r="G2126" s="33">
        <f t="shared" ca="1" si="46"/>
        <v>2.4499940699237215E-2</v>
      </c>
    </row>
    <row r="2127" spans="6:7" x14ac:dyDescent="0.3">
      <c r="F2127" s="124">
        <v>2121</v>
      </c>
      <c r="G2127" s="33">
        <f t="shared" ca="1" si="46"/>
        <v>-2.5914600451650161E-3</v>
      </c>
    </row>
    <row r="2128" spans="6:7" x14ac:dyDescent="0.3">
      <c r="F2128" s="124">
        <v>2122</v>
      </c>
      <c r="G2128" s="33">
        <f t="shared" ca="1" si="46"/>
        <v>7.6306938030057267E-2</v>
      </c>
    </row>
    <row r="2129" spans="6:7" x14ac:dyDescent="0.3">
      <c r="F2129" s="124">
        <v>2123</v>
      </c>
      <c r="G2129" s="33">
        <f t="shared" ca="1" si="46"/>
        <v>1.177803376135066E-2</v>
      </c>
    </row>
    <row r="2130" spans="6:7" x14ac:dyDescent="0.3">
      <c r="F2130" s="124">
        <v>2124</v>
      </c>
      <c r="G2130" s="33">
        <f t="shared" ca="1" si="46"/>
        <v>-2.6174486879550578E-2</v>
      </c>
    </row>
    <row r="2131" spans="6:7" x14ac:dyDescent="0.3">
      <c r="F2131" s="124">
        <v>2125</v>
      </c>
      <c r="G2131" s="33">
        <f t="shared" ca="1" si="46"/>
        <v>-2.9350924337911161E-2</v>
      </c>
    </row>
    <row r="2132" spans="6:7" x14ac:dyDescent="0.3">
      <c r="F2132" s="124">
        <v>2126</v>
      </c>
      <c r="G2132" s="33">
        <f t="shared" ca="1" si="46"/>
        <v>-1.3267967432853699E-2</v>
      </c>
    </row>
    <row r="2133" spans="6:7" x14ac:dyDescent="0.3">
      <c r="F2133" s="124">
        <v>2127</v>
      </c>
      <c r="G2133" s="33">
        <f t="shared" ca="1" si="46"/>
        <v>2.1707291321791285E-2</v>
      </c>
    </row>
    <row r="2134" spans="6:7" x14ac:dyDescent="0.3">
      <c r="F2134" s="124">
        <v>2128</v>
      </c>
      <c r="G2134" s="33">
        <f t="shared" ca="1" si="46"/>
        <v>-2.382857807366132E-2</v>
      </c>
    </row>
    <row r="2135" spans="6:7" x14ac:dyDescent="0.3">
      <c r="F2135" s="124">
        <v>2129</v>
      </c>
      <c r="G2135" s="33">
        <f t="shared" ca="1" si="46"/>
        <v>1.6482207719637789E-2</v>
      </c>
    </row>
    <row r="2136" spans="6:7" x14ac:dyDescent="0.3">
      <c r="F2136" s="124">
        <v>2130</v>
      </c>
      <c r="G2136" s="33">
        <f t="shared" ca="1" si="46"/>
        <v>3.0810909773775107E-2</v>
      </c>
    </row>
    <row r="2137" spans="6:7" x14ac:dyDescent="0.3">
      <c r="F2137" s="124">
        <v>2131</v>
      </c>
      <c r="G2137" s="33">
        <f t="shared" ca="1" si="46"/>
        <v>-4.8908447322182844E-3</v>
      </c>
    </row>
    <row r="2138" spans="6:7" x14ac:dyDescent="0.3">
      <c r="F2138" s="124">
        <v>2132</v>
      </c>
      <c r="G2138" s="33">
        <f t="shared" ca="1" si="46"/>
        <v>-1.7927360057897135E-2</v>
      </c>
    </row>
    <row r="2139" spans="6:7" x14ac:dyDescent="0.3">
      <c r="F2139" s="124">
        <v>2133</v>
      </c>
      <c r="G2139" s="33">
        <f t="shared" ca="1" si="46"/>
        <v>-1.4232856283977843E-2</v>
      </c>
    </row>
    <row r="2140" spans="6:7" x14ac:dyDescent="0.3">
      <c r="F2140" s="124">
        <v>2134</v>
      </c>
      <c r="G2140" s="33">
        <f t="shared" ca="1" si="46"/>
        <v>-2.5510716977337169E-2</v>
      </c>
    </row>
    <row r="2141" spans="6:7" x14ac:dyDescent="0.3">
      <c r="F2141" s="124">
        <v>2135</v>
      </c>
      <c r="G2141" s="33">
        <f t="shared" ca="1" si="46"/>
        <v>2.6175016876367967E-2</v>
      </c>
    </row>
    <row r="2142" spans="6:7" x14ac:dyDescent="0.3">
      <c r="F2142" s="124">
        <v>2136</v>
      </c>
      <c r="G2142" s="33">
        <f t="shared" ca="1" si="46"/>
        <v>8.822336782405283E-3</v>
      </c>
    </row>
    <row r="2143" spans="6:7" x14ac:dyDescent="0.3">
      <c r="F2143" s="124">
        <v>2137</v>
      </c>
      <c r="G2143" s="33">
        <f t="shared" ca="1" si="46"/>
        <v>9.9038155860073432E-3</v>
      </c>
    </row>
    <row r="2144" spans="6:7" x14ac:dyDescent="0.3">
      <c r="F2144" s="124">
        <v>2138</v>
      </c>
      <c r="G2144" s="33">
        <f t="shared" ca="1" si="46"/>
        <v>-3.114438504186547E-2</v>
      </c>
    </row>
    <row r="2145" spans="6:7" x14ac:dyDescent="0.3">
      <c r="F2145" s="124">
        <v>2139</v>
      </c>
      <c r="G2145" s="33">
        <f t="shared" ca="1" si="46"/>
        <v>1.5109957036502843E-2</v>
      </c>
    </row>
    <row r="2146" spans="6:7" x14ac:dyDescent="0.3">
      <c r="F2146" s="124">
        <v>2140</v>
      </c>
      <c r="G2146" s="33">
        <f t="shared" ca="1" si="46"/>
        <v>1.583074026333468E-2</v>
      </c>
    </row>
    <row r="2147" spans="6:7" x14ac:dyDescent="0.3">
      <c r="F2147" s="124">
        <v>2141</v>
      </c>
      <c r="G2147" s="33">
        <f t="shared" ca="1" si="46"/>
        <v>6.3807381477660671E-2</v>
      </c>
    </row>
    <row r="2148" spans="6:7" x14ac:dyDescent="0.3">
      <c r="F2148" s="124">
        <v>2142</v>
      </c>
      <c r="G2148" s="33">
        <f t="shared" ca="1" si="46"/>
        <v>-2.5427012610650588E-2</v>
      </c>
    </row>
    <row r="2149" spans="6:7" x14ac:dyDescent="0.3">
      <c r="F2149" s="124">
        <v>2143</v>
      </c>
      <c r="G2149" s="33">
        <f t="shared" ca="1" si="46"/>
        <v>9.0107792255859596E-3</v>
      </c>
    </row>
    <row r="2150" spans="6:7" x14ac:dyDescent="0.3">
      <c r="F2150" s="124">
        <v>2144</v>
      </c>
      <c r="G2150" s="33">
        <f t="shared" ca="1" si="46"/>
        <v>3.5489729111834289E-2</v>
      </c>
    </row>
    <row r="2151" spans="6:7" x14ac:dyDescent="0.3">
      <c r="F2151" s="124">
        <v>2145</v>
      </c>
      <c r="G2151" s="33">
        <f t="shared" ca="1" si="46"/>
        <v>-1.0198850231050105E-2</v>
      </c>
    </row>
    <row r="2152" spans="6:7" x14ac:dyDescent="0.3">
      <c r="F2152" s="124">
        <v>2146</v>
      </c>
      <c r="G2152" s="33">
        <f t="shared" ca="1" si="46"/>
        <v>-5.2724462422551688E-2</v>
      </c>
    </row>
    <row r="2153" spans="6:7" x14ac:dyDescent="0.3">
      <c r="F2153" s="124">
        <v>2147</v>
      </c>
      <c r="G2153" s="33">
        <f t="shared" ca="1" si="46"/>
        <v>-1.573117067990553E-2</v>
      </c>
    </row>
    <row r="2154" spans="6:7" x14ac:dyDescent="0.3">
      <c r="F2154" s="124">
        <v>2148</v>
      </c>
      <c r="G2154" s="33">
        <f t="shared" ca="1" si="46"/>
        <v>1.0429750501949647E-2</v>
      </c>
    </row>
    <row r="2155" spans="6:7" x14ac:dyDescent="0.3">
      <c r="F2155" s="124">
        <v>2149</v>
      </c>
      <c r="G2155" s="33">
        <f t="shared" ca="1" si="46"/>
        <v>7.4734118797185872E-3</v>
      </c>
    </row>
    <row r="2156" spans="6:7" x14ac:dyDescent="0.3">
      <c r="F2156" s="124">
        <v>2150</v>
      </c>
      <c r="G2156" s="33">
        <f t="shared" ca="1" si="46"/>
        <v>-7.2888724847672932E-3</v>
      </c>
    </row>
    <row r="2157" spans="6:7" x14ac:dyDescent="0.3">
      <c r="F2157" s="124">
        <v>2151</v>
      </c>
      <c r="G2157" s="33">
        <f t="shared" ca="1" si="46"/>
        <v>1.9839646453724186E-2</v>
      </c>
    </row>
    <row r="2158" spans="6:7" x14ac:dyDescent="0.3">
      <c r="F2158" s="124">
        <v>2152</v>
      </c>
      <c r="G2158" s="33">
        <f t="shared" ca="1" si="46"/>
        <v>-5.2232336276381661E-3</v>
      </c>
    </row>
    <row r="2159" spans="6:7" x14ac:dyDescent="0.3">
      <c r="F2159" s="124">
        <v>2153</v>
      </c>
      <c r="G2159" s="33">
        <f t="shared" ca="1" si="46"/>
        <v>4.0222971268899098E-4</v>
      </c>
    </row>
    <row r="2160" spans="6:7" x14ac:dyDescent="0.3">
      <c r="F2160" s="124">
        <v>2154</v>
      </c>
      <c r="G2160" s="33">
        <f t="shared" ca="1" si="46"/>
        <v>-4.3870406554467903E-2</v>
      </c>
    </row>
    <row r="2161" spans="6:7" x14ac:dyDescent="0.3">
      <c r="F2161" s="124">
        <v>2155</v>
      </c>
      <c r="G2161" s="33">
        <f t="shared" ca="1" si="46"/>
        <v>1.5207689324913173E-2</v>
      </c>
    </row>
    <row r="2162" spans="6:7" x14ac:dyDescent="0.3">
      <c r="F2162" s="124">
        <v>2156</v>
      </c>
      <c r="G2162" s="33">
        <f t="shared" ca="1" si="46"/>
        <v>-4.6230720687788406E-2</v>
      </c>
    </row>
    <row r="2163" spans="6:7" x14ac:dyDescent="0.3">
      <c r="F2163" s="124">
        <v>2157</v>
      </c>
      <c r="G2163" s="33">
        <f t="shared" ca="1" si="46"/>
        <v>1.3650178528602515E-2</v>
      </c>
    </row>
    <row r="2164" spans="6:7" x14ac:dyDescent="0.3">
      <c r="F2164" s="124">
        <v>2158</v>
      </c>
      <c r="G2164" s="33">
        <f t="shared" ca="1" si="46"/>
        <v>1.3569993662725988E-2</v>
      </c>
    </row>
    <row r="2165" spans="6:7" x14ac:dyDescent="0.3">
      <c r="F2165" s="124">
        <v>2159</v>
      </c>
      <c r="G2165" s="33">
        <f t="shared" ca="1" si="46"/>
        <v>4.7593928423217489E-2</v>
      </c>
    </row>
    <row r="2166" spans="6:7" x14ac:dyDescent="0.3">
      <c r="F2166" s="124">
        <v>2160</v>
      </c>
      <c r="G2166" s="33">
        <f t="shared" ca="1" si="46"/>
        <v>-1.3857002284375624E-2</v>
      </c>
    </row>
    <row r="2167" spans="6:7" x14ac:dyDescent="0.3">
      <c r="F2167" s="124">
        <v>2161</v>
      </c>
      <c r="G2167" s="33">
        <f t="shared" ca="1" si="46"/>
        <v>-7.0349585486229646E-2</v>
      </c>
    </row>
    <row r="2168" spans="6:7" x14ac:dyDescent="0.3">
      <c r="F2168" s="124">
        <v>2162</v>
      </c>
      <c r="G2168" s="33">
        <f t="shared" ca="1" si="46"/>
        <v>4.5174363816360818E-3</v>
      </c>
    </row>
    <row r="2169" spans="6:7" x14ac:dyDescent="0.3">
      <c r="F2169" s="124">
        <v>2163</v>
      </c>
      <c r="G2169" s="33">
        <f t="shared" ca="1" si="46"/>
        <v>-2.3668262647836721E-2</v>
      </c>
    </row>
    <row r="2170" spans="6:7" x14ac:dyDescent="0.3">
      <c r="F2170" s="124">
        <v>2164</v>
      </c>
      <c r="G2170" s="33">
        <f t="shared" ca="1" si="46"/>
        <v>-6.2415611679572845E-2</v>
      </c>
    </row>
    <row r="2171" spans="6:7" x14ac:dyDescent="0.3">
      <c r="F2171" s="124">
        <v>2165</v>
      </c>
      <c r="G2171" s="33">
        <f t="shared" ca="1" si="46"/>
        <v>2.395055289331649E-2</v>
      </c>
    </row>
    <row r="2172" spans="6:7" x14ac:dyDescent="0.3">
      <c r="F2172" s="124">
        <v>2166</v>
      </c>
      <c r="G2172" s="33">
        <f t="shared" ca="1" si="46"/>
        <v>-3.3946162926762717E-2</v>
      </c>
    </row>
    <row r="2173" spans="6:7" x14ac:dyDescent="0.3">
      <c r="F2173" s="124">
        <v>2167</v>
      </c>
      <c r="G2173" s="33">
        <f t="shared" ca="1" si="46"/>
        <v>-3.164806247523929E-2</v>
      </c>
    </row>
    <row r="2174" spans="6:7" x14ac:dyDescent="0.3">
      <c r="F2174" s="124">
        <v>2168</v>
      </c>
      <c r="G2174" s="33">
        <f t="shared" ca="1" si="46"/>
        <v>-9.3666872819074508E-3</v>
      </c>
    </row>
    <row r="2175" spans="6:7" x14ac:dyDescent="0.3">
      <c r="F2175" s="124">
        <v>2169</v>
      </c>
      <c r="G2175" s="33">
        <f t="shared" ca="1" si="46"/>
        <v>-8.4298011394788033E-4</v>
      </c>
    </row>
    <row r="2176" spans="6:7" x14ac:dyDescent="0.3">
      <c r="F2176" s="124">
        <v>2170</v>
      </c>
      <c r="G2176" s="33">
        <f t="shared" ca="1" si="46"/>
        <v>-4.1912287920330929E-2</v>
      </c>
    </row>
    <row r="2177" spans="6:7" x14ac:dyDescent="0.3">
      <c r="F2177" s="124">
        <v>2171</v>
      </c>
      <c r="G2177" s="33">
        <f t="shared" ca="1" si="46"/>
        <v>-1.604888131890489E-2</v>
      </c>
    </row>
    <row r="2178" spans="6:7" x14ac:dyDescent="0.3">
      <c r="F2178" s="124">
        <v>2172</v>
      </c>
      <c r="G2178" s="33">
        <f t="shared" ca="1" si="46"/>
        <v>5.4602204999709109E-2</v>
      </c>
    </row>
    <row r="2179" spans="6:7" x14ac:dyDescent="0.3">
      <c r="F2179" s="124">
        <v>2173</v>
      </c>
      <c r="G2179" s="33">
        <f t="shared" ca="1" si="46"/>
        <v>-1.0071625105247853E-2</v>
      </c>
    </row>
    <row r="2180" spans="6:7" x14ac:dyDescent="0.3">
      <c r="F2180" s="124">
        <v>2174</v>
      </c>
      <c r="G2180" s="33">
        <f t="shared" ca="1" si="46"/>
        <v>-2.7024944763816203E-2</v>
      </c>
    </row>
    <row r="2181" spans="6:7" x14ac:dyDescent="0.3">
      <c r="F2181" s="124">
        <v>2175</v>
      </c>
      <c r="G2181" s="33">
        <f t="shared" ca="1" si="46"/>
        <v>-8.6373198766056432E-3</v>
      </c>
    </row>
    <row r="2182" spans="6:7" x14ac:dyDescent="0.3">
      <c r="F2182" s="124">
        <v>2176</v>
      </c>
      <c r="G2182" s="33">
        <f t="shared" ca="1" si="46"/>
        <v>-2.9122315504300104E-2</v>
      </c>
    </row>
    <row r="2183" spans="6:7" x14ac:dyDescent="0.3">
      <c r="F2183" s="124">
        <v>2177</v>
      </c>
      <c r="G2183" s="33">
        <f t="shared" ca="1" si="46"/>
        <v>9.447008803337242E-3</v>
      </c>
    </row>
    <row r="2184" spans="6:7" x14ac:dyDescent="0.3">
      <c r="F2184" s="124">
        <v>2178</v>
      </c>
      <c r="G2184" s="33">
        <f t="shared" ref="G2184:G2247" ca="1" si="47">_xlfn.NORM.INV(RAND(),$M$9,$M$10)</f>
        <v>-2.2800572867428641E-2</v>
      </c>
    </row>
    <row r="2185" spans="6:7" x14ac:dyDescent="0.3">
      <c r="F2185" s="124">
        <v>2179</v>
      </c>
      <c r="G2185" s="33">
        <f t="shared" ca="1" si="47"/>
        <v>3.5198307355451847E-2</v>
      </c>
    </row>
    <row r="2186" spans="6:7" x14ac:dyDescent="0.3">
      <c r="F2186" s="124">
        <v>2180</v>
      </c>
      <c r="G2186" s="33">
        <f t="shared" ca="1" si="47"/>
        <v>-2.2464034426078833E-2</v>
      </c>
    </row>
    <row r="2187" spans="6:7" x14ac:dyDescent="0.3">
      <c r="F2187" s="124">
        <v>2181</v>
      </c>
      <c r="G2187" s="33">
        <f t="shared" ca="1" si="47"/>
        <v>-3.6307883877154543E-2</v>
      </c>
    </row>
    <row r="2188" spans="6:7" x14ac:dyDescent="0.3">
      <c r="F2188" s="124">
        <v>2182</v>
      </c>
      <c r="G2188" s="33">
        <f t="shared" ca="1" si="47"/>
        <v>-1.308095351711806E-2</v>
      </c>
    </row>
    <row r="2189" spans="6:7" x14ac:dyDescent="0.3">
      <c r="F2189" s="124">
        <v>2183</v>
      </c>
      <c r="G2189" s="33">
        <f t="shared" ca="1" si="47"/>
        <v>4.5454716259611942E-2</v>
      </c>
    </row>
    <row r="2190" spans="6:7" x14ac:dyDescent="0.3">
      <c r="F2190" s="124">
        <v>2184</v>
      </c>
      <c r="G2190" s="33">
        <f t="shared" ca="1" si="47"/>
        <v>3.3757100300258339E-3</v>
      </c>
    </row>
    <row r="2191" spans="6:7" x14ac:dyDescent="0.3">
      <c r="F2191" s="124">
        <v>2185</v>
      </c>
      <c r="G2191" s="33">
        <f t="shared" ca="1" si="47"/>
        <v>1.6513467862863399E-2</v>
      </c>
    </row>
    <row r="2192" spans="6:7" x14ac:dyDescent="0.3">
      <c r="F2192" s="124">
        <v>2186</v>
      </c>
      <c r="G2192" s="33">
        <f t="shared" ca="1" si="47"/>
        <v>3.7381469632841689E-2</v>
      </c>
    </row>
    <row r="2193" spans="6:7" x14ac:dyDescent="0.3">
      <c r="F2193" s="124">
        <v>2187</v>
      </c>
      <c r="G2193" s="33">
        <f t="shared" ca="1" si="47"/>
        <v>7.9084125324981602E-3</v>
      </c>
    </row>
    <row r="2194" spans="6:7" x14ac:dyDescent="0.3">
      <c r="F2194" s="124">
        <v>2188</v>
      </c>
      <c r="G2194" s="33">
        <f t="shared" ca="1" si="47"/>
        <v>-6.8508439569021596E-3</v>
      </c>
    </row>
    <row r="2195" spans="6:7" x14ac:dyDescent="0.3">
      <c r="F2195" s="124">
        <v>2189</v>
      </c>
      <c r="G2195" s="33">
        <f t="shared" ca="1" si="47"/>
        <v>1.5028904237936177E-2</v>
      </c>
    </row>
    <row r="2196" spans="6:7" x14ac:dyDescent="0.3">
      <c r="F2196" s="124">
        <v>2190</v>
      </c>
      <c r="G2196" s="33">
        <f t="shared" ca="1" si="47"/>
        <v>1.2596236950253435E-2</v>
      </c>
    </row>
    <row r="2197" spans="6:7" x14ac:dyDescent="0.3">
      <c r="F2197" s="124">
        <v>2191</v>
      </c>
      <c r="G2197" s="33">
        <f t="shared" ca="1" si="47"/>
        <v>-1.7087736781142657E-2</v>
      </c>
    </row>
    <row r="2198" spans="6:7" x14ac:dyDescent="0.3">
      <c r="F2198" s="124">
        <v>2192</v>
      </c>
      <c r="G2198" s="33">
        <f t="shared" ca="1" si="47"/>
        <v>2.3221057530308876E-2</v>
      </c>
    </row>
    <row r="2199" spans="6:7" x14ac:dyDescent="0.3">
      <c r="F2199" s="124">
        <v>2193</v>
      </c>
      <c r="G2199" s="33">
        <f t="shared" ca="1" si="47"/>
        <v>-9.5066913627518679E-4</v>
      </c>
    </row>
    <row r="2200" spans="6:7" x14ac:dyDescent="0.3">
      <c r="F2200" s="124">
        <v>2194</v>
      </c>
      <c r="G2200" s="33">
        <f t="shared" ca="1" si="47"/>
        <v>1.048613937281586E-2</v>
      </c>
    </row>
    <row r="2201" spans="6:7" x14ac:dyDescent="0.3">
      <c r="F2201" s="124">
        <v>2195</v>
      </c>
      <c r="G2201" s="33">
        <f t="shared" ca="1" si="47"/>
        <v>5.8139566256252717E-2</v>
      </c>
    </row>
    <row r="2202" spans="6:7" x14ac:dyDescent="0.3">
      <c r="F2202" s="124">
        <v>2196</v>
      </c>
      <c r="G2202" s="33">
        <f t="shared" ca="1" si="47"/>
        <v>-3.2738979802716062E-2</v>
      </c>
    </row>
    <row r="2203" spans="6:7" x14ac:dyDescent="0.3">
      <c r="F2203" s="124">
        <v>2197</v>
      </c>
      <c r="G2203" s="33">
        <f t="shared" ca="1" si="47"/>
        <v>-3.2265629050772281E-3</v>
      </c>
    </row>
    <row r="2204" spans="6:7" x14ac:dyDescent="0.3">
      <c r="F2204" s="124">
        <v>2198</v>
      </c>
      <c r="G2204" s="33">
        <f t="shared" ca="1" si="47"/>
        <v>1.0371003063500896E-2</v>
      </c>
    </row>
    <row r="2205" spans="6:7" x14ac:dyDescent="0.3">
      <c r="F2205" s="124">
        <v>2199</v>
      </c>
      <c r="G2205" s="33">
        <f t="shared" ca="1" si="47"/>
        <v>-2.1228040938499476E-2</v>
      </c>
    </row>
    <row r="2206" spans="6:7" x14ac:dyDescent="0.3">
      <c r="F2206" s="124">
        <v>2200</v>
      </c>
      <c r="G2206" s="33">
        <f t="shared" ca="1" si="47"/>
        <v>-1.830820754699162E-3</v>
      </c>
    </row>
    <row r="2207" spans="6:7" x14ac:dyDescent="0.3">
      <c r="F2207" s="124">
        <v>2201</v>
      </c>
      <c r="G2207" s="33">
        <f t="shared" ca="1" si="47"/>
        <v>1.098294641696209E-2</v>
      </c>
    </row>
    <row r="2208" spans="6:7" x14ac:dyDescent="0.3">
      <c r="F2208" s="124">
        <v>2202</v>
      </c>
      <c r="G2208" s="33">
        <f t="shared" ca="1" si="47"/>
        <v>-2.9694392794084066E-2</v>
      </c>
    </row>
    <row r="2209" spans="6:7" x14ac:dyDescent="0.3">
      <c r="F2209" s="124">
        <v>2203</v>
      </c>
      <c r="G2209" s="33">
        <f t="shared" ca="1" si="47"/>
        <v>5.3198630659682299E-2</v>
      </c>
    </row>
    <row r="2210" spans="6:7" x14ac:dyDescent="0.3">
      <c r="F2210" s="124">
        <v>2204</v>
      </c>
      <c r="G2210" s="33">
        <f t="shared" ca="1" si="47"/>
        <v>-1.8646407937763797E-2</v>
      </c>
    </row>
    <row r="2211" spans="6:7" x14ac:dyDescent="0.3">
      <c r="F2211" s="124">
        <v>2205</v>
      </c>
      <c r="G2211" s="33">
        <f t="shared" ca="1" si="47"/>
        <v>-2.24420318602493E-3</v>
      </c>
    </row>
    <row r="2212" spans="6:7" x14ac:dyDescent="0.3">
      <c r="F2212" s="124">
        <v>2206</v>
      </c>
      <c r="G2212" s="33">
        <f t="shared" ca="1" si="47"/>
        <v>-3.5071668912944595E-2</v>
      </c>
    </row>
    <row r="2213" spans="6:7" x14ac:dyDescent="0.3">
      <c r="F2213" s="124">
        <v>2207</v>
      </c>
      <c r="G2213" s="33">
        <f t="shared" ca="1" si="47"/>
        <v>-6.520893832989161E-3</v>
      </c>
    </row>
    <row r="2214" spans="6:7" x14ac:dyDescent="0.3">
      <c r="F2214" s="124">
        <v>2208</v>
      </c>
      <c r="G2214" s="33">
        <f t="shared" ca="1" si="47"/>
        <v>5.1669459531527961E-2</v>
      </c>
    </row>
    <row r="2215" spans="6:7" x14ac:dyDescent="0.3">
      <c r="F2215" s="124">
        <v>2209</v>
      </c>
      <c r="G2215" s="33">
        <f t="shared" ca="1" si="47"/>
        <v>-4.0549585514248004E-2</v>
      </c>
    </row>
    <row r="2216" spans="6:7" x14ac:dyDescent="0.3">
      <c r="F2216" s="124">
        <v>2210</v>
      </c>
      <c r="G2216" s="33">
        <f t="shared" ca="1" si="47"/>
        <v>8.2166289397631719E-3</v>
      </c>
    </row>
    <row r="2217" spans="6:7" x14ac:dyDescent="0.3">
      <c r="F2217" s="124">
        <v>2211</v>
      </c>
      <c r="G2217" s="33">
        <f t="shared" ca="1" si="47"/>
        <v>8.2885767264348695E-2</v>
      </c>
    </row>
    <row r="2218" spans="6:7" x14ac:dyDescent="0.3">
      <c r="F2218" s="124">
        <v>2212</v>
      </c>
      <c r="G2218" s="33">
        <f t="shared" ca="1" si="47"/>
        <v>2.6683354197272122E-2</v>
      </c>
    </row>
    <row r="2219" spans="6:7" x14ac:dyDescent="0.3">
      <c r="F2219" s="124">
        <v>2213</v>
      </c>
      <c r="G2219" s="33">
        <f t="shared" ca="1" si="47"/>
        <v>-3.408696455867259E-3</v>
      </c>
    </row>
    <row r="2220" spans="6:7" x14ac:dyDescent="0.3">
      <c r="F2220" s="124">
        <v>2214</v>
      </c>
      <c r="G2220" s="33">
        <f t="shared" ca="1" si="47"/>
        <v>1.6458616956123134E-2</v>
      </c>
    </row>
    <row r="2221" spans="6:7" x14ac:dyDescent="0.3">
      <c r="F2221" s="124">
        <v>2215</v>
      </c>
      <c r="G2221" s="33">
        <f t="shared" ca="1" si="47"/>
        <v>-7.8854883660419359E-3</v>
      </c>
    </row>
    <row r="2222" spans="6:7" x14ac:dyDescent="0.3">
      <c r="F2222" s="124">
        <v>2216</v>
      </c>
      <c r="G2222" s="33">
        <f t="shared" ca="1" si="47"/>
        <v>-3.2722263497180624E-2</v>
      </c>
    </row>
    <row r="2223" spans="6:7" x14ac:dyDescent="0.3">
      <c r="F2223" s="124">
        <v>2217</v>
      </c>
      <c r="G2223" s="33">
        <f t="shared" ca="1" si="47"/>
        <v>-4.3414242888656508E-2</v>
      </c>
    </row>
    <row r="2224" spans="6:7" x14ac:dyDescent="0.3">
      <c r="F2224" s="124">
        <v>2218</v>
      </c>
      <c r="G2224" s="33">
        <f t="shared" ca="1" si="47"/>
        <v>-4.0214778548823132E-2</v>
      </c>
    </row>
    <row r="2225" spans="6:7" x14ac:dyDescent="0.3">
      <c r="F2225" s="124">
        <v>2219</v>
      </c>
      <c r="G2225" s="33">
        <f t="shared" ca="1" si="47"/>
        <v>3.5769087773490089E-2</v>
      </c>
    </row>
    <row r="2226" spans="6:7" x14ac:dyDescent="0.3">
      <c r="F2226" s="124">
        <v>2220</v>
      </c>
      <c r="G2226" s="33">
        <f t="shared" ca="1" si="47"/>
        <v>-8.7094148192959596E-3</v>
      </c>
    </row>
    <row r="2227" spans="6:7" x14ac:dyDescent="0.3">
      <c r="F2227" s="124">
        <v>2221</v>
      </c>
      <c r="G2227" s="33">
        <f t="shared" ca="1" si="47"/>
        <v>2.0898683086748252E-2</v>
      </c>
    </row>
    <row r="2228" spans="6:7" x14ac:dyDescent="0.3">
      <c r="F2228" s="124">
        <v>2222</v>
      </c>
      <c r="G2228" s="33">
        <f t="shared" ca="1" si="47"/>
        <v>-3.4966259117362132E-3</v>
      </c>
    </row>
    <row r="2229" spans="6:7" x14ac:dyDescent="0.3">
      <c r="F2229" s="124">
        <v>2223</v>
      </c>
      <c r="G2229" s="33">
        <f t="shared" ca="1" si="47"/>
        <v>-5.1684703264818554E-2</v>
      </c>
    </row>
    <row r="2230" spans="6:7" x14ac:dyDescent="0.3">
      <c r="F2230" s="124">
        <v>2224</v>
      </c>
      <c r="G2230" s="33">
        <f t="shared" ca="1" si="47"/>
        <v>-1.2376417276271767E-2</v>
      </c>
    </row>
    <row r="2231" spans="6:7" x14ac:dyDescent="0.3">
      <c r="F2231" s="124">
        <v>2225</v>
      </c>
      <c r="G2231" s="33">
        <f t="shared" ca="1" si="47"/>
        <v>-5.0409449009149045E-2</v>
      </c>
    </row>
    <row r="2232" spans="6:7" x14ac:dyDescent="0.3">
      <c r="F2232" s="124">
        <v>2226</v>
      </c>
      <c r="G2232" s="33">
        <f t="shared" ca="1" si="47"/>
        <v>-1.4839573737884665E-2</v>
      </c>
    </row>
    <row r="2233" spans="6:7" x14ac:dyDescent="0.3">
      <c r="F2233" s="124">
        <v>2227</v>
      </c>
      <c r="G2233" s="33">
        <f t="shared" ca="1" si="47"/>
        <v>-8.7414260613432396E-3</v>
      </c>
    </row>
    <row r="2234" spans="6:7" x14ac:dyDescent="0.3">
      <c r="F2234" s="124">
        <v>2228</v>
      </c>
      <c r="G2234" s="33">
        <f t="shared" ca="1" si="47"/>
        <v>2.8714945876088156E-2</v>
      </c>
    </row>
    <row r="2235" spans="6:7" x14ac:dyDescent="0.3">
      <c r="F2235" s="124">
        <v>2229</v>
      </c>
      <c r="G2235" s="33">
        <f t="shared" ca="1" si="47"/>
        <v>3.3673826897831598E-2</v>
      </c>
    </row>
    <row r="2236" spans="6:7" x14ac:dyDescent="0.3">
      <c r="F2236" s="124">
        <v>2230</v>
      </c>
      <c r="G2236" s="33">
        <f t="shared" ca="1" si="47"/>
        <v>-3.8088129222574589E-2</v>
      </c>
    </row>
    <row r="2237" spans="6:7" x14ac:dyDescent="0.3">
      <c r="F2237" s="124">
        <v>2231</v>
      </c>
      <c r="G2237" s="33">
        <f t="shared" ca="1" si="47"/>
        <v>3.0632742959572114E-2</v>
      </c>
    </row>
    <row r="2238" spans="6:7" x14ac:dyDescent="0.3">
      <c r="F2238" s="124">
        <v>2232</v>
      </c>
      <c r="G2238" s="33">
        <f t="shared" ca="1" si="47"/>
        <v>-6.0471575942680773E-2</v>
      </c>
    </row>
    <row r="2239" spans="6:7" x14ac:dyDescent="0.3">
      <c r="F2239" s="124">
        <v>2233</v>
      </c>
      <c r="G2239" s="33">
        <f t="shared" ca="1" si="47"/>
        <v>-5.4845583102790259E-2</v>
      </c>
    </row>
    <row r="2240" spans="6:7" x14ac:dyDescent="0.3">
      <c r="F2240" s="124">
        <v>2234</v>
      </c>
      <c r="G2240" s="33">
        <f t="shared" ca="1" si="47"/>
        <v>-6.8278191226312729E-3</v>
      </c>
    </row>
    <row r="2241" spans="6:7" x14ac:dyDescent="0.3">
      <c r="F2241" s="124">
        <v>2235</v>
      </c>
      <c r="G2241" s="33">
        <f t="shared" ca="1" si="47"/>
        <v>-6.2395956608947726E-3</v>
      </c>
    </row>
    <row r="2242" spans="6:7" x14ac:dyDescent="0.3">
      <c r="F2242" s="124">
        <v>2236</v>
      </c>
      <c r="G2242" s="33">
        <f t="shared" ca="1" si="47"/>
        <v>-1.0445544433446061E-2</v>
      </c>
    </row>
    <row r="2243" spans="6:7" x14ac:dyDescent="0.3">
      <c r="F2243" s="124">
        <v>2237</v>
      </c>
      <c r="G2243" s="33">
        <f t="shared" ca="1" si="47"/>
        <v>5.703403858876023E-2</v>
      </c>
    </row>
    <row r="2244" spans="6:7" x14ac:dyDescent="0.3">
      <c r="F2244" s="124">
        <v>2238</v>
      </c>
      <c r="G2244" s="33">
        <f t="shared" ca="1" si="47"/>
        <v>5.0389446801470048E-3</v>
      </c>
    </row>
    <row r="2245" spans="6:7" x14ac:dyDescent="0.3">
      <c r="F2245" s="124">
        <v>2239</v>
      </c>
      <c r="G2245" s="33">
        <f t="shared" ca="1" si="47"/>
        <v>-1.2081303414024896E-2</v>
      </c>
    </row>
    <row r="2246" spans="6:7" x14ac:dyDescent="0.3">
      <c r="F2246" s="124">
        <v>2240</v>
      </c>
      <c r="G2246" s="33">
        <f t="shared" ca="1" si="47"/>
        <v>-1.9125473807982768E-2</v>
      </c>
    </row>
    <row r="2247" spans="6:7" x14ac:dyDescent="0.3">
      <c r="F2247" s="124">
        <v>2241</v>
      </c>
      <c r="G2247" s="33">
        <f t="shared" ca="1" si="47"/>
        <v>-1.195980132810379E-2</v>
      </c>
    </row>
    <row r="2248" spans="6:7" x14ac:dyDescent="0.3">
      <c r="F2248" s="124">
        <v>2242</v>
      </c>
      <c r="G2248" s="33">
        <f t="shared" ref="G2248:G2311" ca="1" si="48">_xlfn.NORM.INV(RAND(),$M$9,$M$10)</f>
        <v>-1.1253987040944866E-2</v>
      </c>
    </row>
    <row r="2249" spans="6:7" x14ac:dyDescent="0.3">
      <c r="F2249" s="124">
        <v>2243</v>
      </c>
      <c r="G2249" s="33">
        <f t="shared" ca="1" si="48"/>
        <v>2.2699789338650984E-2</v>
      </c>
    </row>
    <row r="2250" spans="6:7" x14ac:dyDescent="0.3">
      <c r="F2250" s="124">
        <v>2244</v>
      </c>
      <c r="G2250" s="33">
        <f t="shared" ca="1" si="48"/>
        <v>-1.2007792523441946E-2</v>
      </c>
    </row>
    <row r="2251" spans="6:7" x14ac:dyDescent="0.3">
      <c r="F2251" s="124">
        <v>2245</v>
      </c>
      <c r="G2251" s="33">
        <f t="shared" ca="1" si="48"/>
        <v>-3.6029962237084087E-2</v>
      </c>
    </row>
    <row r="2252" spans="6:7" x14ac:dyDescent="0.3">
      <c r="F2252" s="124">
        <v>2246</v>
      </c>
      <c r="G2252" s="33">
        <f t="shared" ca="1" si="48"/>
        <v>-7.3603684425333007E-2</v>
      </c>
    </row>
    <row r="2253" spans="6:7" x14ac:dyDescent="0.3">
      <c r="F2253" s="124">
        <v>2247</v>
      </c>
      <c r="G2253" s="33">
        <f t="shared" ca="1" si="48"/>
        <v>-4.3616414665275931E-2</v>
      </c>
    </row>
    <row r="2254" spans="6:7" x14ac:dyDescent="0.3">
      <c r="F2254" s="124">
        <v>2248</v>
      </c>
      <c r="G2254" s="33">
        <f t="shared" ca="1" si="48"/>
        <v>-3.274785281060677E-2</v>
      </c>
    </row>
    <row r="2255" spans="6:7" x14ac:dyDescent="0.3">
      <c r="F2255" s="124">
        <v>2249</v>
      </c>
      <c r="G2255" s="33">
        <f t="shared" ca="1" si="48"/>
        <v>9.2794378366943264E-3</v>
      </c>
    </row>
    <row r="2256" spans="6:7" x14ac:dyDescent="0.3">
      <c r="F2256" s="124">
        <v>2250</v>
      </c>
      <c r="G2256" s="33">
        <f t="shared" ca="1" si="48"/>
        <v>7.0304998826554175E-4</v>
      </c>
    </row>
    <row r="2257" spans="6:7" x14ac:dyDescent="0.3">
      <c r="F2257" s="124">
        <v>2251</v>
      </c>
      <c r="G2257" s="33">
        <f t="shared" ca="1" si="48"/>
        <v>5.1703533117858608E-2</v>
      </c>
    </row>
    <row r="2258" spans="6:7" x14ac:dyDescent="0.3">
      <c r="F2258" s="124">
        <v>2252</v>
      </c>
      <c r="G2258" s="33">
        <f t="shared" ca="1" si="48"/>
        <v>-1.7982578298343422E-2</v>
      </c>
    </row>
    <row r="2259" spans="6:7" x14ac:dyDescent="0.3">
      <c r="F2259" s="124">
        <v>2253</v>
      </c>
      <c r="G2259" s="33">
        <f t="shared" ca="1" si="48"/>
        <v>-2.5354121205293186E-2</v>
      </c>
    </row>
    <row r="2260" spans="6:7" x14ac:dyDescent="0.3">
      <c r="F2260" s="124">
        <v>2254</v>
      </c>
      <c r="G2260" s="33">
        <f t="shared" ca="1" si="48"/>
        <v>3.1374392889186094E-2</v>
      </c>
    </row>
    <row r="2261" spans="6:7" x14ac:dyDescent="0.3">
      <c r="F2261" s="124">
        <v>2255</v>
      </c>
      <c r="G2261" s="33">
        <f t="shared" ca="1" si="48"/>
        <v>1.8981974394749481E-3</v>
      </c>
    </row>
    <row r="2262" spans="6:7" x14ac:dyDescent="0.3">
      <c r="F2262" s="124">
        <v>2256</v>
      </c>
      <c r="G2262" s="33">
        <f t="shared" ca="1" si="48"/>
        <v>2.807615738567364E-2</v>
      </c>
    </row>
    <row r="2263" spans="6:7" x14ac:dyDescent="0.3">
      <c r="F2263" s="124">
        <v>2257</v>
      </c>
      <c r="G2263" s="33">
        <f t="shared" ca="1" si="48"/>
        <v>-5.1635941899687669E-3</v>
      </c>
    </row>
    <row r="2264" spans="6:7" x14ac:dyDescent="0.3">
      <c r="F2264" s="124">
        <v>2258</v>
      </c>
      <c r="G2264" s="33">
        <f t="shared" ca="1" si="48"/>
        <v>-3.317859198354297E-2</v>
      </c>
    </row>
    <row r="2265" spans="6:7" x14ac:dyDescent="0.3">
      <c r="F2265" s="124">
        <v>2259</v>
      </c>
      <c r="G2265" s="33">
        <f t="shared" ca="1" si="48"/>
        <v>5.1393930669443606E-3</v>
      </c>
    </row>
    <row r="2266" spans="6:7" x14ac:dyDescent="0.3">
      <c r="F2266" s="124">
        <v>2260</v>
      </c>
      <c r="G2266" s="33">
        <f t="shared" ca="1" si="48"/>
        <v>-1.4919018150818742E-2</v>
      </c>
    </row>
    <row r="2267" spans="6:7" x14ac:dyDescent="0.3">
      <c r="F2267" s="124">
        <v>2261</v>
      </c>
      <c r="G2267" s="33">
        <f t="shared" ca="1" si="48"/>
        <v>1.5632617623168983E-2</v>
      </c>
    </row>
    <row r="2268" spans="6:7" x14ac:dyDescent="0.3">
      <c r="F2268" s="124">
        <v>2262</v>
      </c>
      <c r="G2268" s="33">
        <f t="shared" ca="1" si="48"/>
        <v>-1.750672761658691E-2</v>
      </c>
    </row>
    <row r="2269" spans="6:7" x14ac:dyDescent="0.3">
      <c r="F2269" s="124">
        <v>2263</v>
      </c>
      <c r="G2269" s="33">
        <f t="shared" ca="1" si="48"/>
        <v>3.6990152401629846E-2</v>
      </c>
    </row>
    <row r="2270" spans="6:7" x14ac:dyDescent="0.3">
      <c r="F2270" s="124">
        <v>2264</v>
      </c>
      <c r="G2270" s="33">
        <f t="shared" ca="1" si="48"/>
        <v>-1.8672473093222408E-3</v>
      </c>
    </row>
    <row r="2271" spans="6:7" x14ac:dyDescent="0.3">
      <c r="F2271" s="124">
        <v>2265</v>
      </c>
      <c r="G2271" s="33">
        <f t="shared" ca="1" si="48"/>
        <v>7.608998559604326E-3</v>
      </c>
    </row>
    <row r="2272" spans="6:7" x14ac:dyDescent="0.3">
      <c r="F2272" s="124">
        <v>2266</v>
      </c>
      <c r="G2272" s="33">
        <f t="shared" ca="1" si="48"/>
        <v>7.4197623519237227E-3</v>
      </c>
    </row>
    <row r="2273" spans="6:7" x14ac:dyDescent="0.3">
      <c r="F2273" s="124">
        <v>2267</v>
      </c>
      <c r="G2273" s="33">
        <f t="shared" ca="1" si="48"/>
        <v>3.4581073168477042E-2</v>
      </c>
    </row>
    <row r="2274" spans="6:7" x14ac:dyDescent="0.3">
      <c r="F2274" s="124">
        <v>2268</v>
      </c>
      <c r="G2274" s="33">
        <f t="shared" ca="1" si="48"/>
        <v>-2.6990338214902494E-2</v>
      </c>
    </row>
    <row r="2275" spans="6:7" x14ac:dyDescent="0.3">
      <c r="F2275" s="124">
        <v>2269</v>
      </c>
      <c r="G2275" s="33">
        <f t="shared" ca="1" si="48"/>
        <v>-4.205182515731978E-3</v>
      </c>
    </row>
    <row r="2276" spans="6:7" x14ac:dyDescent="0.3">
      <c r="F2276" s="124">
        <v>2270</v>
      </c>
      <c r="G2276" s="33">
        <f t="shared" ca="1" si="48"/>
        <v>-2.2348032695428698E-2</v>
      </c>
    </row>
    <row r="2277" spans="6:7" x14ac:dyDescent="0.3">
      <c r="F2277" s="124">
        <v>2271</v>
      </c>
      <c r="G2277" s="33">
        <f t="shared" ca="1" si="48"/>
        <v>-1.2791153213050591E-2</v>
      </c>
    </row>
    <row r="2278" spans="6:7" x14ac:dyDescent="0.3">
      <c r="F2278" s="124">
        <v>2272</v>
      </c>
      <c r="G2278" s="33">
        <f t="shared" ca="1" si="48"/>
        <v>-1.6989054114232616E-2</v>
      </c>
    </row>
    <row r="2279" spans="6:7" x14ac:dyDescent="0.3">
      <c r="F2279" s="124">
        <v>2273</v>
      </c>
      <c r="G2279" s="33">
        <f t="shared" ca="1" si="48"/>
        <v>-1.0573357972740161E-2</v>
      </c>
    </row>
    <row r="2280" spans="6:7" x14ac:dyDescent="0.3">
      <c r="F2280" s="124">
        <v>2274</v>
      </c>
      <c r="G2280" s="33">
        <f t="shared" ca="1" si="48"/>
        <v>1.2982107095822717E-2</v>
      </c>
    </row>
    <row r="2281" spans="6:7" x14ac:dyDescent="0.3">
      <c r="F2281" s="124">
        <v>2275</v>
      </c>
      <c r="G2281" s="33">
        <f t="shared" ca="1" si="48"/>
        <v>-2.0318928581685648E-2</v>
      </c>
    </row>
    <row r="2282" spans="6:7" x14ac:dyDescent="0.3">
      <c r="F2282" s="124">
        <v>2276</v>
      </c>
      <c r="G2282" s="33">
        <f t="shared" ca="1" si="48"/>
        <v>3.0632117026614279E-3</v>
      </c>
    </row>
    <row r="2283" spans="6:7" x14ac:dyDescent="0.3">
      <c r="F2283" s="124">
        <v>2277</v>
      </c>
      <c r="G2283" s="33">
        <f t="shared" ca="1" si="48"/>
        <v>3.2665222443041042E-2</v>
      </c>
    </row>
    <row r="2284" spans="6:7" x14ac:dyDescent="0.3">
      <c r="F2284" s="124">
        <v>2278</v>
      </c>
      <c r="G2284" s="33">
        <f t="shared" ca="1" si="48"/>
        <v>-8.4936327804543896E-3</v>
      </c>
    </row>
    <row r="2285" spans="6:7" x14ac:dyDescent="0.3">
      <c r="F2285" s="124">
        <v>2279</v>
      </c>
      <c r="G2285" s="33">
        <f t="shared" ca="1" si="48"/>
        <v>-2.7527055239455821E-2</v>
      </c>
    </row>
    <row r="2286" spans="6:7" x14ac:dyDescent="0.3">
      <c r="F2286" s="124">
        <v>2280</v>
      </c>
      <c r="G2286" s="33">
        <f t="shared" ca="1" si="48"/>
        <v>-2.682443667806899E-2</v>
      </c>
    </row>
    <row r="2287" spans="6:7" x14ac:dyDescent="0.3">
      <c r="F2287" s="124">
        <v>2281</v>
      </c>
      <c r="G2287" s="33">
        <f t="shared" ca="1" si="48"/>
        <v>4.3538386366162238E-2</v>
      </c>
    </row>
    <row r="2288" spans="6:7" x14ac:dyDescent="0.3">
      <c r="F2288" s="124">
        <v>2282</v>
      </c>
      <c r="G2288" s="33">
        <f t="shared" ca="1" si="48"/>
        <v>-3.4593045962673735E-2</v>
      </c>
    </row>
    <row r="2289" spans="6:7" x14ac:dyDescent="0.3">
      <c r="F2289" s="124">
        <v>2283</v>
      </c>
      <c r="G2289" s="33">
        <f t="shared" ca="1" si="48"/>
        <v>-3.826570084421195E-2</v>
      </c>
    </row>
    <row r="2290" spans="6:7" x14ac:dyDescent="0.3">
      <c r="F2290" s="124">
        <v>2284</v>
      </c>
      <c r="G2290" s="33">
        <f t="shared" ca="1" si="48"/>
        <v>-4.8846658676765208E-3</v>
      </c>
    </row>
    <row r="2291" spans="6:7" x14ac:dyDescent="0.3">
      <c r="F2291" s="124">
        <v>2285</v>
      </c>
      <c r="G2291" s="33">
        <f t="shared" ca="1" si="48"/>
        <v>1.4895390324427164E-2</v>
      </c>
    </row>
    <row r="2292" spans="6:7" x14ac:dyDescent="0.3">
      <c r="F2292" s="124">
        <v>2286</v>
      </c>
      <c r="G2292" s="33">
        <f t="shared" ca="1" si="48"/>
        <v>-4.3751675966209172E-2</v>
      </c>
    </row>
    <row r="2293" spans="6:7" x14ac:dyDescent="0.3">
      <c r="F2293" s="124">
        <v>2287</v>
      </c>
      <c r="G2293" s="33">
        <f t="shared" ca="1" si="48"/>
        <v>1.4964885775492091E-2</v>
      </c>
    </row>
    <row r="2294" spans="6:7" x14ac:dyDescent="0.3">
      <c r="F2294" s="124">
        <v>2288</v>
      </c>
      <c r="G2294" s="33">
        <f t="shared" ca="1" si="48"/>
        <v>-7.0405232407542801E-3</v>
      </c>
    </row>
    <row r="2295" spans="6:7" x14ac:dyDescent="0.3">
      <c r="F2295" s="124">
        <v>2289</v>
      </c>
      <c r="G2295" s="33">
        <f t="shared" ca="1" si="48"/>
        <v>-8.7408978679186095E-3</v>
      </c>
    </row>
    <row r="2296" spans="6:7" x14ac:dyDescent="0.3">
      <c r="F2296" s="124">
        <v>2290</v>
      </c>
      <c r="G2296" s="33">
        <f t="shared" ca="1" si="48"/>
        <v>7.1864567764824375E-2</v>
      </c>
    </row>
    <row r="2297" spans="6:7" x14ac:dyDescent="0.3">
      <c r="F2297" s="124">
        <v>2291</v>
      </c>
      <c r="G2297" s="33">
        <f t="shared" ca="1" si="48"/>
        <v>-5.2824541157770376E-2</v>
      </c>
    </row>
    <row r="2298" spans="6:7" x14ac:dyDescent="0.3">
      <c r="F2298" s="124">
        <v>2292</v>
      </c>
      <c r="G2298" s="33">
        <f t="shared" ca="1" si="48"/>
        <v>-3.2727317731600154E-2</v>
      </c>
    </row>
    <row r="2299" spans="6:7" x14ac:dyDescent="0.3">
      <c r="F2299" s="124">
        <v>2293</v>
      </c>
      <c r="G2299" s="33">
        <f t="shared" ca="1" si="48"/>
        <v>-3.7573213218014323E-2</v>
      </c>
    </row>
    <row r="2300" spans="6:7" x14ac:dyDescent="0.3">
      <c r="F2300" s="124">
        <v>2294</v>
      </c>
      <c r="G2300" s="33">
        <f t="shared" ca="1" si="48"/>
        <v>9.7385108088462111E-3</v>
      </c>
    </row>
    <row r="2301" spans="6:7" x14ac:dyDescent="0.3">
      <c r="F2301" s="124">
        <v>2295</v>
      </c>
      <c r="G2301" s="33">
        <f t="shared" ca="1" si="48"/>
        <v>-1.4305446392999941E-2</v>
      </c>
    </row>
    <row r="2302" spans="6:7" x14ac:dyDescent="0.3">
      <c r="F2302" s="124">
        <v>2296</v>
      </c>
      <c r="G2302" s="33">
        <f t="shared" ca="1" si="48"/>
        <v>1.2949032222558766E-2</v>
      </c>
    </row>
    <row r="2303" spans="6:7" x14ac:dyDescent="0.3">
      <c r="F2303" s="124">
        <v>2297</v>
      </c>
      <c r="G2303" s="33">
        <f t="shared" ca="1" si="48"/>
        <v>-4.2224438710327149E-3</v>
      </c>
    </row>
    <row r="2304" spans="6:7" x14ac:dyDescent="0.3">
      <c r="F2304" s="124">
        <v>2298</v>
      </c>
      <c r="G2304" s="33">
        <f t="shared" ca="1" si="48"/>
        <v>-5.542816984552508E-2</v>
      </c>
    </row>
    <row r="2305" spans="6:7" x14ac:dyDescent="0.3">
      <c r="F2305" s="124">
        <v>2299</v>
      </c>
      <c r="G2305" s="33">
        <f t="shared" ca="1" si="48"/>
        <v>-2.150068159162985E-2</v>
      </c>
    </row>
    <row r="2306" spans="6:7" x14ac:dyDescent="0.3">
      <c r="F2306" s="124">
        <v>2300</v>
      </c>
      <c r="G2306" s="33">
        <f t="shared" ca="1" si="48"/>
        <v>-2.4613197212221941E-2</v>
      </c>
    </row>
    <row r="2307" spans="6:7" x14ac:dyDescent="0.3">
      <c r="F2307" s="124">
        <v>2301</v>
      </c>
      <c r="G2307" s="33">
        <f t="shared" ca="1" si="48"/>
        <v>4.8662259708316245E-2</v>
      </c>
    </row>
    <row r="2308" spans="6:7" x14ac:dyDescent="0.3">
      <c r="F2308" s="124">
        <v>2302</v>
      </c>
      <c r="G2308" s="33">
        <f t="shared" ca="1" si="48"/>
        <v>3.4951846949657507E-2</v>
      </c>
    </row>
    <row r="2309" spans="6:7" x14ac:dyDescent="0.3">
      <c r="F2309" s="124">
        <v>2303</v>
      </c>
      <c r="G2309" s="33">
        <f t="shared" ca="1" si="48"/>
        <v>2.7888067660961836E-2</v>
      </c>
    </row>
    <row r="2310" spans="6:7" x14ac:dyDescent="0.3">
      <c r="F2310" s="124">
        <v>2304</v>
      </c>
      <c r="G2310" s="33">
        <f t="shared" ca="1" si="48"/>
        <v>-1.0130379032384871E-2</v>
      </c>
    </row>
    <row r="2311" spans="6:7" x14ac:dyDescent="0.3">
      <c r="F2311" s="124">
        <v>2305</v>
      </c>
      <c r="G2311" s="33">
        <f t="shared" ca="1" si="48"/>
        <v>-2.9790913510584754E-2</v>
      </c>
    </row>
    <row r="2312" spans="6:7" x14ac:dyDescent="0.3">
      <c r="F2312" s="124">
        <v>2306</v>
      </c>
      <c r="G2312" s="33">
        <f t="shared" ref="G2312:G2375" ca="1" si="49">_xlfn.NORM.INV(RAND(),$M$9,$M$10)</f>
        <v>3.0627497623859416E-2</v>
      </c>
    </row>
    <row r="2313" spans="6:7" x14ac:dyDescent="0.3">
      <c r="F2313" s="124">
        <v>2307</v>
      </c>
      <c r="G2313" s="33">
        <f t="shared" ca="1" si="49"/>
        <v>-3.6986766368084636E-2</v>
      </c>
    </row>
    <row r="2314" spans="6:7" x14ac:dyDescent="0.3">
      <c r="F2314" s="124">
        <v>2308</v>
      </c>
      <c r="G2314" s="33">
        <f t="shared" ca="1" si="49"/>
        <v>5.0905774692719969E-3</v>
      </c>
    </row>
    <row r="2315" spans="6:7" x14ac:dyDescent="0.3">
      <c r="F2315" s="124">
        <v>2309</v>
      </c>
      <c r="G2315" s="33">
        <f t="shared" ca="1" si="49"/>
        <v>-1.376770893133596E-2</v>
      </c>
    </row>
    <row r="2316" spans="6:7" x14ac:dyDescent="0.3">
      <c r="F2316" s="124">
        <v>2310</v>
      </c>
      <c r="G2316" s="33">
        <f t="shared" ca="1" si="49"/>
        <v>4.5435071386103615E-2</v>
      </c>
    </row>
    <row r="2317" spans="6:7" x14ac:dyDescent="0.3">
      <c r="F2317" s="124">
        <v>2311</v>
      </c>
      <c r="G2317" s="33">
        <f t="shared" ca="1" si="49"/>
        <v>3.1995604914005119E-2</v>
      </c>
    </row>
    <row r="2318" spans="6:7" x14ac:dyDescent="0.3">
      <c r="F2318" s="124">
        <v>2312</v>
      </c>
      <c r="G2318" s="33">
        <f t="shared" ca="1" si="49"/>
        <v>-1.2279225725845087E-3</v>
      </c>
    </row>
    <row r="2319" spans="6:7" x14ac:dyDescent="0.3">
      <c r="F2319" s="124">
        <v>2313</v>
      </c>
      <c r="G2319" s="33">
        <f t="shared" ca="1" si="49"/>
        <v>-3.5095124680049855E-2</v>
      </c>
    </row>
    <row r="2320" spans="6:7" x14ac:dyDescent="0.3">
      <c r="F2320" s="124">
        <v>2314</v>
      </c>
      <c r="G2320" s="33">
        <f t="shared" ca="1" si="49"/>
        <v>-4.2817817272775879E-2</v>
      </c>
    </row>
    <row r="2321" spans="6:7" x14ac:dyDescent="0.3">
      <c r="F2321" s="124">
        <v>2315</v>
      </c>
      <c r="G2321" s="33">
        <f t="shared" ca="1" si="49"/>
        <v>-3.3023753703684884E-2</v>
      </c>
    </row>
    <row r="2322" spans="6:7" x14ac:dyDescent="0.3">
      <c r="F2322" s="124">
        <v>2316</v>
      </c>
      <c r="G2322" s="33">
        <f t="shared" ca="1" si="49"/>
        <v>1.7350542959744156E-2</v>
      </c>
    </row>
    <row r="2323" spans="6:7" x14ac:dyDescent="0.3">
      <c r="F2323" s="124">
        <v>2317</v>
      </c>
      <c r="G2323" s="33">
        <f t="shared" ca="1" si="49"/>
        <v>-7.1788328405912654E-3</v>
      </c>
    </row>
    <row r="2324" spans="6:7" x14ac:dyDescent="0.3">
      <c r="F2324" s="124">
        <v>2318</v>
      </c>
      <c r="G2324" s="33">
        <f t="shared" ca="1" si="49"/>
        <v>8.2584875892732744E-3</v>
      </c>
    </row>
    <row r="2325" spans="6:7" x14ac:dyDescent="0.3">
      <c r="F2325" s="124">
        <v>2319</v>
      </c>
      <c r="G2325" s="33">
        <f t="shared" ca="1" si="49"/>
        <v>-7.9910941977389752E-3</v>
      </c>
    </row>
    <row r="2326" spans="6:7" x14ac:dyDescent="0.3">
      <c r="F2326" s="124">
        <v>2320</v>
      </c>
      <c r="G2326" s="33">
        <f t="shared" ca="1" si="49"/>
        <v>-1.2025927686659249E-3</v>
      </c>
    </row>
    <row r="2327" spans="6:7" x14ac:dyDescent="0.3">
      <c r="F2327" s="124">
        <v>2321</v>
      </c>
      <c r="G2327" s="33">
        <f t="shared" ca="1" si="49"/>
        <v>2.4802668274704287E-2</v>
      </c>
    </row>
    <row r="2328" spans="6:7" x14ac:dyDescent="0.3">
      <c r="F2328" s="124">
        <v>2322</v>
      </c>
      <c r="G2328" s="33">
        <f t="shared" ca="1" si="49"/>
        <v>1.9732642897979047E-2</v>
      </c>
    </row>
    <row r="2329" spans="6:7" x14ac:dyDescent="0.3">
      <c r="F2329" s="124">
        <v>2323</v>
      </c>
      <c r="G2329" s="33">
        <f t="shared" ca="1" si="49"/>
        <v>-4.9277727581568634E-2</v>
      </c>
    </row>
    <row r="2330" spans="6:7" x14ac:dyDescent="0.3">
      <c r="F2330" s="124">
        <v>2324</v>
      </c>
      <c r="G2330" s="33">
        <f t="shared" ca="1" si="49"/>
        <v>-2.4348199637583889E-2</v>
      </c>
    </row>
    <row r="2331" spans="6:7" x14ac:dyDescent="0.3">
      <c r="F2331" s="124">
        <v>2325</v>
      </c>
      <c r="G2331" s="33">
        <f t="shared" ca="1" si="49"/>
        <v>-3.0149267306732116E-2</v>
      </c>
    </row>
    <row r="2332" spans="6:7" x14ac:dyDescent="0.3">
      <c r="F2332" s="124">
        <v>2326</v>
      </c>
      <c r="G2332" s="33">
        <f t="shared" ca="1" si="49"/>
        <v>-1.410626783192725E-3</v>
      </c>
    </row>
    <row r="2333" spans="6:7" x14ac:dyDescent="0.3">
      <c r="F2333" s="124">
        <v>2327</v>
      </c>
      <c r="G2333" s="33">
        <f t="shared" ca="1" si="49"/>
        <v>4.3846582186255589E-2</v>
      </c>
    </row>
    <row r="2334" spans="6:7" x14ac:dyDescent="0.3">
      <c r="F2334" s="124">
        <v>2328</v>
      </c>
      <c r="G2334" s="33">
        <f t="shared" ca="1" si="49"/>
        <v>1.62149021992717E-2</v>
      </c>
    </row>
    <row r="2335" spans="6:7" x14ac:dyDescent="0.3">
      <c r="F2335" s="124">
        <v>2329</v>
      </c>
      <c r="G2335" s="33">
        <f t="shared" ca="1" si="49"/>
        <v>-1.8657264107663406E-2</v>
      </c>
    </row>
    <row r="2336" spans="6:7" x14ac:dyDescent="0.3">
      <c r="F2336" s="124">
        <v>2330</v>
      </c>
      <c r="G2336" s="33">
        <f t="shared" ca="1" si="49"/>
        <v>-3.4977400274317869E-4</v>
      </c>
    </row>
    <row r="2337" spans="6:7" x14ac:dyDescent="0.3">
      <c r="F2337" s="124">
        <v>2331</v>
      </c>
      <c r="G2337" s="33">
        <f t="shared" ca="1" si="49"/>
        <v>-2.4739778220017404E-2</v>
      </c>
    </row>
    <row r="2338" spans="6:7" x14ac:dyDescent="0.3">
      <c r="F2338" s="124">
        <v>2332</v>
      </c>
      <c r="G2338" s="33">
        <f t="shared" ca="1" si="49"/>
        <v>4.2980292017376798E-2</v>
      </c>
    </row>
    <row r="2339" spans="6:7" x14ac:dyDescent="0.3">
      <c r="F2339" s="124">
        <v>2333</v>
      </c>
      <c r="G2339" s="33">
        <f t="shared" ca="1" si="49"/>
        <v>3.7137941145746943E-2</v>
      </c>
    </row>
    <row r="2340" spans="6:7" x14ac:dyDescent="0.3">
      <c r="F2340" s="124">
        <v>2334</v>
      </c>
      <c r="G2340" s="33">
        <f t="shared" ca="1" si="49"/>
        <v>1.931062928029964E-2</v>
      </c>
    </row>
    <row r="2341" spans="6:7" x14ac:dyDescent="0.3">
      <c r="F2341" s="124">
        <v>2335</v>
      </c>
      <c r="G2341" s="33">
        <f t="shared" ca="1" si="49"/>
        <v>-2.9144266161736106E-2</v>
      </c>
    </row>
    <row r="2342" spans="6:7" x14ac:dyDescent="0.3">
      <c r="F2342" s="124">
        <v>2336</v>
      </c>
      <c r="G2342" s="33">
        <f t="shared" ca="1" si="49"/>
        <v>5.350999841107101E-3</v>
      </c>
    </row>
    <row r="2343" spans="6:7" x14ac:dyDescent="0.3">
      <c r="F2343" s="124">
        <v>2337</v>
      </c>
      <c r="G2343" s="33">
        <f t="shared" ca="1" si="49"/>
        <v>-3.913248733212777E-2</v>
      </c>
    </row>
    <row r="2344" spans="6:7" x14ac:dyDescent="0.3">
      <c r="F2344" s="124">
        <v>2338</v>
      </c>
      <c r="G2344" s="33">
        <f t="shared" ca="1" si="49"/>
        <v>4.2612712962485574E-3</v>
      </c>
    </row>
    <row r="2345" spans="6:7" x14ac:dyDescent="0.3">
      <c r="F2345" s="124">
        <v>2339</v>
      </c>
      <c r="G2345" s="33">
        <f t="shared" ca="1" si="49"/>
        <v>-2.4285528838396641E-2</v>
      </c>
    </row>
    <row r="2346" spans="6:7" x14ac:dyDescent="0.3">
      <c r="F2346" s="124">
        <v>2340</v>
      </c>
      <c r="G2346" s="33">
        <f t="shared" ca="1" si="49"/>
        <v>4.1651677206391825E-2</v>
      </c>
    </row>
    <row r="2347" spans="6:7" x14ac:dyDescent="0.3">
      <c r="F2347" s="124">
        <v>2341</v>
      </c>
      <c r="G2347" s="33">
        <f t="shared" ca="1" si="49"/>
        <v>3.5518746554957868E-2</v>
      </c>
    </row>
    <row r="2348" spans="6:7" x14ac:dyDescent="0.3">
      <c r="F2348" s="124">
        <v>2342</v>
      </c>
      <c r="G2348" s="33">
        <f t="shared" ca="1" si="49"/>
        <v>-2.1844135658226533E-2</v>
      </c>
    </row>
    <row r="2349" spans="6:7" x14ac:dyDescent="0.3">
      <c r="F2349" s="124">
        <v>2343</v>
      </c>
      <c r="G2349" s="33">
        <f t="shared" ca="1" si="49"/>
        <v>-4.0203656570018578E-2</v>
      </c>
    </row>
    <row r="2350" spans="6:7" x14ac:dyDescent="0.3">
      <c r="F2350" s="124">
        <v>2344</v>
      </c>
      <c r="G2350" s="33">
        <f t="shared" ca="1" si="49"/>
        <v>-7.9365256211261989E-3</v>
      </c>
    </row>
    <row r="2351" spans="6:7" x14ac:dyDescent="0.3">
      <c r="F2351" s="124">
        <v>2345</v>
      </c>
      <c r="G2351" s="33">
        <f t="shared" ca="1" si="49"/>
        <v>-9.8128413221199966E-3</v>
      </c>
    </row>
    <row r="2352" spans="6:7" x14ac:dyDescent="0.3">
      <c r="F2352" s="124">
        <v>2346</v>
      </c>
      <c r="G2352" s="33">
        <f t="shared" ca="1" si="49"/>
        <v>-4.7345906908584324E-3</v>
      </c>
    </row>
    <row r="2353" spans="6:7" x14ac:dyDescent="0.3">
      <c r="F2353" s="124">
        <v>2347</v>
      </c>
      <c r="G2353" s="33">
        <f t="shared" ca="1" si="49"/>
        <v>2.0228692368770649E-2</v>
      </c>
    </row>
    <row r="2354" spans="6:7" x14ac:dyDescent="0.3">
      <c r="F2354" s="124">
        <v>2348</v>
      </c>
      <c r="G2354" s="33">
        <f t="shared" ca="1" si="49"/>
        <v>-2.743597168139991E-3</v>
      </c>
    </row>
    <row r="2355" spans="6:7" x14ac:dyDescent="0.3">
      <c r="F2355" s="124">
        <v>2349</v>
      </c>
      <c r="G2355" s="33">
        <f t="shared" ca="1" si="49"/>
        <v>-1.6214148797916963E-2</v>
      </c>
    </row>
    <row r="2356" spans="6:7" x14ac:dyDescent="0.3">
      <c r="F2356" s="124">
        <v>2350</v>
      </c>
      <c r="G2356" s="33">
        <f t="shared" ca="1" si="49"/>
        <v>-2.2502959106737792E-2</v>
      </c>
    </row>
    <row r="2357" spans="6:7" x14ac:dyDescent="0.3">
      <c r="F2357" s="124">
        <v>2351</v>
      </c>
      <c r="G2357" s="33">
        <f t="shared" ca="1" si="49"/>
        <v>-1.1260139450226216E-2</v>
      </c>
    </row>
    <row r="2358" spans="6:7" x14ac:dyDescent="0.3">
      <c r="F2358" s="124">
        <v>2352</v>
      </c>
      <c r="G2358" s="33">
        <f t="shared" ca="1" si="49"/>
        <v>3.1991850066259084E-2</v>
      </c>
    </row>
    <row r="2359" spans="6:7" x14ac:dyDescent="0.3">
      <c r="F2359" s="124">
        <v>2353</v>
      </c>
      <c r="G2359" s="33">
        <f t="shared" ca="1" si="49"/>
        <v>5.5307655441857468E-3</v>
      </c>
    </row>
    <row r="2360" spans="6:7" x14ac:dyDescent="0.3">
      <c r="F2360" s="124">
        <v>2354</v>
      </c>
      <c r="G2360" s="33">
        <f t="shared" ca="1" si="49"/>
        <v>3.1837941882577041E-2</v>
      </c>
    </row>
    <row r="2361" spans="6:7" x14ac:dyDescent="0.3">
      <c r="F2361" s="124">
        <v>2355</v>
      </c>
      <c r="G2361" s="33">
        <f t="shared" ca="1" si="49"/>
        <v>5.8026051968134179E-2</v>
      </c>
    </row>
    <row r="2362" spans="6:7" x14ac:dyDescent="0.3">
      <c r="F2362" s="124">
        <v>2356</v>
      </c>
      <c r="G2362" s="33">
        <f t="shared" ca="1" si="49"/>
        <v>9.7812950585132487E-3</v>
      </c>
    </row>
    <row r="2363" spans="6:7" x14ac:dyDescent="0.3">
      <c r="F2363" s="124">
        <v>2357</v>
      </c>
      <c r="G2363" s="33">
        <f t="shared" ca="1" si="49"/>
        <v>8.8293598281395538E-4</v>
      </c>
    </row>
    <row r="2364" spans="6:7" x14ac:dyDescent="0.3">
      <c r="F2364" s="124">
        <v>2358</v>
      </c>
      <c r="G2364" s="33">
        <f t="shared" ca="1" si="49"/>
        <v>-2.2705865203072753E-3</v>
      </c>
    </row>
    <row r="2365" spans="6:7" x14ac:dyDescent="0.3">
      <c r="F2365" s="124">
        <v>2359</v>
      </c>
      <c r="G2365" s="33">
        <f t="shared" ca="1" si="49"/>
        <v>-4.8974336976773628E-2</v>
      </c>
    </row>
    <row r="2366" spans="6:7" x14ac:dyDescent="0.3">
      <c r="F2366" s="124">
        <v>2360</v>
      </c>
      <c r="G2366" s="33">
        <f t="shared" ca="1" si="49"/>
        <v>-3.9564350569655023E-2</v>
      </c>
    </row>
    <row r="2367" spans="6:7" x14ac:dyDescent="0.3">
      <c r="F2367" s="124">
        <v>2361</v>
      </c>
      <c r="G2367" s="33">
        <f t="shared" ca="1" si="49"/>
        <v>5.8475988406714155E-2</v>
      </c>
    </row>
    <row r="2368" spans="6:7" x14ac:dyDescent="0.3">
      <c r="F2368" s="124">
        <v>2362</v>
      </c>
      <c r="G2368" s="33">
        <f t="shared" ca="1" si="49"/>
        <v>-3.7372873955576015E-2</v>
      </c>
    </row>
    <row r="2369" spans="6:7" x14ac:dyDescent="0.3">
      <c r="F2369" s="124">
        <v>2363</v>
      </c>
      <c r="G2369" s="33">
        <f t="shared" ca="1" si="49"/>
        <v>3.0200970780055243E-2</v>
      </c>
    </row>
    <row r="2370" spans="6:7" x14ac:dyDescent="0.3">
      <c r="F2370" s="124">
        <v>2364</v>
      </c>
      <c r="G2370" s="33">
        <f t="shared" ca="1" si="49"/>
        <v>-1.5044789309403915E-2</v>
      </c>
    </row>
    <row r="2371" spans="6:7" x14ac:dyDescent="0.3">
      <c r="F2371" s="124">
        <v>2365</v>
      </c>
      <c r="G2371" s="33">
        <f t="shared" ca="1" si="49"/>
        <v>2.6605856642580951E-2</v>
      </c>
    </row>
    <row r="2372" spans="6:7" x14ac:dyDescent="0.3">
      <c r="F2372" s="124">
        <v>2366</v>
      </c>
      <c r="G2372" s="33">
        <f t="shared" ca="1" si="49"/>
        <v>-1.1202568631536947E-2</v>
      </c>
    </row>
    <row r="2373" spans="6:7" x14ac:dyDescent="0.3">
      <c r="F2373" s="124">
        <v>2367</v>
      </c>
      <c r="G2373" s="33">
        <f t="shared" ca="1" si="49"/>
        <v>5.7041046864435757E-2</v>
      </c>
    </row>
    <row r="2374" spans="6:7" x14ac:dyDescent="0.3">
      <c r="F2374" s="124">
        <v>2368</v>
      </c>
      <c r="G2374" s="33">
        <f t="shared" ca="1" si="49"/>
        <v>1.938445676096618E-2</v>
      </c>
    </row>
    <row r="2375" spans="6:7" x14ac:dyDescent="0.3">
      <c r="F2375" s="124">
        <v>2369</v>
      </c>
      <c r="G2375" s="33">
        <f t="shared" ca="1" si="49"/>
        <v>-4.9150419413083936E-2</v>
      </c>
    </row>
    <row r="2376" spans="6:7" x14ac:dyDescent="0.3">
      <c r="F2376" s="124">
        <v>2370</v>
      </c>
      <c r="G2376" s="33">
        <f t="shared" ref="G2376:G2439" ca="1" si="50">_xlfn.NORM.INV(RAND(),$M$9,$M$10)</f>
        <v>-3.8331494656994584E-2</v>
      </c>
    </row>
    <row r="2377" spans="6:7" x14ac:dyDescent="0.3">
      <c r="F2377" s="124">
        <v>2371</v>
      </c>
      <c r="G2377" s="33">
        <f t="shared" ca="1" si="50"/>
        <v>3.1785403537695758E-3</v>
      </c>
    </row>
    <row r="2378" spans="6:7" x14ac:dyDescent="0.3">
      <c r="F2378" s="124">
        <v>2372</v>
      </c>
      <c r="G2378" s="33">
        <f t="shared" ca="1" si="50"/>
        <v>4.5442949654656943E-2</v>
      </c>
    </row>
    <row r="2379" spans="6:7" x14ac:dyDescent="0.3">
      <c r="F2379" s="124">
        <v>2373</v>
      </c>
      <c r="G2379" s="33">
        <f t="shared" ca="1" si="50"/>
        <v>2.7787778865246238E-2</v>
      </c>
    </row>
    <row r="2380" spans="6:7" x14ac:dyDescent="0.3">
      <c r="F2380" s="124">
        <v>2374</v>
      </c>
      <c r="G2380" s="33">
        <f t="shared" ca="1" si="50"/>
        <v>-4.1669799229012788E-2</v>
      </c>
    </row>
    <row r="2381" spans="6:7" x14ac:dyDescent="0.3">
      <c r="F2381" s="124">
        <v>2375</v>
      </c>
      <c r="G2381" s="33">
        <f t="shared" ca="1" si="50"/>
        <v>2.4799675149180186E-2</v>
      </c>
    </row>
    <row r="2382" spans="6:7" x14ac:dyDescent="0.3">
      <c r="F2382" s="124">
        <v>2376</v>
      </c>
      <c r="G2382" s="33">
        <f t="shared" ca="1" si="50"/>
        <v>-3.3180132856095161E-2</v>
      </c>
    </row>
    <row r="2383" spans="6:7" x14ac:dyDescent="0.3">
      <c r="F2383" s="124">
        <v>2377</v>
      </c>
      <c r="G2383" s="33">
        <f t="shared" ca="1" si="50"/>
        <v>-5.7138880482497816E-2</v>
      </c>
    </row>
    <row r="2384" spans="6:7" x14ac:dyDescent="0.3">
      <c r="F2384" s="124">
        <v>2378</v>
      </c>
      <c r="G2384" s="33">
        <f t="shared" ca="1" si="50"/>
        <v>-5.2967330405594678E-3</v>
      </c>
    </row>
    <row r="2385" spans="6:7" x14ac:dyDescent="0.3">
      <c r="F2385" s="124">
        <v>2379</v>
      </c>
      <c r="G2385" s="33">
        <f t="shared" ca="1" si="50"/>
        <v>1.099798552500646E-2</v>
      </c>
    </row>
    <row r="2386" spans="6:7" x14ac:dyDescent="0.3">
      <c r="F2386" s="124">
        <v>2380</v>
      </c>
      <c r="G2386" s="33">
        <f t="shared" ca="1" si="50"/>
        <v>4.718826108936415E-2</v>
      </c>
    </row>
    <row r="2387" spans="6:7" x14ac:dyDescent="0.3">
      <c r="F2387" s="124">
        <v>2381</v>
      </c>
      <c r="G2387" s="33">
        <f t="shared" ca="1" si="50"/>
        <v>-3.0945186268635733E-4</v>
      </c>
    </row>
    <row r="2388" spans="6:7" x14ac:dyDescent="0.3">
      <c r="F2388" s="124">
        <v>2382</v>
      </c>
      <c r="G2388" s="33">
        <f t="shared" ca="1" si="50"/>
        <v>-2.3112645090143012E-2</v>
      </c>
    </row>
    <row r="2389" spans="6:7" x14ac:dyDescent="0.3">
      <c r="F2389" s="124">
        <v>2383</v>
      </c>
      <c r="G2389" s="33">
        <f t="shared" ca="1" si="50"/>
        <v>-1.8237912364798277E-2</v>
      </c>
    </row>
    <row r="2390" spans="6:7" x14ac:dyDescent="0.3">
      <c r="F2390" s="124">
        <v>2384</v>
      </c>
      <c r="G2390" s="33">
        <f t="shared" ca="1" si="50"/>
        <v>2.3458395357139158E-2</v>
      </c>
    </row>
    <row r="2391" spans="6:7" x14ac:dyDescent="0.3">
      <c r="F2391" s="124">
        <v>2385</v>
      </c>
      <c r="G2391" s="33">
        <f t="shared" ca="1" si="50"/>
        <v>-1.8298899344387169E-2</v>
      </c>
    </row>
    <row r="2392" spans="6:7" x14ac:dyDescent="0.3">
      <c r="F2392" s="124">
        <v>2386</v>
      </c>
      <c r="G2392" s="33">
        <f t="shared" ca="1" si="50"/>
        <v>2.1202453109091038E-2</v>
      </c>
    </row>
    <row r="2393" spans="6:7" x14ac:dyDescent="0.3">
      <c r="F2393" s="124">
        <v>2387</v>
      </c>
      <c r="G2393" s="33">
        <f t="shared" ca="1" si="50"/>
        <v>-1.3835429638117139E-2</v>
      </c>
    </row>
    <row r="2394" spans="6:7" x14ac:dyDescent="0.3">
      <c r="F2394" s="124">
        <v>2388</v>
      </c>
      <c r="G2394" s="33">
        <f t="shared" ca="1" si="50"/>
        <v>3.3675937229527435E-2</v>
      </c>
    </row>
    <row r="2395" spans="6:7" x14ac:dyDescent="0.3">
      <c r="F2395" s="124">
        <v>2389</v>
      </c>
      <c r="G2395" s="33">
        <f t="shared" ca="1" si="50"/>
        <v>5.1066734590044266E-2</v>
      </c>
    </row>
    <row r="2396" spans="6:7" x14ac:dyDescent="0.3">
      <c r="F2396" s="124">
        <v>2390</v>
      </c>
      <c r="G2396" s="33">
        <f t="shared" ca="1" si="50"/>
        <v>1.7749796040478095E-2</v>
      </c>
    </row>
    <row r="2397" spans="6:7" x14ac:dyDescent="0.3">
      <c r="F2397" s="124">
        <v>2391</v>
      </c>
      <c r="G2397" s="33">
        <f t="shared" ca="1" si="50"/>
        <v>4.1127014661082595E-3</v>
      </c>
    </row>
    <row r="2398" spans="6:7" x14ac:dyDescent="0.3">
      <c r="F2398" s="124">
        <v>2392</v>
      </c>
      <c r="G2398" s="33">
        <f t="shared" ca="1" si="50"/>
        <v>2.3756631567795135E-3</v>
      </c>
    </row>
    <row r="2399" spans="6:7" x14ac:dyDescent="0.3">
      <c r="F2399" s="124">
        <v>2393</v>
      </c>
      <c r="G2399" s="33">
        <f t="shared" ca="1" si="50"/>
        <v>2.9319315878253943E-3</v>
      </c>
    </row>
    <row r="2400" spans="6:7" x14ac:dyDescent="0.3">
      <c r="F2400" s="124">
        <v>2394</v>
      </c>
      <c r="G2400" s="33">
        <f t="shared" ca="1" si="50"/>
        <v>2.1529744899470835E-2</v>
      </c>
    </row>
    <row r="2401" spans="6:7" x14ac:dyDescent="0.3">
      <c r="F2401" s="124">
        <v>2395</v>
      </c>
      <c r="G2401" s="33">
        <f t="shared" ca="1" si="50"/>
        <v>1.7743224754060514E-2</v>
      </c>
    </row>
    <row r="2402" spans="6:7" x14ac:dyDescent="0.3">
      <c r="F2402" s="124">
        <v>2396</v>
      </c>
      <c r="G2402" s="33">
        <f t="shared" ca="1" si="50"/>
        <v>-7.0407302004625071E-3</v>
      </c>
    </row>
    <row r="2403" spans="6:7" x14ac:dyDescent="0.3">
      <c r="F2403" s="124">
        <v>2397</v>
      </c>
      <c r="G2403" s="33">
        <f t="shared" ca="1" si="50"/>
        <v>6.3734870629065018E-3</v>
      </c>
    </row>
    <row r="2404" spans="6:7" x14ac:dyDescent="0.3">
      <c r="F2404" s="124">
        <v>2398</v>
      </c>
      <c r="G2404" s="33">
        <f t="shared" ca="1" si="50"/>
        <v>-2.2929552139088611E-2</v>
      </c>
    </row>
    <row r="2405" spans="6:7" x14ac:dyDescent="0.3">
      <c r="F2405" s="124">
        <v>2399</v>
      </c>
      <c r="G2405" s="33">
        <f t="shared" ca="1" si="50"/>
        <v>1.5535011222296061E-2</v>
      </c>
    </row>
    <row r="2406" spans="6:7" x14ac:dyDescent="0.3">
      <c r="F2406" s="124">
        <v>2400</v>
      </c>
      <c r="G2406" s="33">
        <f t="shared" ca="1" si="50"/>
        <v>1.2654917165927228E-2</v>
      </c>
    </row>
    <row r="2407" spans="6:7" x14ac:dyDescent="0.3">
      <c r="F2407" s="124">
        <v>2401</v>
      </c>
      <c r="G2407" s="33">
        <f t="shared" ca="1" si="50"/>
        <v>4.8342658650229541E-2</v>
      </c>
    </row>
    <row r="2408" spans="6:7" x14ac:dyDescent="0.3">
      <c r="F2408" s="124">
        <v>2402</v>
      </c>
      <c r="G2408" s="33">
        <f t="shared" ca="1" si="50"/>
        <v>3.8541112091200758E-2</v>
      </c>
    </row>
    <row r="2409" spans="6:7" x14ac:dyDescent="0.3">
      <c r="F2409" s="124">
        <v>2403</v>
      </c>
      <c r="G2409" s="33">
        <f t="shared" ca="1" si="50"/>
        <v>-9.3622284835457323E-4</v>
      </c>
    </row>
    <row r="2410" spans="6:7" x14ac:dyDescent="0.3">
      <c r="F2410" s="124">
        <v>2404</v>
      </c>
      <c r="G2410" s="33">
        <f t="shared" ca="1" si="50"/>
        <v>-3.8256240410442351E-2</v>
      </c>
    </row>
    <row r="2411" spans="6:7" x14ac:dyDescent="0.3">
      <c r="F2411" s="124">
        <v>2405</v>
      </c>
      <c r="G2411" s="33">
        <f t="shared" ca="1" si="50"/>
        <v>-3.0041291773456984E-3</v>
      </c>
    </row>
    <row r="2412" spans="6:7" x14ac:dyDescent="0.3">
      <c r="F2412" s="124">
        <v>2406</v>
      </c>
      <c r="G2412" s="33">
        <f t="shared" ca="1" si="50"/>
        <v>7.2743921560832855E-2</v>
      </c>
    </row>
    <row r="2413" spans="6:7" x14ac:dyDescent="0.3">
      <c r="F2413" s="124">
        <v>2407</v>
      </c>
      <c r="G2413" s="33">
        <f t="shared" ca="1" si="50"/>
        <v>1.6069792173489535E-2</v>
      </c>
    </row>
    <row r="2414" spans="6:7" x14ac:dyDescent="0.3">
      <c r="F2414" s="124">
        <v>2408</v>
      </c>
      <c r="G2414" s="33">
        <f t="shared" ca="1" si="50"/>
        <v>-3.8670664256780687E-2</v>
      </c>
    </row>
    <row r="2415" spans="6:7" x14ac:dyDescent="0.3">
      <c r="F2415" s="124">
        <v>2409</v>
      </c>
      <c r="G2415" s="33">
        <f t="shared" ca="1" si="50"/>
        <v>-1.4571684872874868E-2</v>
      </c>
    </row>
    <row r="2416" spans="6:7" x14ac:dyDescent="0.3">
      <c r="F2416" s="124">
        <v>2410</v>
      </c>
      <c r="G2416" s="33">
        <f t="shared" ca="1" si="50"/>
        <v>-2.3965511483414824E-2</v>
      </c>
    </row>
    <row r="2417" spans="6:7" x14ac:dyDescent="0.3">
      <c r="F2417" s="124">
        <v>2411</v>
      </c>
      <c r="G2417" s="33">
        <f t="shared" ca="1" si="50"/>
        <v>-2.5365142253431323E-4</v>
      </c>
    </row>
    <row r="2418" spans="6:7" x14ac:dyDescent="0.3">
      <c r="F2418" s="124">
        <v>2412</v>
      </c>
      <c r="G2418" s="33">
        <f t="shared" ca="1" si="50"/>
        <v>-2.3001475613011097E-2</v>
      </c>
    </row>
    <row r="2419" spans="6:7" x14ac:dyDescent="0.3">
      <c r="F2419" s="124">
        <v>2413</v>
      </c>
      <c r="G2419" s="33">
        <f t="shared" ca="1" si="50"/>
        <v>2.5401561467344104E-2</v>
      </c>
    </row>
    <row r="2420" spans="6:7" x14ac:dyDescent="0.3">
      <c r="F2420" s="124">
        <v>2414</v>
      </c>
      <c r="G2420" s="33">
        <f t="shared" ca="1" si="50"/>
        <v>-5.3544079090043781E-3</v>
      </c>
    </row>
    <row r="2421" spans="6:7" x14ac:dyDescent="0.3">
      <c r="F2421" s="124">
        <v>2415</v>
      </c>
      <c r="G2421" s="33">
        <f t="shared" ca="1" si="50"/>
        <v>-1.7854344780856559E-3</v>
      </c>
    </row>
    <row r="2422" spans="6:7" x14ac:dyDescent="0.3">
      <c r="F2422" s="124">
        <v>2416</v>
      </c>
      <c r="G2422" s="33">
        <f t="shared" ca="1" si="50"/>
        <v>2.2108557466967043E-3</v>
      </c>
    </row>
    <row r="2423" spans="6:7" x14ac:dyDescent="0.3">
      <c r="F2423" s="124">
        <v>2417</v>
      </c>
      <c r="G2423" s="33">
        <f t="shared" ca="1" si="50"/>
        <v>-7.8665949258461279E-2</v>
      </c>
    </row>
    <row r="2424" spans="6:7" x14ac:dyDescent="0.3">
      <c r="F2424" s="124">
        <v>2418</v>
      </c>
      <c r="G2424" s="33">
        <f t="shared" ca="1" si="50"/>
        <v>1.6216110678037975E-2</v>
      </c>
    </row>
    <row r="2425" spans="6:7" x14ac:dyDescent="0.3">
      <c r="F2425" s="124">
        <v>2419</v>
      </c>
      <c r="G2425" s="33">
        <f t="shared" ca="1" si="50"/>
        <v>4.9149267326721747E-3</v>
      </c>
    </row>
    <row r="2426" spans="6:7" x14ac:dyDescent="0.3">
      <c r="F2426" s="124">
        <v>2420</v>
      </c>
      <c r="G2426" s="33">
        <f t="shared" ca="1" si="50"/>
        <v>-3.7111806974068053E-2</v>
      </c>
    </row>
    <row r="2427" spans="6:7" x14ac:dyDescent="0.3">
      <c r="F2427" s="124">
        <v>2421</v>
      </c>
      <c r="G2427" s="33">
        <f t="shared" ca="1" si="50"/>
        <v>-3.4330291879193175E-2</v>
      </c>
    </row>
    <row r="2428" spans="6:7" x14ac:dyDescent="0.3">
      <c r="F2428" s="124">
        <v>2422</v>
      </c>
      <c r="G2428" s="33">
        <f t="shared" ca="1" si="50"/>
        <v>6.1945398741099535E-2</v>
      </c>
    </row>
    <row r="2429" spans="6:7" x14ac:dyDescent="0.3">
      <c r="F2429" s="124">
        <v>2423</v>
      </c>
      <c r="G2429" s="33">
        <f t="shared" ca="1" si="50"/>
        <v>-4.9006141946493817E-2</v>
      </c>
    </row>
    <row r="2430" spans="6:7" x14ac:dyDescent="0.3">
      <c r="F2430" s="124">
        <v>2424</v>
      </c>
      <c r="G2430" s="33">
        <f t="shared" ca="1" si="50"/>
        <v>-3.4131473600503892E-2</v>
      </c>
    </row>
    <row r="2431" spans="6:7" x14ac:dyDescent="0.3">
      <c r="F2431" s="124">
        <v>2425</v>
      </c>
      <c r="G2431" s="33">
        <f t="shared" ca="1" si="50"/>
        <v>1.160159868427884E-2</v>
      </c>
    </row>
    <row r="2432" spans="6:7" x14ac:dyDescent="0.3">
      <c r="F2432" s="124">
        <v>2426</v>
      </c>
      <c r="G2432" s="33">
        <f t="shared" ca="1" si="50"/>
        <v>-8.7968302496334479E-3</v>
      </c>
    </row>
    <row r="2433" spans="6:7" x14ac:dyDescent="0.3">
      <c r="F2433" s="124">
        <v>2427</v>
      </c>
      <c r="G2433" s="33">
        <f t="shared" ca="1" si="50"/>
        <v>-1.4922304396493984E-2</v>
      </c>
    </row>
    <row r="2434" spans="6:7" x14ac:dyDescent="0.3">
      <c r="F2434" s="124">
        <v>2428</v>
      </c>
      <c r="G2434" s="33">
        <f t="shared" ca="1" si="50"/>
        <v>6.9026789502272562E-2</v>
      </c>
    </row>
    <row r="2435" spans="6:7" x14ac:dyDescent="0.3">
      <c r="F2435" s="124">
        <v>2429</v>
      </c>
      <c r="G2435" s="33">
        <f t="shared" ca="1" si="50"/>
        <v>4.3121665715921541E-2</v>
      </c>
    </row>
    <row r="2436" spans="6:7" x14ac:dyDescent="0.3">
      <c r="F2436" s="124">
        <v>2430</v>
      </c>
      <c r="G2436" s="33">
        <f t="shared" ca="1" si="50"/>
        <v>3.6483834434118567E-2</v>
      </c>
    </row>
    <row r="2437" spans="6:7" x14ac:dyDescent="0.3">
      <c r="F2437" s="124">
        <v>2431</v>
      </c>
      <c r="G2437" s="33">
        <f t="shared" ca="1" si="50"/>
        <v>-1.5196395078827356E-2</v>
      </c>
    </row>
    <row r="2438" spans="6:7" x14ac:dyDescent="0.3">
      <c r="F2438" s="124">
        <v>2432</v>
      </c>
      <c r="G2438" s="33">
        <f t="shared" ca="1" si="50"/>
        <v>6.5500723242057184E-3</v>
      </c>
    </row>
    <row r="2439" spans="6:7" x14ac:dyDescent="0.3">
      <c r="F2439" s="124">
        <v>2433</v>
      </c>
      <c r="G2439" s="33">
        <f t="shared" ca="1" si="50"/>
        <v>-4.183828902062961E-2</v>
      </c>
    </row>
    <row r="2440" spans="6:7" x14ac:dyDescent="0.3">
      <c r="F2440" s="124">
        <v>2434</v>
      </c>
      <c r="G2440" s="33">
        <f t="shared" ref="G2440:G2503" ca="1" si="51">_xlfn.NORM.INV(RAND(),$M$9,$M$10)</f>
        <v>-1.4936538518979282E-2</v>
      </c>
    </row>
    <row r="2441" spans="6:7" x14ac:dyDescent="0.3">
      <c r="F2441" s="124">
        <v>2435</v>
      </c>
      <c r="G2441" s="33">
        <f t="shared" ca="1" si="51"/>
        <v>2.6998545966978222E-2</v>
      </c>
    </row>
    <row r="2442" spans="6:7" x14ac:dyDescent="0.3">
      <c r="F2442" s="124">
        <v>2436</v>
      </c>
      <c r="G2442" s="33">
        <f t="shared" ca="1" si="51"/>
        <v>3.7563919282061799E-2</v>
      </c>
    </row>
    <row r="2443" spans="6:7" x14ac:dyDescent="0.3">
      <c r="F2443" s="124">
        <v>2437</v>
      </c>
      <c r="G2443" s="33">
        <f t="shared" ca="1" si="51"/>
        <v>-4.3146383364042834E-2</v>
      </c>
    </row>
    <row r="2444" spans="6:7" x14ac:dyDescent="0.3">
      <c r="F2444" s="124">
        <v>2438</v>
      </c>
      <c r="G2444" s="33">
        <f t="shared" ca="1" si="51"/>
        <v>-4.0671101825354595E-4</v>
      </c>
    </row>
    <row r="2445" spans="6:7" x14ac:dyDescent="0.3">
      <c r="F2445" s="124">
        <v>2439</v>
      </c>
      <c r="G2445" s="33">
        <f t="shared" ca="1" si="51"/>
        <v>-9.4533342353597541E-4</v>
      </c>
    </row>
    <row r="2446" spans="6:7" x14ac:dyDescent="0.3">
      <c r="F2446" s="124">
        <v>2440</v>
      </c>
      <c r="G2446" s="33">
        <f t="shared" ca="1" si="51"/>
        <v>1.0998540156845839E-2</v>
      </c>
    </row>
    <row r="2447" spans="6:7" x14ac:dyDescent="0.3">
      <c r="F2447" s="124">
        <v>2441</v>
      </c>
      <c r="G2447" s="33">
        <f t="shared" ca="1" si="51"/>
        <v>1.1193961226493868E-2</v>
      </c>
    </row>
    <row r="2448" spans="6:7" x14ac:dyDescent="0.3">
      <c r="F2448" s="124">
        <v>2442</v>
      </c>
      <c r="G2448" s="33">
        <f t="shared" ca="1" si="51"/>
        <v>2.5682035850808502E-2</v>
      </c>
    </row>
    <row r="2449" spans="6:7" x14ac:dyDescent="0.3">
      <c r="F2449" s="124">
        <v>2443</v>
      </c>
      <c r="G2449" s="33">
        <f t="shared" ca="1" si="51"/>
        <v>-2.9311251554293887E-3</v>
      </c>
    </row>
    <row r="2450" spans="6:7" x14ac:dyDescent="0.3">
      <c r="F2450" s="124">
        <v>2444</v>
      </c>
      <c r="G2450" s="33">
        <f t="shared" ca="1" si="51"/>
        <v>-6.4805650631304473E-2</v>
      </c>
    </row>
    <row r="2451" spans="6:7" x14ac:dyDescent="0.3">
      <c r="F2451" s="124">
        <v>2445</v>
      </c>
      <c r="G2451" s="33">
        <f t="shared" ca="1" si="51"/>
        <v>3.8290541146353628E-2</v>
      </c>
    </row>
    <row r="2452" spans="6:7" x14ac:dyDescent="0.3">
      <c r="F2452" s="124">
        <v>2446</v>
      </c>
      <c r="G2452" s="33">
        <f t="shared" ca="1" si="51"/>
        <v>-2.9030389513354314E-2</v>
      </c>
    </row>
    <row r="2453" spans="6:7" x14ac:dyDescent="0.3">
      <c r="F2453" s="124">
        <v>2447</v>
      </c>
      <c r="G2453" s="33">
        <f t="shared" ca="1" si="51"/>
        <v>-5.6754051272224625E-2</v>
      </c>
    </row>
    <row r="2454" spans="6:7" x14ac:dyDescent="0.3">
      <c r="F2454" s="124">
        <v>2448</v>
      </c>
      <c r="G2454" s="33">
        <f t="shared" ca="1" si="51"/>
        <v>-2.8653733761334942E-3</v>
      </c>
    </row>
    <row r="2455" spans="6:7" x14ac:dyDescent="0.3">
      <c r="F2455" s="124">
        <v>2449</v>
      </c>
      <c r="G2455" s="33">
        <f t="shared" ca="1" si="51"/>
        <v>8.6262354282128756E-4</v>
      </c>
    </row>
    <row r="2456" spans="6:7" x14ac:dyDescent="0.3">
      <c r="F2456" s="124">
        <v>2450</v>
      </c>
      <c r="G2456" s="33">
        <f t="shared" ca="1" si="51"/>
        <v>1.5929617912169E-2</v>
      </c>
    </row>
    <row r="2457" spans="6:7" x14ac:dyDescent="0.3">
      <c r="F2457" s="124">
        <v>2451</v>
      </c>
      <c r="G2457" s="33">
        <f t="shared" ca="1" si="51"/>
        <v>3.7616829639413206E-3</v>
      </c>
    </row>
    <row r="2458" spans="6:7" x14ac:dyDescent="0.3">
      <c r="F2458" s="124">
        <v>2452</v>
      </c>
      <c r="G2458" s="33">
        <f t="shared" ca="1" si="51"/>
        <v>2.2455226578464681E-3</v>
      </c>
    </row>
    <row r="2459" spans="6:7" x14ac:dyDescent="0.3">
      <c r="F2459" s="124">
        <v>2453</v>
      </c>
      <c r="G2459" s="33">
        <f t="shared" ca="1" si="51"/>
        <v>-9.7185095705825189E-3</v>
      </c>
    </row>
    <row r="2460" spans="6:7" x14ac:dyDescent="0.3">
      <c r="F2460" s="124">
        <v>2454</v>
      </c>
      <c r="G2460" s="33">
        <f t="shared" ca="1" si="51"/>
        <v>5.1126162055900801E-3</v>
      </c>
    </row>
    <row r="2461" spans="6:7" x14ac:dyDescent="0.3">
      <c r="F2461" s="124">
        <v>2455</v>
      </c>
      <c r="G2461" s="33">
        <f t="shared" ca="1" si="51"/>
        <v>1.2340046066528162E-2</v>
      </c>
    </row>
    <row r="2462" spans="6:7" x14ac:dyDescent="0.3">
      <c r="F2462" s="124">
        <v>2456</v>
      </c>
      <c r="G2462" s="33">
        <f t="shared" ca="1" si="51"/>
        <v>-2.4744661181374188E-2</v>
      </c>
    </row>
    <row r="2463" spans="6:7" x14ac:dyDescent="0.3">
      <c r="F2463" s="124">
        <v>2457</v>
      </c>
      <c r="G2463" s="33">
        <f t="shared" ca="1" si="51"/>
        <v>-9.4743536806716662E-3</v>
      </c>
    </row>
    <row r="2464" spans="6:7" x14ac:dyDescent="0.3">
      <c r="F2464" s="124">
        <v>2458</v>
      </c>
      <c r="G2464" s="33">
        <f t="shared" ca="1" si="51"/>
        <v>4.2265590161555781E-3</v>
      </c>
    </row>
    <row r="2465" spans="6:7" x14ac:dyDescent="0.3">
      <c r="F2465" s="124">
        <v>2459</v>
      </c>
      <c r="G2465" s="33">
        <f t="shared" ca="1" si="51"/>
        <v>-3.995742457775623E-2</v>
      </c>
    </row>
    <row r="2466" spans="6:7" x14ac:dyDescent="0.3">
      <c r="F2466" s="124">
        <v>2460</v>
      </c>
      <c r="G2466" s="33">
        <f t="shared" ca="1" si="51"/>
        <v>9.9419552726449117E-2</v>
      </c>
    </row>
    <row r="2467" spans="6:7" x14ac:dyDescent="0.3">
      <c r="F2467" s="124">
        <v>2461</v>
      </c>
      <c r="G2467" s="33">
        <f t="shared" ca="1" si="51"/>
        <v>7.871478373760123E-3</v>
      </c>
    </row>
    <row r="2468" spans="6:7" x14ac:dyDescent="0.3">
      <c r="F2468" s="124">
        <v>2462</v>
      </c>
      <c r="G2468" s="33">
        <f t="shared" ca="1" si="51"/>
        <v>-3.345522906675065E-2</v>
      </c>
    </row>
    <row r="2469" spans="6:7" x14ac:dyDescent="0.3">
      <c r="F2469" s="124">
        <v>2463</v>
      </c>
      <c r="G2469" s="33">
        <f t="shared" ca="1" si="51"/>
        <v>4.0590063602830316E-2</v>
      </c>
    </row>
    <row r="2470" spans="6:7" x14ac:dyDescent="0.3">
      <c r="F2470" s="124">
        <v>2464</v>
      </c>
      <c r="G2470" s="33">
        <f t="shared" ca="1" si="51"/>
        <v>4.1691519489443302E-2</v>
      </c>
    </row>
    <row r="2471" spans="6:7" x14ac:dyDescent="0.3">
      <c r="F2471" s="124">
        <v>2465</v>
      </c>
      <c r="G2471" s="33">
        <f t="shared" ca="1" si="51"/>
        <v>-7.7920706261973083E-3</v>
      </c>
    </row>
    <row r="2472" spans="6:7" x14ac:dyDescent="0.3">
      <c r="F2472" s="124">
        <v>2466</v>
      </c>
      <c r="G2472" s="33">
        <f t="shared" ca="1" si="51"/>
        <v>5.5548129357662707E-2</v>
      </c>
    </row>
    <row r="2473" spans="6:7" x14ac:dyDescent="0.3">
      <c r="F2473" s="124">
        <v>2467</v>
      </c>
      <c r="G2473" s="33">
        <f t="shared" ca="1" si="51"/>
        <v>-7.1096581895253889E-3</v>
      </c>
    </row>
    <row r="2474" spans="6:7" x14ac:dyDescent="0.3">
      <c r="F2474" s="124">
        <v>2468</v>
      </c>
      <c r="G2474" s="33">
        <f t="shared" ca="1" si="51"/>
        <v>7.5947781897707206E-2</v>
      </c>
    </row>
    <row r="2475" spans="6:7" x14ac:dyDescent="0.3">
      <c r="F2475" s="124">
        <v>2469</v>
      </c>
      <c r="G2475" s="33">
        <f t="shared" ca="1" si="51"/>
        <v>-2.8015486032819704E-3</v>
      </c>
    </row>
    <row r="2476" spans="6:7" x14ac:dyDescent="0.3">
      <c r="F2476" s="124">
        <v>2470</v>
      </c>
      <c r="G2476" s="33">
        <f t="shared" ca="1" si="51"/>
        <v>-1.00126208376266E-2</v>
      </c>
    </row>
    <row r="2477" spans="6:7" x14ac:dyDescent="0.3">
      <c r="F2477" s="124">
        <v>2471</v>
      </c>
      <c r="G2477" s="33">
        <f t="shared" ca="1" si="51"/>
        <v>-3.0242927424021116E-3</v>
      </c>
    </row>
    <row r="2478" spans="6:7" x14ac:dyDescent="0.3">
      <c r="F2478" s="124">
        <v>2472</v>
      </c>
      <c r="G2478" s="33">
        <f t="shared" ca="1" si="51"/>
        <v>-3.927182156380498E-2</v>
      </c>
    </row>
    <row r="2479" spans="6:7" x14ac:dyDescent="0.3">
      <c r="F2479" s="124">
        <v>2473</v>
      </c>
      <c r="G2479" s="33">
        <f t="shared" ca="1" si="51"/>
        <v>-3.7678394206239203E-2</v>
      </c>
    </row>
    <row r="2480" spans="6:7" x14ac:dyDescent="0.3">
      <c r="F2480" s="124">
        <v>2474</v>
      </c>
      <c r="G2480" s="33">
        <f t="shared" ca="1" si="51"/>
        <v>-5.5615842482041822E-2</v>
      </c>
    </row>
    <row r="2481" spans="6:7" x14ac:dyDescent="0.3">
      <c r="F2481" s="124">
        <v>2475</v>
      </c>
      <c r="G2481" s="33">
        <f t="shared" ca="1" si="51"/>
        <v>6.1120983336679938E-2</v>
      </c>
    </row>
    <row r="2482" spans="6:7" x14ac:dyDescent="0.3">
      <c r="F2482" s="124">
        <v>2476</v>
      </c>
      <c r="G2482" s="33">
        <f t="shared" ca="1" si="51"/>
        <v>1.6175591945776311E-2</v>
      </c>
    </row>
    <row r="2483" spans="6:7" x14ac:dyDescent="0.3">
      <c r="F2483" s="124">
        <v>2477</v>
      </c>
      <c r="G2483" s="33">
        <f t="shared" ca="1" si="51"/>
        <v>-1.1253487732340639E-2</v>
      </c>
    </row>
    <row r="2484" spans="6:7" x14ac:dyDescent="0.3">
      <c r="F2484" s="124">
        <v>2478</v>
      </c>
      <c r="G2484" s="33">
        <f t="shared" ca="1" si="51"/>
        <v>-3.0637533123911796E-3</v>
      </c>
    </row>
    <row r="2485" spans="6:7" x14ac:dyDescent="0.3">
      <c r="F2485" s="124">
        <v>2479</v>
      </c>
      <c r="G2485" s="33">
        <f t="shared" ca="1" si="51"/>
        <v>-1.7125407339926868E-3</v>
      </c>
    </row>
    <row r="2486" spans="6:7" x14ac:dyDescent="0.3">
      <c r="F2486" s="124">
        <v>2480</v>
      </c>
      <c r="G2486" s="33">
        <f t="shared" ca="1" si="51"/>
        <v>3.0860353695991025E-2</v>
      </c>
    </row>
    <row r="2487" spans="6:7" x14ac:dyDescent="0.3">
      <c r="F2487" s="124">
        <v>2481</v>
      </c>
      <c r="G2487" s="33">
        <f t="shared" ca="1" si="51"/>
        <v>2.0331914730225071E-2</v>
      </c>
    </row>
    <row r="2488" spans="6:7" x14ac:dyDescent="0.3">
      <c r="F2488" s="124">
        <v>2482</v>
      </c>
      <c r="G2488" s="33">
        <f t="shared" ca="1" si="51"/>
        <v>-6.4249832796173306E-3</v>
      </c>
    </row>
    <row r="2489" spans="6:7" x14ac:dyDescent="0.3">
      <c r="F2489" s="124">
        <v>2483</v>
      </c>
      <c r="G2489" s="33">
        <f t="shared" ca="1" si="51"/>
        <v>-7.3591669373683347E-2</v>
      </c>
    </row>
    <row r="2490" spans="6:7" x14ac:dyDescent="0.3">
      <c r="F2490" s="124">
        <v>2484</v>
      </c>
      <c r="G2490" s="33">
        <f t="shared" ca="1" si="51"/>
        <v>3.2752291949014342E-2</v>
      </c>
    </row>
    <row r="2491" spans="6:7" x14ac:dyDescent="0.3">
      <c r="F2491" s="124">
        <v>2485</v>
      </c>
      <c r="G2491" s="33">
        <f t="shared" ca="1" si="51"/>
        <v>-3.8569985672958097E-3</v>
      </c>
    </row>
    <row r="2492" spans="6:7" x14ac:dyDescent="0.3">
      <c r="F2492" s="124">
        <v>2486</v>
      </c>
      <c r="G2492" s="33">
        <f t="shared" ca="1" si="51"/>
        <v>-4.369990001383104E-2</v>
      </c>
    </row>
    <row r="2493" spans="6:7" x14ac:dyDescent="0.3">
      <c r="F2493" s="124">
        <v>2487</v>
      </c>
      <c r="G2493" s="33">
        <f t="shared" ca="1" si="51"/>
        <v>-1.7975465348422207E-2</v>
      </c>
    </row>
    <row r="2494" spans="6:7" x14ac:dyDescent="0.3">
      <c r="F2494" s="124">
        <v>2488</v>
      </c>
      <c r="G2494" s="33">
        <f t="shared" ca="1" si="51"/>
        <v>2.8882136215177899E-2</v>
      </c>
    </row>
    <row r="2495" spans="6:7" x14ac:dyDescent="0.3">
      <c r="F2495" s="124">
        <v>2489</v>
      </c>
      <c r="G2495" s="33">
        <f t="shared" ca="1" si="51"/>
        <v>1.0157473530019456E-2</v>
      </c>
    </row>
    <row r="2496" spans="6:7" x14ac:dyDescent="0.3">
      <c r="F2496" s="124">
        <v>2490</v>
      </c>
      <c r="G2496" s="33">
        <f t="shared" ca="1" si="51"/>
        <v>-2.1687476003730147E-4</v>
      </c>
    </row>
    <row r="2497" spans="6:7" x14ac:dyDescent="0.3">
      <c r="F2497" s="124">
        <v>2491</v>
      </c>
      <c r="G2497" s="33">
        <f t="shared" ca="1" si="51"/>
        <v>6.0254413542772327E-2</v>
      </c>
    </row>
    <row r="2498" spans="6:7" x14ac:dyDescent="0.3">
      <c r="F2498" s="124">
        <v>2492</v>
      </c>
      <c r="G2498" s="33">
        <f t="shared" ca="1" si="51"/>
        <v>-5.883333599115901E-2</v>
      </c>
    </row>
    <row r="2499" spans="6:7" x14ac:dyDescent="0.3">
      <c r="F2499" s="124">
        <v>2493</v>
      </c>
      <c r="G2499" s="33">
        <f t="shared" ca="1" si="51"/>
        <v>-2.122817394423299E-2</v>
      </c>
    </row>
    <row r="2500" spans="6:7" x14ac:dyDescent="0.3">
      <c r="F2500" s="124">
        <v>2494</v>
      </c>
      <c r="G2500" s="33">
        <f t="shared" ca="1" si="51"/>
        <v>-1.7273817607359184E-2</v>
      </c>
    </row>
    <row r="2501" spans="6:7" x14ac:dyDescent="0.3">
      <c r="F2501" s="124">
        <v>2495</v>
      </c>
      <c r="G2501" s="33">
        <f t="shared" ca="1" si="51"/>
        <v>-1.2100677650277881E-2</v>
      </c>
    </row>
    <row r="2502" spans="6:7" x14ac:dyDescent="0.3">
      <c r="F2502" s="124">
        <v>2496</v>
      </c>
      <c r="G2502" s="33">
        <f t="shared" ca="1" si="51"/>
        <v>-5.9466762338147381E-3</v>
      </c>
    </row>
    <row r="2503" spans="6:7" x14ac:dyDescent="0.3">
      <c r="F2503" s="124">
        <v>2497</v>
      </c>
      <c r="G2503" s="33">
        <f t="shared" ca="1" si="51"/>
        <v>-6.6935587318312792E-3</v>
      </c>
    </row>
    <row r="2504" spans="6:7" x14ac:dyDescent="0.3">
      <c r="F2504" s="124">
        <v>2498</v>
      </c>
      <c r="G2504" s="33">
        <f t="shared" ref="G2504:G2567" ca="1" si="52">_xlfn.NORM.INV(RAND(),$M$9,$M$10)</f>
        <v>-1.9672527669814723E-2</v>
      </c>
    </row>
    <row r="2505" spans="6:7" x14ac:dyDescent="0.3">
      <c r="F2505" s="124">
        <v>2499</v>
      </c>
      <c r="G2505" s="33">
        <f t="shared" ca="1" si="52"/>
        <v>-4.1594541977999624E-2</v>
      </c>
    </row>
    <row r="2506" spans="6:7" x14ac:dyDescent="0.3">
      <c r="F2506" s="124">
        <v>2500</v>
      </c>
      <c r="G2506" s="33">
        <f t="shared" ca="1" si="52"/>
        <v>2.0586342010722085E-3</v>
      </c>
    </row>
    <row r="2507" spans="6:7" x14ac:dyDescent="0.3">
      <c r="F2507" s="124">
        <v>2501</v>
      </c>
      <c r="G2507" s="33">
        <f t="shared" ca="1" si="52"/>
        <v>2.7099437795232172E-2</v>
      </c>
    </row>
    <row r="2508" spans="6:7" x14ac:dyDescent="0.3">
      <c r="F2508" s="124">
        <v>2502</v>
      </c>
      <c r="G2508" s="33">
        <f t="shared" ca="1" si="52"/>
        <v>6.552174810509713E-2</v>
      </c>
    </row>
    <row r="2509" spans="6:7" x14ac:dyDescent="0.3">
      <c r="F2509" s="124">
        <v>2503</v>
      </c>
      <c r="G2509" s="33">
        <f t="shared" ca="1" si="52"/>
        <v>-1.8436358440725581E-2</v>
      </c>
    </row>
    <row r="2510" spans="6:7" x14ac:dyDescent="0.3">
      <c r="F2510" s="124">
        <v>2504</v>
      </c>
      <c r="G2510" s="33">
        <f t="shared" ca="1" si="52"/>
        <v>-3.5062844245066484E-2</v>
      </c>
    </row>
    <row r="2511" spans="6:7" x14ac:dyDescent="0.3">
      <c r="F2511" s="124">
        <v>2505</v>
      </c>
      <c r="G2511" s="33">
        <f t="shared" ca="1" si="52"/>
        <v>4.9709773344288777E-2</v>
      </c>
    </row>
    <row r="2512" spans="6:7" x14ac:dyDescent="0.3">
      <c r="F2512" s="124">
        <v>2506</v>
      </c>
      <c r="G2512" s="33">
        <f t="shared" ca="1" si="52"/>
        <v>2.9404638179940299E-2</v>
      </c>
    </row>
    <row r="2513" spans="6:7" x14ac:dyDescent="0.3">
      <c r="F2513" s="124">
        <v>2507</v>
      </c>
      <c r="G2513" s="33">
        <f t="shared" ca="1" si="52"/>
        <v>-3.0105742223935977E-4</v>
      </c>
    </row>
    <row r="2514" spans="6:7" x14ac:dyDescent="0.3">
      <c r="F2514" s="124">
        <v>2508</v>
      </c>
      <c r="G2514" s="33">
        <f t="shared" ca="1" si="52"/>
        <v>-9.9715963026318737E-3</v>
      </c>
    </row>
    <row r="2515" spans="6:7" x14ac:dyDescent="0.3">
      <c r="F2515" s="124">
        <v>2509</v>
      </c>
      <c r="G2515" s="33">
        <f t="shared" ca="1" si="52"/>
        <v>2.5900074488702726E-3</v>
      </c>
    </row>
    <row r="2516" spans="6:7" x14ac:dyDescent="0.3">
      <c r="F2516" s="124">
        <v>2510</v>
      </c>
      <c r="G2516" s="33">
        <f t="shared" ca="1" si="52"/>
        <v>-5.6538864044029573E-2</v>
      </c>
    </row>
    <row r="2517" spans="6:7" x14ac:dyDescent="0.3">
      <c r="F2517" s="124">
        <v>2511</v>
      </c>
      <c r="G2517" s="33">
        <f t="shared" ca="1" si="52"/>
        <v>4.1246559209021885E-2</v>
      </c>
    </row>
    <row r="2518" spans="6:7" x14ac:dyDescent="0.3">
      <c r="F2518" s="124">
        <v>2512</v>
      </c>
      <c r="G2518" s="33">
        <f t="shared" ca="1" si="52"/>
        <v>-8.9446904159972002E-3</v>
      </c>
    </row>
    <row r="2519" spans="6:7" x14ac:dyDescent="0.3">
      <c r="F2519" s="124">
        <v>2513</v>
      </c>
      <c r="G2519" s="33">
        <f t="shared" ca="1" si="52"/>
        <v>3.1796183855061583E-2</v>
      </c>
    </row>
    <row r="2520" spans="6:7" x14ac:dyDescent="0.3">
      <c r="F2520" s="124">
        <v>2514</v>
      </c>
      <c r="G2520" s="33">
        <f t="shared" ca="1" si="52"/>
        <v>-3.9478828822857937E-3</v>
      </c>
    </row>
    <row r="2521" spans="6:7" x14ac:dyDescent="0.3">
      <c r="F2521" s="124">
        <v>2515</v>
      </c>
      <c r="G2521" s="33">
        <f t="shared" ca="1" si="52"/>
        <v>5.3300354042648893E-3</v>
      </c>
    </row>
    <row r="2522" spans="6:7" x14ac:dyDescent="0.3">
      <c r="F2522" s="124">
        <v>2516</v>
      </c>
      <c r="G2522" s="33">
        <f t="shared" ca="1" si="52"/>
        <v>-2.2768921482680858E-2</v>
      </c>
    </row>
    <row r="2523" spans="6:7" x14ac:dyDescent="0.3">
      <c r="F2523" s="124">
        <v>2517</v>
      </c>
      <c r="G2523" s="33">
        <f t="shared" ca="1" si="52"/>
        <v>-6.587502454256859E-4</v>
      </c>
    </row>
    <row r="2524" spans="6:7" x14ac:dyDescent="0.3">
      <c r="F2524" s="124">
        <v>2518</v>
      </c>
      <c r="G2524" s="33">
        <f t="shared" ca="1" si="52"/>
        <v>1.0121457477943602E-2</v>
      </c>
    </row>
    <row r="2525" spans="6:7" x14ac:dyDescent="0.3">
      <c r="F2525" s="124">
        <v>2519</v>
      </c>
      <c r="G2525" s="33">
        <f t="shared" ca="1" si="52"/>
        <v>9.7400557266485055E-2</v>
      </c>
    </row>
    <row r="2526" spans="6:7" x14ac:dyDescent="0.3">
      <c r="F2526" s="124">
        <v>2520</v>
      </c>
      <c r="G2526" s="33">
        <f t="shared" ca="1" si="52"/>
        <v>-2.6380335050375785E-2</v>
      </c>
    </row>
    <row r="2527" spans="6:7" x14ac:dyDescent="0.3">
      <c r="F2527" s="124">
        <v>2521</v>
      </c>
      <c r="G2527" s="33">
        <f t="shared" ca="1" si="52"/>
        <v>6.9323093797814556E-3</v>
      </c>
    </row>
    <row r="2528" spans="6:7" x14ac:dyDescent="0.3">
      <c r="F2528" s="124">
        <v>2522</v>
      </c>
      <c r="G2528" s="33">
        <f t="shared" ca="1" si="52"/>
        <v>6.8055035583896185E-3</v>
      </c>
    </row>
    <row r="2529" spans="6:7" x14ac:dyDescent="0.3">
      <c r="F2529" s="124">
        <v>2523</v>
      </c>
      <c r="G2529" s="33">
        <f t="shared" ca="1" si="52"/>
        <v>2.2023559554946615E-2</v>
      </c>
    </row>
    <row r="2530" spans="6:7" x14ac:dyDescent="0.3">
      <c r="F2530" s="124">
        <v>2524</v>
      </c>
      <c r="G2530" s="33">
        <f t="shared" ca="1" si="52"/>
        <v>-5.9712468152273053E-3</v>
      </c>
    </row>
    <row r="2531" spans="6:7" x14ac:dyDescent="0.3">
      <c r="F2531" s="124">
        <v>2525</v>
      </c>
      <c r="G2531" s="33">
        <f t="shared" ca="1" si="52"/>
        <v>-3.5819492512235108E-3</v>
      </c>
    </row>
    <row r="2532" spans="6:7" x14ac:dyDescent="0.3">
      <c r="F2532" s="124">
        <v>2526</v>
      </c>
      <c r="G2532" s="33">
        <f t="shared" ca="1" si="52"/>
        <v>3.2410634198547908E-2</v>
      </c>
    </row>
    <row r="2533" spans="6:7" x14ac:dyDescent="0.3">
      <c r="F2533" s="124">
        <v>2527</v>
      </c>
      <c r="G2533" s="33">
        <f t="shared" ca="1" si="52"/>
        <v>1.2373211264824956E-2</v>
      </c>
    </row>
    <row r="2534" spans="6:7" x14ac:dyDescent="0.3">
      <c r="F2534" s="124">
        <v>2528</v>
      </c>
      <c r="G2534" s="33">
        <f t="shared" ca="1" si="52"/>
        <v>4.2804119087372451E-2</v>
      </c>
    </row>
    <row r="2535" spans="6:7" x14ac:dyDescent="0.3">
      <c r="F2535" s="124">
        <v>2529</v>
      </c>
      <c r="G2535" s="33">
        <f t="shared" ca="1" si="52"/>
        <v>-3.8853944855084935E-2</v>
      </c>
    </row>
    <row r="2536" spans="6:7" x14ac:dyDescent="0.3">
      <c r="F2536" s="124">
        <v>2530</v>
      </c>
      <c r="G2536" s="33">
        <f t="shared" ca="1" si="52"/>
        <v>1.9123280871109212E-2</v>
      </c>
    </row>
    <row r="2537" spans="6:7" x14ac:dyDescent="0.3">
      <c r="F2537" s="124">
        <v>2531</v>
      </c>
      <c r="G2537" s="33">
        <f t="shared" ca="1" si="52"/>
        <v>-7.8681770000723732E-3</v>
      </c>
    </row>
    <row r="2538" spans="6:7" x14ac:dyDescent="0.3">
      <c r="F2538" s="124">
        <v>2532</v>
      </c>
      <c r="G2538" s="33">
        <f t="shared" ca="1" si="52"/>
        <v>5.2240139908513068E-3</v>
      </c>
    </row>
    <row r="2539" spans="6:7" x14ac:dyDescent="0.3">
      <c r="F2539" s="124">
        <v>2533</v>
      </c>
      <c r="G2539" s="33">
        <f t="shared" ca="1" si="52"/>
        <v>1.0878408964371752E-2</v>
      </c>
    </row>
    <row r="2540" spans="6:7" x14ac:dyDescent="0.3">
      <c r="F2540" s="124">
        <v>2534</v>
      </c>
      <c r="G2540" s="33">
        <f t="shared" ca="1" si="52"/>
        <v>-2.4933987181918289E-3</v>
      </c>
    </row>
    <row r="2541" spans="6:7" x14ac:dyDescent="0.3">
      <c r="F2541" s="124">
        <v>2535</v>
      </c>
      <c r="G2541" s="33">
        <f t="shared" ca="1" si="52"/>
        <v>1.5435260758346735E-2</v>
      </c>
    </row>
    <row r="2542" spans="6:7" x14ac:dyDescent="0.3">
      <c r="F2542" s="124">
        <v>2536</v>
      </c>
      <c r="G2542" s="33">
        <f t="shared" ca="1" si="52"/>
        <v>3.811559387094008E-2</v>
      </c>
    </row>
    <row r="2543" spans="6:7" x14ac:dyDescent="0.3">
      <c r="F2543" s="124">
        <v>2537</v>
      </c>
      <c r="G2543" s="33">
        <f t="shared" ca="1" si="52"/>
        <v>4.5595758047880033E-3</v>
      </c>
    </row>
    <row r="2544" spans="6:7" x14ac:dyDescent="0.3">
      <c r="F2544" s="124">
        <v>2538</v>
      </c>
      <c r="G2544" s="33">
        <f t="shared" ca="1" si="52"/>
        <v>-2.5276816997557988E-2</v>
      </c>
    </row>
    <row r="2545" spans="6:7" x14ac:dyDescent="0.3">
      <c r="F2545" s="124">
        <v>2539</v>
      </c>
      <c r="G2545" s="33">
        <f t="shared" ca="1" si="52"/>
        <v>-1.4787051115111187E-2</v>
      </c>
    </row>
    <row r="2546" spans="6:7" x14ac:dyDescent="0.3">
      <c r="F2546" s="124">
        <v>2540</v>
      </c>
      <c r="G2546" s="33">
        <f t="shared" ca="1" si="52"/>
        <v>-7.4141507711239604E-2</v>
      </c>
    </row>
    <row r="2547" spans="6:7" x14ac:dyDescent="0.3">
      <c r="F2547" s="124">
        <v>2541</v>
      </c>
      <c r="G2547" s="33">
        <f t="shared" ca="1" si="52"/>
        <v>-9.5335483266611523E-3</v>
      </c>
    </row>
    <row r="2548" spans="6:7" x14ac:dyDescent="0.3">
      <c r="F2548" s="124">
        <v>2542</v>
      </c>
      <c r="G2548" s="33">
        <f t="shared" ca="1" si="52"/>
        <v>8.8346499191639047E-3</v>
      </c>
    </row>
    <row r="2549" spans="6:7" x14ac:dyDescent="0.3">
      <c r="F2549" s="124">
        <v>2543</v>
      </c>
      <c r="G2549" s="33">
        <f t="shared" ca="1" si="52"/>
        <v>-9.2648432999104281E-3</v>
      </c>
    </row>
    <row r="2550" spans="6:7" x14ac:dyDescent="0.3">
      <c r="F2550" s="124">
        <v>2544</v>
      </c>
      <c r="G2550" s="33">
        <f t="shared" ca="1" si="52"/>
        <v>-2.7235911348645744E-3</v>
      </c>
    </row>
    <row r="2551" spans="6:7" x14ac:dyDescent="0.3">
      <c r="F2551" s="124">
        <v>2545</v>
      </c>
      <c r="G2551" s="33">
        <f t="shared" ca="1" si="52"/>
        <v>1.8893721717777652E-2</v>
      </c>
    </row>
    <row r="2552" spans="6:7" x14ac:dyDescent="0.3">
      <c r="F2552" s="124">
        <v>2546</v>
      </c>
      <c r="G2552" s="33">
        <f t="shared" ca="1" si="52"/>
        <v>2.4050406208601018E-3</v>
      </c>
    </row>
    <row r="2553" spans="6:7" x14ac:dyDescent="0.3">
      <c r="F2553" s="124">
        <v>2547</v>
      </c>
      <c r="G2553" s="33">
        <f t="shared" ca="1" si="52"/>
        <v>6.2647739742440339E-2</v>
      </c>
    </row>
    <row r="2554" spans="6:7" x14ac:dyDescent="0.3">
      <c r="F2554" s="124">
        <v>2548</v>
      </c>
      <c r="G2554" s="33">
        <f t="shared" ca="1" si="52"/>
        <v>-3.3749862987415856E-2</v>
      </c>
    </row>
    <row r="2555" spans="6:7" x14ac:dyDescent="0.3">
      <c r="F2555" s="124">
        <v>2549</v>
      </c>
      <c r="G2555" s="33">
        <f t="shared" ca="1" si="52"/>
        <v>-7.1021789851160146E-3</v>
      </c>
    </row>
    <row r="2556" spans="6:7" x14ac:dyDescent="0.3">
      <c r="F2556" s="124">
        <v>2550</v>
      </c>
      <c r="G2556" s="33">
        <f t="shared" ca="1" si="52"/>
        <v>-1.3377948252442557E-2</v>
      </c>
    </row>
    <row r="2557" spans="6:7" x14ac:dyDescent="0.3">
      <c r="F2557" s="124">
        <v>2551</v>
      </c>
      <c r="G2557" s="33">
        <f t="shared" ca="1" si="52"/>
        <v>1.5929446627700784E-2</v>
      </c>
    </row>
    <row r="2558" spans="6:7" x14ac:dyDescent="0.3">
      <c r="F2558" s="124">
        <v>2552</v>
      </c>
      <c r="G2558" s="33">
        <f t="shared" ca="1" si="52"/>
        <v>-8.7889149236597269E-3</v>
      </c>
    </row>
    <row r="2559" spans="6:7" x14ac:dyDescent="0.3">
      <c r="F2559" s="124">
        <v>2553</v>
      </c>
      <c r="G2559" s="33">
        <f t="shared" ca="1" si="52"/>
        <v>6.8660182527193359E-2</v>
      </c>
    </row>
    <row r="2560" spans="6:7" x14ac:dyDescent="0.3">
      <c r="F2560" s="124">
        <v>2554</v>
      </c>
      <c r="G2560" s="33">
        <f t="shared" ca="1" si="52"/>
        <v>-5.238244250060882E-2</v>
      </c>
    </row>
    <row r="2561" spans="6:7" x14ac:dyDescent="0.3">
      <c r="F2561" s="124">
        <v>2555</v>
      </c>
      <c r="G2561" s="33">
        <f t="shared" ca="1" si="52"/>
        <v>-2.7664865950368295E-2</v>
      </c>
    </row>
    <row r="2562" spans="6:7" x14ac:dyDescent="0.3">
      <c r="F2562" s="124">
        <v>2556</v>
      </c>
      <c r="G2562" s="33">
        <f t="shared" ca="1" si="52"/>
        <v>2.3956527025440943E-2</v>
      </c>
    </row>
    <row r="2563" spans="6:7" x14ac:dyDescent="0.3">
      <c r="F2563" s="124">
        <v>2557</v>
      </c>
      <c r="G2563" s="33">
        <f t="shared" ca="1" si="52"/>
        <v>2.520502376713659E-2</v>
      </c>
    </row>
    <row r="2564" spans="6:7" x14ac:dyDescent="0.3">
      <c r="F2564" s="124">
        <v>2558</v>
      </c>
      <c r="G2564" s="33">
        <f t="shared" ca="1" si="52"/>
        <v>2.0060526715722247E-2</v>
      </c>
    </row>
    <row r="2565" spans="6:7" x14ac:dyDescent="0.3">
      <c r="F2565" s="124">
        <v>2559</v>
      </c>
      <c r="G2565" s="33">
        <f t="shared" ca="1" si="52"/>
        <v>3.7923509996938456E-2</v>
      </c>
    </row>
    <row r="2566" spans="6:7" x14ac:dyDescent="0.3">
      <c r="F2566" s="124">
        <v>2560</v>
      </c>
      <c r="G2566" s="33">
        <f t="shared" ca="1" si="52"/>
        <v>-3.9338425109816937E-2</v>
      </c>
    </row>
    <row r="2567" spans="6:7" x14ac:dyDescent="0.3">
      <c r="F2567" s="124">
        <v>2561</v>
      </c>
      <c r="G2567" s="33">
        <f t="shared" ca="1" si="52"/>
        <v>-2.3793341924010464E-2</v>
      </c>
    </row>
    <row r="2568" spans="6:7" x14ac:dyDescent="0.3">
      <c r="F2568" s="124">
        <v>2562</v>
      </c>
      <c r="G2568" s="33">
        <f t="shared" ref="G2568:G2631" ca="1" si="53">_xlfn.NORM.INV(RAND(),$M$9,$M$10)</f>
        <v>-5.7939316595205889E-2</v>
      </c>
    </row>
    <row r="2569" spans="6:7" x14ac:dyDescent="0.3">
      <c r="F2569" s="124">
        <v>2563</v>
      </c>
      <c r="G2569" s="33">
        <f t="shared" ca="1" si="53"/>
        <v>3.8425475422962062E-2</v>
      </c>
    </row>
    <row r="2570" spans="6:7" x14ac:dyDescent="0.3">
      <c r="F2570" s="124">
        <v>2564</v>
      </c>
      <c r="G2570" s="33">
        <f t="shared" ca="1" si="53"/>
        <v>-4.3173006357952314E-2</v>
      </c>
    </row>
    <row r="2571" spans="6:7" x14ac:dyDescent="0.3">
      <c r="F2571" s="124">
        <v>2565</v>
      </c>
      <c r="G2571" s="33">
        <f t="shared" ca="1" si="53"/>
        <v>1.5867261989618821E-2</v>
      </c>
    </row>
    <row r="2572" spans="6:7" x14ac:dyDescent="0.3">
      <c r="F2572" s="124">
        <v>2566</v>
      </c>
      <c r="G2572" s="33">
        <f t="shared" ca="1" si="53"/>
        <v>-3.9412783485559072E-2</v>
      </c>
    </row>
    <row r="2573" spans="6:7" x14ac:dyDescent="0.3">
      <c r="F2573" s="124">
        <v>2567</v>
      </c>
      <c r="G2573" s="33">
        <f t="shared" ca="1" si="53"/>
        <v>-1.9245978349325499E-2</v>
      </c>
    </row>
    <row r="2574" spans="6:7" x14ac:dyDescent="0.3">
      <c r="F2574" s="124">
        <v>2568</v>
      </c>
      <c r="G2574" s="33">
        <f t="shared" ca="1" si="53"/>
        <v>-2.4524133451807473E-2</v>
      </c>
    </row>
    <row r="2575" spans="6:7" x14ac:dyDescent="0.3">
      <c r="F2575" s="124">
        <v>2569</v>
      </c>
      <c r="G2575" s="33">
        <f t="shared" ca="1" si="53"/>
        <v>3.4367598412243291E-3</v>
      </c>
    </row>
    <row r="2576" spans="6:7" x14ac:dyDescent="0.3">
      <c r="F2576" s="124">
        <v>2570</v>
      </c>
      <c r="G2576" s="33">
        <f t="shared" ca="1" si="53"/>
        <v>6.1612601230892287E-2</v>
      </c>
    </row>
    <row r="2577" spans="6:7" x14ac:dyDescent="0.3">
      <c r="F2577" s="124">
        <v>2571</v>
      </c>
      <c r="G2577" s="33">
        <f t="shared" ca="1" si="53"/>
        <v>-1.6168523863311746E-2</v>
      </c>
    </row>
    <row r="2578" spans="6:7" x14ac:dyDescent="0.3">
      <c r="F2578" s="124">
        <v>2572</v>
      </c>
      <c r="G2578" s="33">
        <f t="shared" ca="1" si="53"/>
        <v>-7.3309568052475002E-2</v>
      </c>
    </row>
    <row r="2579" spans="6:7" x14ac:dyDescent="0.3">
      <c r="F2579" s="124">
        <v>2573</v>
      </c>
      <c r="G2579" s="33">
        <f t="shared" ca="1" si="53"/>
        <v>-2.6086763130939938E-2</v>
      </c>
    </row>
    <row r="2580" spans="6:7" x14ac:dyDescent="0.3">
      <c r="F2580" s="124">
        <v>2574</v>
      </c>
      <c r="G2580" s="33">
        <f t="shared" ca="1" si="53"/>
        <v>8.5460982317325518E-3</v>
      </c>
    </row>
    <row r="2581" spans="6:7" x14ac:dyDescent="0.3">
      <c r="F2581" s="124">
        <v>2575</v>
      </c>
      <c r="G2581" s="33">
        <f t="shared" ca="1" si="53"/>
        <v>2.6892834899338025E-2</v>
      </c>
    </row>
    <row r="2582" spans="6:7" x14ac:dyDescent="0.3">
      <c r="F2582" s="124">
        <v>2576</v>
      </c>
      <c r="G2582" s="33">
        <f t="shared" ca="1" si="53"/>
        <v>-1.6552002351078843E-2</v>
      </c>
    </row>
    <row r="2583" spans="6:7" x14ac:dyDescent="0.3">
      <c r="F2583" s="124">
        <v>2577</v>
      </c>
      <c r="G2583" s="33">
        <f t="shared" ca="1" si="53"/>
        <v>8.6644115970380079E-3</v>
      </c>
    </row>
    <row r="2584" spans="6:7" x14ac:dyDescent="0.3">
      <c r="F2584" s="124">
        <v>2578</v>
      </c>
      <c r="G2584" s="33">
        <f t="shared" ca="1" si="53"/>
        <v>-3.7726707339955104E-2</v>
      </c>
    </row>
    <row r="2585" spans="6:7" x14ac:dyDescent="0.3">
      <c r="F2585" s="124">
        <v>2579</v>
      </c>
      <c r="G2585" s="33">
        <f t="shared" ca="1" si="53"/>
        <v>-9.6420135881937659E-3</v>
      </c>
    </row>
    <row r="2586" spans="6:7" x14ac:dyDescent="0.3">
      <c r="F2586" s="124">
        <v>2580</v>
      </c>
      <c r="G2586" s="33">
        <f t="shared" ca="1" si="53"/>
        <v>1.8340554061790193E-2</v>
      </c>
    </row>
    <row r="2587" spans="6:7" x14ac:dyDescent="0.3">
      <c r="F2587" s="124">
        <v>2581</v>
      </c>
      <c r="G2587" s="33">
        <f t="shared" ca="1" si="53"/>
        <v>-1.0861684008554133E-2</v>
      </c>
    </row>
    <row r="2588" spans="6:7" x14ac:dyDescent="0.3">
      <c r="F2588" s="124">
        <v>2582</v>
      </c>
      <c r="G2588" s="33">
        <f t="shared" ca="1" si="53"/>
        <v>-8.4508652793019549E-3</v>
      </c>
    </row>
    <row r="2589" spans="6:7" x14ac:dyDescent="0.3">
      <c r="F2589" s="124">
        <v>2583</v>
      </c>
      <c r="G2589" s="33">
        <f t="shared" ca="1" si="53"/>
        <v>3.7188961344672831E-2</v>
      </c>
    </row>
    <row r="2590" spans="6:7" x14ac:dyDescent="0.3">
      <c r="F2590" s="124">
        <v>2584</v>
      </c>
      <c r="G2590" s="33">
        <f t="shared" ca="1" si="53"/>
        <v>-4.2254680911792859E-3</v>
      </c>
    </row>
    <row r="2591" spans="6:7" x14ac:dyDescent="0.3">
      <c r="F2591" s="124">
        <v>2585</v>
      </c>
      <c r="G2591" s="33">
        <f t="shared" ca="1" si="53"/>
        <v>-3.3566148284191799E-2</v>
      </c>
    </row>
    <row r="2592" spans="6:7" x14ac:dyDescent="0.3">
      <c r="F2592" s="124">
        <v>2586</v>
      </c>
      <c r="G2592" s="33">
        <f t="shared" ca="1" si="53"/>
        <v>-3.5772613974567609E-2</v>
      </c>
    </row>
    <row r="2593" spans="6:7" x14ac:dyDescent="0.3">
      <c r="F2593" s="124">
        <v>2587</v>
      </c>
      <c r="G2593" s="33">
        <f t="shared" ca="1" si="53"/>
        <v>4.8140593063960832E-2</v>
      </c>
    </row>
    <row r="2594" spans="6:7" x14ac:dyDescent="0.3">
      <c r="F2594" s="124">
        <v>2588</v>
      </c>
      <c r="G2594" s="33">
        <f t="shared" ca="1" si="53"/>
        <v>1.4779283779634004E-2</v>
      </c>
    </row>
    <row r="2595" spans="6:7" x14ac:dyDescent="0.3">
      <c r="F2595" s="124">
        <v>2589</v>
      </c>
      <c r="G2595" s="33">
        <f t="shared" ca="1" si="53"/>
        <v>-2.2977464881863155E-2</v>
      </c>
    </row>
    <row r="2596" spans="6:7" x14ac:dyDescent="0.3">
      <c r="F2596" s="124">
        <v>2590</v>
      </c>
      <c r="G2596" s="33">
        <f t="shared" ca="1" si="53"/>
        <v>-8.671781194747933E-3</v>
      </c>
    </row>
    <row r="2597" spans="6:7" x14ac:dyDescent="0.3">
      <c r="F2597" s="124">
        <v>2591</v>
      </c>
      <c r="G2597" s="33">
        <f t="shared" ca="1" si="53"/>
        <v>1.8164150089276944E-2</v>
      </c>
    </row>
    <row r="2598" spans="6:7" x14ac:dyDescent="0.3">
      <c r="F2598" s="124">
        <v>2592</v>
      </c>
      <c r="G2598" s="33">
        <f t="shared" ca="1" si="53"/>
        <v>5.0383915659954568E-3</v>
      </c>
    </row>
    <row r="2599" spans="6:7" x14ac:dyDescent="0.3">
      <c r="F2599" s="124">
        <v>2593</v>
      </c>
      <c r="G2599" s="33">
        <f t="shared" ca="1" si="53"/>
        <v>-1.6451014675351846E-3</v>
      </c>
    </row>
    <row r="2600" spans="6:7" x14ac:dyDescent="0.3">
      <c r="F2600" s="124">
        <v>2594</v>
      </c>
      <c r="G2600" s="33">
        <f t="shared" ca="1" si="53"/>
        <v>-3.750744417147925E-3</v>
      </c>
    </row>
    <row r="2601" spans="6:7" x14ac:dyDescent="0.3">
      <c r="F2601" s="124">
        <v>2595</v>
      </c>
      <c r="G2601" s="33">
        <f t="shared" ca="1" si="53"/>
        <v>-1.7459219347797074E-2</v>
      </c>
    </row>
    <row r="2602" spans="6:7" x14ac:dyDescent="0.3">
      <c r="F2602" s="124">
        <v>2596</v>
      </c>
      <c r="G2602" s="33">
        <f t="shared" ca="1" si="53"/>
        <v>8.4060921471099531E-2</v>
      </c>
    </row>
    <row r="2603" spans="6:7" x14ac:dyDescent="0.3">
      <c r="F2603" s="124">
        <v>2597</v>
      </c>
      <c r="G2603" s="33">
        <f t="shared" ca="1" si="53"/>
        <v>4.5234266453926648E-2</v>
      </c>
    </row>
    <row r="2604" spans="6:7" x14ac:dyDescent="0.3">
      <c r="F2604" s="124">
        <v>2598</v>
      </c>
      <c r="G2604" s="33">
        <f t="shared" ca="1" si="53"/>
        <v>2.5586645864702939E-2</v>
      </c>
    </row>
    <row r="2605" spans="6:7" x14ac:dyDescent="0.3">
      <c r="F2605" s="124">
        <v>2599</v>
      </c>
      <c r="G2605" s="33">
        <f t="shared" ca="1" si="53"/>
        <v>-6.4997116572886204E-2</v>
      </c>
    </row>
    <row r="2606" spans="6:7" x14ac:dyDescent="0.3">
      <c r="F2606" s="124">
        <v>2600</v>
      </c>
      <c r="G2606" s="33">
        <f t="shared" ca="1" si="53"/>
        <v>1.3766363563011533E-2</v>
      </c>
    </row>
    <row r="2607" spans="6:7" x14ac:dyDescent="0.3">
      <c r="F2607" s="124">
        <v>2601</v>
      </c>
      <c r="G2607" s="33">
        <f t="shared" ca="1" si="53"/>
        <v>-9.5307435702679487E-3</v>
      </c>
    </row>
    <row r="2608" spans="6:7" x14ac:dyDescent="0.3">
      <c r="F2608" s="124">
        <v>2602</v>
      </c>
      <c r="G2608" s="33">
        <f t="shared" ca="1" si="53"/>
        <v>-3.4839407909042122E-2</v>
      </c>
    </row>
    <row r="2609" spans="6:7" x14ac:dyDescent="0.3">
      <c r="F2609" s="124">
        <v>2603</v>
      </c>
      <c r="G2609" s="33">
        <f t="shared" ca="1" si="53"/>
        <v>-1.0807847034581135E-2</v>
      </c>
    </row>
    <row r="2610" spans="6:7" x14ac:dyDescent="0.3">
      <c r="F2610" s="124">
        <v>2604</v>
      </c>
      <c r="G2610" s="33">
        <f t="shared" ca="1" si="53"/>
        <v>4.9569528307879362E-2</v>
      </c>
    </row>
    <row r="2611" spans="6:7" x14ac:dyDescent="0.3">
      <c r="F2611" s="124">
        <v>2605</v>
      </c>
      <c r="G2611" s="33">
        <f t="shared" ca="1" si="53"/>
        <v>3.9477036655927125E-2</v>
      </c>
    </row>
    <row r="2612" spans="6:7" x14ac:dyDescent="0.3">
      <c r="F2612" s="124">
        <v>2606</v>
      </c>
      <c r="G2612" s="33">
        <f t="shared" ca="1" si="53"/>
        <v>1.4993817617938377E-2</v>
      </c>
    </row>
    <row r="2613" spans="6:7" x14ac:dyDescent="0.3">
      <c r="F2613" s="124">
        <v>2607</v>
      </c>
      <c r="G2613" s="33">
        <f t="shared" ca="1" si="53"/>
        <v>-6.8287302108758869E-3</v>
      </c>
    </row>
    <row r="2614" spans="6:7" x14ac:dyDescent="0.3">
      <c r="F2614" s="124">
        <v>2608</v>
      </c>
      <c r="G2614" s="33">
        <f t="shared" ca="1" si="53"/>
        <v>-3.0359990917906341E-2</v>
      </c>
    </row>
    <row r="2615" spans="6:7" x14ac:dyDescent="0.3">
      <c r="F2615" s="124">
        <v>2609</v>
      </c>
      <c r="G2615" s="33">
        <f t="shared" ca="1" si="53"/>
        <v>-1.8635379067103884E-4</v>
      </c>
    </row>
    <row r="2616" spans="6:7" x14ac:dyDescent="0.3">
      <c r="F2616" s="124">
        <v>2610</v>
      </c>
      <c r="G2616" s="33">
        <f t="shared" ca="1" si="53"/>
        <v>3.2689412661188508E-2</v>
      </c>
    </row>
    <row r="2617" spans="6:7" x14ac:dyDescent="0.3">
      <c r="F2617" s="124">
        <v>2611</v>
      </c>
      <c r="G2617" s="33">
        <f t="shared" ca="1" si="53"/>
        <v>-2.5571608420605369E-2</v>
      </c>
    </row>
    <row r="2618" spans="6:7" x14ac:dyDescent="0.3">
      <c r="F2618" s="124">
        <v>2612</v>
      </c>
      <c r="G2618" s="33">
        <f t="shared" ca="1" si="53"/>
        <v>-2.1831296713723143E-2</v>
      </c>
    </row>
    <row r="2619" spans="6:7" x14ac:dyDescent="0.3">
      <c r="F2619" s="124">
        <v>2613</v>
      </c>
      <c r="G2619" s="33">
        <f t="shared" ca="1" si="53"/>
        <v>1.9409823837098555E-3</v>
      </c>
    </row>
    <row r="2620" spans="6:7" x14ac:dyDescent="0.3">
      <c r="F2620" s="124">
        <v>2614</v>
      </c>
      <c r="G2620" s="33">
        <f t="shared" ca="1" si="53"/>
        <v>6.0360085169843369E-2</v>
      </c>
    </row>
    <row r="2621" spans="6:7" x14ac:dyDescent="0.3">
      <c r="F2621" s="124">
        <v>2615</v>
      </c>
      <c r="G2621" s="33">
        <f t="shared" ca="1" si="53"/>
        <v>-2.764224131451876E-2</v>
      </c>
    </row>
    <row r="2622" spans="6:7" x14ac:dyDescent="0.3">
      <c r="F2622" s="124">
        <v>2616</v>
      </c>
      <c r="G2622" s="33">
        <f t="shared" ca="1" si="53"/>
        <v>2.599387986051583E-2</v>
      </c>
    </row>
    <row r="2623" spans="6:7" x14ac:dyDescent="0.3">
      <c r="F2623" s="124">
        <v>2617</v>
      </c>
      <c r="G2623" s="33">
        <f t="shared" ca="1" si="53"/>
        <v>-3.8895798982656882E-2</v>
      </c>
    </row>
    <row r="2624" spans="6:7" x14ac:dyDescent="0.3">
      <c r="F2624" s="124">
        <v>2618</v>
      </c>
      <c r="G2624" s="33">
        <f t="shared" ca="1" si="53"/>
        <v>-4.7362072279648913E-2</v>
      </c>
    </row>
    <row r="2625" spans="6:7" x14ac:dyDescent="0.3">
      <c r="F2625" s="124">
        <v>2619</v>
      </c>
      <c r="G2625" s="33">
        <f t="shared" ca="1" si="53"/>
        <v>-2.569860233496379E-2</v>
      </c>
    </row>
    <row r="2626" spans="6:7" x14ac:dyDescent="0.3">
      <c r="F2626" s="124">
        <v>2620</v>
      </c>
      <c r="G2626" s="33">
        <f t="shared" ca="1" si="53"/>
        <v>2.7533355317560661E-2</v>
      </c>
    </row>
    <row r="2627" spans="6:7" x14ac:dyDescent="0.3">
      <c r="F2627" s="124">
        <v>2621</v>
      </c>
      <c r="G2627" s="33">
        <f t="shared" ca="1" si="53"/>
        <v>1.4691455263582998E-2</v>
      </c>
    </row>
    <row r="2628" spans="6:7" x14ac:dyDescent="0.3">
      <c r="F2628" s="124">
        <v>2622</v>
      </c>
      <c r="G2628" s="33">
        <f t="shared" ca="1" si="53"/>
        <v>-1.0851118380210713E-2</v>
      </c>
    </row>
    <row r="2629" spans="6:7" x14ac:dyDescent="0.3">
      <c r="F2629" s="124">
        <v>2623</v>
      </c>
      <c r="G2629" s="33">
        <f t="shared" ca="1" si="53"/>
        <v>2.2055502537846862E-2</v>
      </c>
    </row>
    <row r="2630" spans="6:7" x14ac:dyDescent="0.3">
      <c r="F2630" s="124">
        <v>2624</v>
      </c>
      <c r="G2630" s="33">
        <f t="shared" ca="1" si="53"/>
        <v>1.2494118496656419E-2</v>
      </c>
    </row>
    <row r="2631" spans="6:7" x14ac:dyDescent="0.3">
      <c r="F2631" s="124">
        <v>2625</v>
      </c>
      <c r="G2631" s="33">
        <f t="shared" ca="1" si="53"/>
        <v>-4.1655556780613702E-2</v>
      </c>
    </row>
    <row r="2632" spans="6:7" x14ac:dyDescent="0.3">
      <c r="F2632" s="124">
        <v>2626</v>
      </c>
      <c r="G2632" s="33">
        <f t="shared" ref="G2632:G2695" ca="1" si="54">_xlfn.NORM.INV(RAND(),$M$9,$M$10)</f>
        <v>-7.6717031906381461E-2</v>
      </c>
    </row>
    <row r="2633" spans="6:7" x14ac:dyDescent="0.3">
      <c r="F2633" s="124">
        <v>2627</v>
      </c>
      <c r="G2633" s="33">
        <f t="shared" ca="1" si="54"/>
        <v>1.5974142023381037E-2</v>
      </c>
    </row>
    <row r="2634" spans="6:7" x14ac:dyDescent="0.3">
      <c r="F2634" s="124">
        <v>2628</v>
      </c>
      <c r="G2634" s="33">
        <f t="shared" ca="1" si="54"/>
        <v>2.9616431941853625E-2</v>
      </c>
    </row>
    <row r="2635" spans="6:7" x14ac:dyDescent="0.3">
      <c r="F2635" s="124">
        <v>2629</v>
      </c>
      <c r="G2635" s="33">
        <f t="shared" ca="1" si="54"/>
        <v>3.2447578374807724E-2</v>
      </c>
    </row>
    <row r="2636" spans="6:7" x14ac:dyDescent="0.3">
      <c r="F2636" s="124">
        <v>2630</v>
      </c>
      <c r="G2636" s="33">
        <f t="shared" ca="1" si="54"/>
        <v>1.5930586911487694E-2</v>
      </c>
    </row>
    <row r="2637" spans="6:7" x14ac:dyDescent="0.3">
      <c r="F2637" s="124">
        <v>2631</v>
      </c>
      <c r="G2637" s="33">
        <f t="shared" ca="1" si="54"/>
        <v>4.2351424581247937E-2</v>
      </c>
    </row>
    <row r="2638" spans="6:7" x14ac:dyDescent="0.3">
      <c r="F2638" s="124">
        <v>2632</v>
      </c>
      <c r="G2638" s="33">
        <f t="shared" ca="1" si="54"/>
        <v>1.0309899265821806E-2</v>
      </c>
    </row>
    <row r="2639" spans="6:7" x14ac:dyDescent="0.3">
      <c r="F2639" s="124">
        <v>2633</v>
      </c>
      <c r="G2639" s="33">
        <f t="shared" ca="1" si="54"/>
        <v>-3.2213100959359638E-3</v>
      </c>
    </row>
    <row r="2640" spans="6:7" x14ac:dyDescent="0.3">
      <c r="F2640" s="124">
        <v>2634</v>
      </c>
      <c r="G2640" s="33">
        <f t="shared" ca="1" si="54"/>
        <v>-1.12545112079745E-2</v>
      </c>
    </row>
    <row r="2641" spans="6:7" x14ac:dyDescent="0.3">
      <c r="F2641" s="124">
        <v>2635</v>
      </c>
      <c r="G2641" s="33">
        <f t="shared" ca="1" si="54"/>
        <v>-3.8494596703465993E-2</v>
      </c>
    </row>
    <row r="2642" spans="6:7" x14ac:dyDescent="0.3">
      <c r="F2642" s="124">
        <v>2636</v>
      </c>
      <c r="G2642" s="33">
        <f t="shared" ca="1" si="54"/>
        <v>1.1219766339733078E-2</v>
      </c>
    </row>
    <row r="2643" spans="6:7" x14ac:dyDescent="0.3">
      <c r="F2643" s="124">
        <v>2637</v>
      </c>
      <c r="G2643" s="33">
        <f t="shared" ca="1" si="54"/>
        <v>2.8610983700617286E-2</v>
      </c>
    </row>
    <row r="2644" spans="6:7" x14ac:dyDescent="0.3">
      <c r="F2644" s="124">
        <v>2638</v>
      </c>
      <c r="G2644" s="33">
        <f t="shared" ca="1" si="54"/>
        <v>1.8480875537043653E-2</v>
      </c>
    </row>
    <row r="2645" spans="6:7" x14ac:dyDescent="0.3">
      <c r="F2645" s="124">
        <v>2639</v>
      </c>
      <c r="G2645" s="33">
        <f t="shared" ca="1" si="54"/>
        <v>2.3104799038346845E-2</v>
      </c>
    </row>
    <row r="2646" spans="6:7" x14ac:dyDescent="0.3">
      <c r="F2646" s="124">
        <v>2640</v>
      </c>
      <c r="G2646" s="33">
        <f t="shared" ca="1" si="54"/>
        <v>7.9701321020586198E-3</v>
      </c>
    </row>
    <row r="2647" spans="6:7" x14ac:dyDescent="0.3">
      <c r="F2647" s="124">
        <v>2641</v>
      </c>
      <c r="G2647" s="33">
        <f t="shared" ca="1" si="54"/>
        <v>3.5107030515006486E-2</v>
      </c>
    </row>
    <row r="2648" spans="6:7" x14ac:dyDescent="0.3">
      <c r="F2648" s="124">
        <v>2642</v>
      </c>
      <c r="G2648" s="33">
        <f t="shared" ca="1" si="54"/>
        <v>-3.2837605258643633E-2</v>
      </c>
    </row>
    <row r="2649" spans="6:7" x14ac:dyDescent="0.3">
      <c r="F2649" s="124">
        <v>2643</v>
      </c>
      <c r="G2649" s="33">
        <f t="shared" ca="1" si="54"/>
        <v>-4.6573239591650752E-2</v>
      </c>
    </row>
    <row r="2650" spans="6:7" x14ac:dyDescent="0.3">
      <c r="F2650" s="124">
        <v>2644</v>
      </c>
      <c r="G2650" s="33">
        <f t="shared" ca="1" si="54"/>
        <v>3.1493810712976871E-3</v>
      </c>
    </row>
    <row r="2651" spans="6:7" x14ac:dyDescent="0.3">
      <c r="F2651" s="124">
        <v>2645</v>
      </c>
      <c r="G2651" s="33">
        <f t="shared" ca="1" si="54"/>
        <v>1.0571862322309153E-2</v>
      </c>
    </row>
    <row r="2652" spans="6:7" x14ac:dyDescent="0.3">
      <c r="F2652" s="124">
        <v>2646</v>
      </c>
      <c r="G2652" s="33">
        <f t="shared" ca="1" si="54"/>
        <v>-1.2187517987228738E-2</v>
      </c>
    </row>
    <row r="2653" spans="6:7" x14ac:dyDescent="0.3">
      <c r="F2653" s="124">
        <v>2647</v>
      </c>
      <c r="G2653" s="33">
        <f t="shared" ca="1" si="54"/>
        <v>3.8884574796267495E-2</v>
      </c>
    </row>
    <row r="2654" spans="6:7" x14ac:dyDescent="0.3">
      <c r="F2654" s="124">
        <v>2648</v>
      </c>
      <c r="G2654" s="33">
        <f t="shared" ca="1" si="54"/>
        <v>4.1893822388607317E-3</v>
      </c>
    </row>
    <row r="2655" spans="6:7" x14ac:dyDescent="0.3">
      <c r="F2655" s="124">
        <v>2649</v>
      </c>
      <c r="G2655" s="33">
        <f t="shared" ca="1" si="54"/>
        <v>-2.3955086500885105E-2</v>
      </c>
    </row>
    <row r="2656" spans="6:7" x14ac:dyDescent="0.3">
      <c r="F2656" s="124">
        <v>2650</v>
      </c>
      <c r="G2656" s="33">
        <f t="shared" ca="1" si="54"/>
        <v>-2.5116040950719329E-2</v>
      </c>
    </row>
    <row r="2657" spans="6:7" x14ac:dyDescent="0.3">
      <c r="F2657" s="124">
        <v>2651</v>
      </c>
      <c r="G2657" s="33">
        <f t="shared" ca="1" si="54"/>
        <v>3.1049303849231828E-2</v>
      </c>
    </row>
    <row r="2658" spans="6:7" x14ac:dyDescent="0.3">
      <c r="F2658" s="124">
        <v>2652</v>
      </c>
      <c r="G2658" s="33">
        <f t="shared" ca="1" si="54"/>
        <v>2.5438637760098286E-2</v>
      </c>
    </row>
    <row r="2659" spans="6:7" x14ac:dyDescent="0.3">
      <c r="F2659" s="124">
        <v>2653</v>
      </c>
      <c r="G2659" s="33">
        <f t="shared" ca="1" si="54"/>
        <v>4.9201327924368592E-2</v>
      </c>
    </row>
    <row r="2660" spans="6:7" x14ac:dyDescent="0.3">
      <c r="F2660" s="124">
        <v>2654</v>
      </c>
      <c r="G2660" s="33">
        <f t="shared" ca="1" si="54"/>
        <v>1.7328051485522997E-2</v>
      </c>
    </row>
    <row r="2661" spans="6:7" x14ac:dyDescent="0.3">
      <c r="F2661" s="124">
        <v>2655</v>
      </c>
      <c r="G2661" s="33">
        <f t="shared" ca="1" si="54"/>
        <v>-9.67091770176862E-3</v>
      </c>
    </row>
    <row r="2662" spans="6:7" x14ac:dyDescent="0.3">
      <c r="F2662" s="124">
        <v>2656</v>
      </c>
      <c r="G2662" s="33">
        <f t="shared" ca="1" si="54"/>
        <v>-1.0129601428306899E-2</v>
      </c>
    </row>
    <row r="2663" spans="6:7" x14ac:dyDescent="0.3">
      <c r="F2663" s="124">
        <v>2657</v>
      </c>
      <c r="G2663" s="33">
        <f t="shared" ca="1" si="54"/>
        <v>-1.8521958813620971E-3</v>
      </c>
    </row>
    <row r="2664" spans="6:7" x14ac:dyDescent="0.3">
      <c r="F2664" s="124">
        <v>2658</v>
      </c>
      <c r="G2664" s="33">
        <f t="shared" ca="1" si="54"/>
        <v>-3.3998964401079912E-3</v>
      </c>
    </row>
    <row r="2665" spans="6:7" x14ac:dyDescent="0.3">
      <c r="F2665" s="124">
        <v>2659</v>
      </c>
      <c r="G2665" s="33">
        <f t="shared" ca="1" si="54"/>
        <v>3.1392270922441026E-2</v>
      </c>
    </row>
    <row r="2666" spans="6:7" x14ac:dyDescent="0.3">
      <c r="F2666" s="124">
        <v>2660</v>
      </c>
      <c r="G2666" s="33">
        <f t="shared" ca="1" si="54"/>
        <v>-1.7884063892703257E-2</v>
      </c>
    </row>
    <row r="2667" spans="6:7" x14ac:dyDescent="0.3">
      <c r="F2667" s="124">
        <v>2661</v>
      </c>
      <c r="G2667" s="33">
        <f t="shared" ca="1" si="54"/>
        <v>-1.5935992151879564E-2</v>
      </c>
    </row>
    <row r="2668" spans="6:7" x14ac:dyDescent="0.3">
      <c r="F2668" s="124">
        <v>2662</v>
      </c>
      <c r="G2668" s="33">
        <f t="shared" ca="1" si="54"/>
        <v>-9.3950389968894057E-3</v>
      </c>
    </row>
    <row r="2669" spans="6:7" x14ac:dyDescent="0.3">
      <c r="F2669" s="124">
        <v>2663</v>
      </c>
      <c r="G2669" s="33">
        <f t="shared" ca="1" si="54"/>
        <v>-2.3499381057292507E-2</v>
      </c>
    </row>
    <row r="2670" spans="6:7" x14ac:dyDescent="0.3">
      <c r="F2670" s="124">
        <v>2664</v>
      </c>
      <c r="G2670" s="33">
        <f t="shared" ca="1" si="54"/>
        <v>8.1432217130705774E-3</v>
      </c>
    </row>
    <row r="2671" spans="6:7" x14ac:dyDescent="0.3">
      <c r="F2671" s="124">
        <v>2665</v>
      </c>
      <c r="G2671" s="33">
        <f t="shared" ca="1" si="54"/>
        <v>-4.0081698623167746E-2</v>
      </c>
    </row>
    <row r="2672" spans="6:7" x14ac:dyDescent="0.3">
      <c r="F2672" s="124">
        <v>2666</v>
      </c>
      <c r="G2672" s="33">
        <f t="shared" ca="1" si="54"/>
        <v>2.5727714879464646E-2</v>
      </c>
    </row>
    <row r="2673" spans="6:7" x14ac:dyDescent="0.3">
      <c r="F2673" s="124">
        <v>2667</v>
      </c>
      <c r="G2673" s="33">
        <f t="shared" ca="1" si="54"/>
        <v>-4.7503856100973262E-2</v>
      </c>
    </row>
    <row r="2674" spans="6:7" x14ac:dyDescent="0.3">
      <c r="F2674" s="124">
        <v>2668</v>
      </c>
      <c r="G2674" s="33">
        <f t="shared" ca="1" si="54"/>
        <v>-1.4941928799337641E-2</v>
      </c>
    </row>
    <row r="2675" spans="6:7" x14ac:dyDescent="0.3">
      <c r="F2675" s="124">
        <v>2669</v>
      </c>
      <c r="G2675" s="33">
        <f t="shared" ca="1" si="54"/>
        <v>-1.7454849346722642E-2</v>
      </c>
    </row>
    <row r="2676" spans="6:7" x14ac:dyDescent="0.3">
      <c r="F2676" s="124">
        <v>2670</v>
      </c>
      <c r="G2676" s="33">
        <f t="shared" ca="1" si="54"/>
        <v>1.4703592198257374E-2</v>
      </c>
    </row>
    <row r="2677" spans="6:7" x14ac:dyDescent="0.3">
      <c r="F2677" s="124">
        <v>2671</v>
      </c>
      <c r="G2677" s="33">
        <f t="shared" ca="1" si="54"/>
        <v>-1.0699015988572855E-2</v>
      </c>
    </row>
    <row r="2678" spans="6:7" x14ac:dyDescent="0.3">
      <c r="F2678" s="124">
        <v>2672</v>
      </c>
      <c r="G2678" s="33">
        <f t="shared" ca="1" si="54"/>
        <v>5.952020821553039E-2</v>
      </c>
    </row>
    <row r="2679" spans="6:7" x14ac:dyDescent="0.3">
      <c r="F2679" s="124">
        <v>2673</v>
      </c>
      <c r="G2679" s="33">
        <f t="shared" ca="1" si="54"/>
        <v>-3.8569598523390834E-2</v>
      </c>
    </row>
    <row r="2680" spans="6:7" x14ac:dyDescent="0.3">
      <c r="F2680" s="124">
        <v>2674</v>
      </c>
      <c r="G2680" s="33">
        <f t="shared" ca="1" si="54"/>
        <v>5.7156293558229522E-2</v>
      </c>
    </row>
    <row r="2681" spans="6:7" x14ac:dyDescent="0.3">
      <c r="F2681" s="124">
        <v>2675</v>
      </c>
      <c r="G2681" s="33">
        <f t="shared" ca="1" si="54"/>
        <v>-8.3804657131311272E-3</v>
      </c>
    </row>
    <row r="2682" spans="6:7" x14ac:dyDescent="0.3">
      <c r="F2682" s="124">
        <v>2676</v>
      </c>
      <c r="G2682" s="33">
        <f t="shared" ca="1" si="54"/>
        <v>4.5775293804668618E-2</v>
      </c>
    </row>
    <row r="2683" spans="6:7" x14ac:dyDescent="0.3">
      <c r="F2683" s="124">
        <v>2677</v>
      </c>
      <c r="G2683" s="33">
        <f t="shared" ca="1" si="54"/>
        <v>5.0965088563176754E-2</v>
      </c>
    </row>
    <row r="2684" spans="6:7" x14ac:dyDescent="0.3">
      <c r="F2684" s="124">
        <v>2678</v>
      </c>
      <c r="G2684" s="33">
        <f t="shared" ca="1" si="54"/>
        <v>1.4173398916177599E-2</v>
      </c>
    </row>
    <row r="2685" spans="6:7" x14ac:dyDescent="0.3">
      <c r="F2685" s="124">
        <v>2679</v>
      </c>
      <c r="G2685" s="33">
        <f t="shared" ca="1" si="54"/>
        <v>3.0717477260554463E-2</v>
      </c>
    </row>
    <row r="2686" spans="6:7" x14ac:dyDescent="0.3">
      <c r="F2686" s="124">
        <v>2680</v>
      </c>
      <c r="G2686" s="33">
        <f t="shared" ca="1" si="54"/>
        <v>-4.9765784220923244E-3</v>
      </c>
    </row>
    <row r="2687" spans="6:7" x14ac:dyDescent="0.3">
      <c r="F2687" s="124">
        <v>2681</v>
      </c>
      <c r="G2687" s="33">
        <f t="shared" ca="1" si="54"/>
        <v>-3.311030119071319E-2</v>
      </c>
    </row>
    <row r="2688" spans="6:7" x14ac:dyDescent="0.3">
      <c r="F2688" s="124">
        <v>2682</v>
      </c>
      <c r="G2688" s="33">
        <f t="shared" ca="1" si="54"/>
        <v>2.1865568060050598E-2</v>
      </c>
    </row>
    <row r="2689" spans="6:7" x14ac:dyDescent="0.3">
      <c r="F2689" s="124">
        <v>2683</v>
      </c>
      <c r="G2689" s="33">
        <f t="shared" ca="1" si="54"/>
        <v>-3.9440858547052385E-2</v>
      </c>
    </row>
    <row r="2690" spans="6:7" x14ac:dyDescent="0.3">
      <c r="F2690" s="124">
        <v>2684</v>
      </c>
      <c r="G2690" s="33">
        <f t="shared" ca="1" si="54"/>
        <v>5.3599920740619398E-3</v>
      </c>
    </row>
    <row r="2691" spans="6:7" x14ac:dyDescent="0.3">
      <c r="F2691" s="124">
        <v>2685</v>
      </c>
      <c r="G2691" s="33">
        <f t="shared" ca="1" si="54"/>
        <v>-5.141559271644891E-3</v>
      </c>
    </row>
    <row r="2692" spans="6:7" x14ac:dyDescent="0.3">
      <c r="F2692" s="124">
        <v>2686</v>
      </c>
      <c r="G2692" s="33">
        <f t="shared" ca="1" si="54"/>
        <v>-3.1302021255378967E-2</v>
      </c>
    </row>
    <row r="2693" spans="6:7" x14ac:dyDescent="0.3">
      <c r="F2693" s="124">
        <v>2687</v>
      </c>
      <c r="G2693" s="33">
        <f t="shared" ca="1" si="54"/>
        <v>2.3453289011679351E-2</v>
      </c>
    </row>
    <row r="2694" spans="6:7" x14ac:dyDescent="0.3">
      <c r="F2694" s="124">
        <v>2688</v>
      </c>
      <c r="G2694" s="33">
        <f t="shared" ca="1" si="54"/>
        <v>1.9575093584094316E-2</v>
      </c>
    </row>
    <row r="2695" spans="6:7" x14ac:dyDescent="0.3">
      <c r="F2695" s="124">
        <v>2689</v>
      </c>
      <c r="G2695" s="33">
        <f t="shared" ca="1" si="54"/>
        <v>-3.2014514283095354E-2</v>
      </c>
    </row>
    <row r="2696" spans="6:7" x14ac:dyDescent="0.3">
      <c r="F2696" s="124">
        <v>2690</v>
      </c>
      <c r="G2696" s="33">
        <f t="shared" ref="G2696:G2759" ca="1" si="55">_xlfn.NORM.INV(RAND(),$M$9,$M$10)</f>
        <v>3.302394784533659E-2</v>
      </c>
    </row>
    <row r="2697" spans="6:7" x14ac:dyDescent="0.3">
      <c r="F2697" s="124">
        <v>2691</v>
      </c>
      <c r="G2697" s="33">
        <f t="shared" ca="1" si="55"/>
        <v>-1.3263210982986294E-2</v>
      </c>
    </row>
    <row r="2698" spans="6:7" x14ac:dyDescent="0.3">
      <c r="F2698" s="124">
        <v>2692</v>
      </c>
      <c r="G2698" s="33">
        <f t="shared" ca="1" si="55"/>
        <v>-3.441257452347516E-2</v>
      </c>
    </row>
    <row r="2699" spans="6:7" x14ac:dyDescent="0.3">
      <c r="F2699" s="124">
        <v>2693</v>
      </c>
      <c r="G2699" s="33">
        <f t="shared" ca="1" si="55"/>
        <v>1.4823737681474375E-4</v>
      </c>
    </row>
    <row r="2700" spans="6:7" x14ac:dyDescent="0.3">
      <c r="F2700" s="124">
        <v>2694</v>
      </c>
      <c r="G2700" s="33">
        <f t="shared" ca="1" si="55"/>
        <v>5.4795648584652884E-2</v>
      </c>
    </row>
    <row r="2701" spans="6:7" x14ac:dyDescent="0.3">
      <c r="F2701" s="124">
        <v>2695</v>
      </c>
      <c r="G2701" s="33">
        <f t="shared" ca="1" si="55"/>
        <v>1.3323145429434736E-2</v>
      </c>
    </row>
    <row r="2702" spans="6:7" x14ac:dyDescent="0.3">
      <c r="F2702" s="124">
        <v>2696</v>
      </c>
      <c r="G2702" s="33">
        <f t="shared" ca="1" si="55"/>
        <v>-3.5379104328779033E-2</v>
      </c>
    </row>
    <row r="2703" spans="6:7" x14ac:dyDescent="0.3">
      <c r="F2703" s="124">
        <v>2697</v>
      </c>
      <c r="G2703" s="33">
        <f t="shared" ca="1" si="55"/>
        <v>-9.7925262650305454E-3</v>
      </c>
    </row>
    <row r="2704" spans="6:7" x14ac:dyDescent="0.3">
      <c r="F2704" s="124">
        <v>2698</v>
      </c>
      <c r="G2704" s="33">
        <f t="shared" ca="1" si="55"/>
        <v>6.5577980510038948E-3</v>
      </c>
    </row>
    <row r="2705" spans="6:7" x14ac:dyDescent="0.3">
      <c r="F2705" s="124">
        <v>2699</v>
      </c>
      <c r="G2705" s="33">
        <f t="shared" ca="1" si="55"/>
        <v>-8.0300459027067284E-3</v>
      </c>
    </row>
    <row r="2706" spans="6:7" x14ac:dyDescent="0.3">
      <c r="F2706" s="124">
        <v>2700</v>
      </c>
      <c r="G2706" s="33">
        <f t="shared" ca="1" si="55"/>
        <v>3.5923731443674979E-2</v>
      </c>
    </row>
    <row r="2707" spans="6:7" x14ac:dyDescent="0.3">
      <c r="F2707" s="124">
        <v>2701</v>
      </c>
      <c r="G2707" s="33">
        <f t="shared" ca="1" si="55"/>
        <v>5.2936219720899777E-2</v>
      </c>
    </row>
    <row r="2708" spans="6:7" x14ac:dyDescent="0.3">
      <c r="F2708" s="124">
        <v>2702</v>
      </c>
      <c r="G2708" s="33">
        <f t="shared" ca="1" si="55"/>
        <v>-1.4118884826882314E-2</v>
      </c>
    </row>
    <row r="2709" spans="6:7" x14ac:dyDescent="0.3">
      <c r="F2709" s="124">
        <v>2703</v>
      </c>
      <c r="G2709" s="33">
        <f t="shared" ca="1" si="55"/>
        <v>1.5183707769138681E-2</v>
      </c>
    </row>
    <row r="2710" spans="6:7" x14ac:dyDescent="0.3">
      <c r="F2710" s="124">
        <v>2704</v>
      </c>
      <c r="G2710" s="33">
        <f t="shared" ca="1" si="55"/>
        <v>-6.0728355897963736E-2</v>
      </c>
    </row>
    <row r="2711" spans="6:7" x14ac:dyDescent="0.3">
      <c r="F2711" s="124">
        <v>2705</v>
      </c>
      <c r="G2711" s="33">
        <f t="shared" ca="1" si="55"/>
        <v>-1.8035129406990216E-2</v>
      </c>
    </row>
    <row r="2712" spans="6:7" x14ac:dyDescent="0.3">
      <c r="F2712" s="124">
        <v>2706</v>
      </c>
      <c r="G2712" s="33">
        <f t="shared" ca="1" si="55"/>
        <v>-3.8421705424725059E-3</v>
      </c>
    </row>
    <row r="2713" spans="6:7" x14ac:dyDescent="0.3">
      <c r="F2713" s="124">
        <v>2707</v>
      </c>
      <c r="G2713" s="33">
        <f t="shared" ca="1" si="55"/>
        <v>4.4586031069370785E-2</v>
      </c>
    </row>
    <row r="2714" spans="6:7" x14ac:dyDescent="0.3">
      <c r="F2714" s="124">
        <v>2708</v>
      </c>
      <c r="G2714" s="33">
        <f t="shared" ca="1" si="55"/>
        <v>4.9485147155258011E-3</v>
      </c>
    </row>
    <row r="2715" spans="6:7" x14ac:dyDescent="0.3">
      <c r="F2715" s="124">
        <v>2709</v>
      </c>
      <c r="G2715" s="33">
        <f t="shared" ca="1" si="55"/>
        <v>3.896181758987502E-2</v>
      </c>
    </row>
    <row r="2716" spans="6:7" x14ac:dyDescent="0.3">
      <c r="F2716" s="124">
        <v>2710</v>
      </c>
      <c r="G2716" s="33">
        <f t="shared" ca="1" si="55"/>
        <v>-1.8060795854947808E-2</v>
      </c>
    </row>
    <row r="2717" spans="6:7" x14ac:dyDescent="0.3">
      <c r="F2717" s="124">
        <v>2711</v>
      </c>
      <c r="G2717" s="33">
        <f t="shared" ca="1" si="55"/>
        <v>-4.6778302088164962E-3</v>
      </c>
    </row>
    <row r="2718" spans="6:7" x14ac:dyDescent="0.3">
      <c r="F2718" s="124">
        <v>2712</v>
      </c>
      <c r="G2718" s="33">
        <f t="shared" ca="1" si="55"/>
        <v>7.2547824017145296E-2</v>
      </c>
    </row>
    <row r="2719" spans="6:7" x14ac:dyDescent="0.3">
      <c r="F2719" s="124">
        <v>2713</v>
      </c>
      <c r="G2719" s="33">
        <f t="shared" ca="1" si="55"/>
        <v>3.4447205581914671E-2</v>
      </c>
    </row>
    <row r="2720" spans="6:7" x14ac:dyDescent="0.3">
      <c r="F2720" s="124">
        <v>2714</v>
      </c>
      <c r="G2720" s="33">
        <f t="shared" ca="1" si="55"/>
        <v>3.9542242791392276E-2</v>
      </c>
    </row>
    <row r="2721" spans="6:7" x14ac:dyDescent="0.3">
      <c r="F2721" s="124">
        <v>2715</v>
      </c>
      <c r="G2721" s="33">
        <f t="shared" ca="1" si="55"/>
        <v>3.6933008696479648E-2</v>
      </c>
    </row>
    <row r="2722" spans="6:7" x14ac:dyDescent="0.3">
      <c r="F2722" s="124">
        <v>2716</v>
      </c>
      <c r="G2722" s="33">
        <f t="shared" ca="1" si="55"/>
        <v>1.6016917097350019E-2</v>
      </c>
    </row>
    <row r="2723" spans="6:7" x14ac:dyDescent="0.3">
      <c r="F2723" s="124">
        <v>2717</v>
      </c>
      <c r="G2723" s="33">
        <f t="shared" ca="1" si="55"/>
        <v>-9.0779082367315779E-3</v>
      </c>
    </row>
    <row r="2724" spans="6:7" x14ac:dyDescent="0.3">
      <c r="F2724" s="124">
        <v>2718</v>
      </c>
      <c r="G2724" s="33">
        <f t="shared" ca="1" si="55"/>
        <v>3.8314908343586924E-2</v>
      </c>
    </row>
    <row r="2725" spans="6:7" x14ac:dyDescent="0.3">
      <c r="F2725" s="124">
        <v>2719</v>
      </c>
      <c r="G2725" s="33">
        <f t="shared" ca="1" si="55"/>
        <v>4.4329016422432463E-2</v>
      </c>
    </row>
    <row r="2726" spans="6:7" x14ac:dyDescent="0.3">
      <c r="F2726" s="124">
        <v>2720</v>
      </c>
      <c r="G2726" s="33">
        <f t="shared" ca="1" si="55"/>
        <v>-6.0580347798865716E-2</v>
      </c>
    </row>
    <row r="2727" spans="6:7" x14ac:dyDescent="0.3">
      <c r="F2727" s="124">
        <v>2721</v>
      </c>
      <c r="G2727" s="33">
        <f t="shared" ca="1" si="55"/>
        <v>6.7251277279231358E-3</v>
      </c>
    </row>
    <row r="2728" spans="6:7" x14ac:dyDescent="0.3">
      <c r="F2728" s="124">
        <v>2722</v>
      </c>
      <c r="G2728" s="33">
        <f t="shared" ca="1" si="55"/>
        <v>1.9702468044413991E-2</v>
      </c>
    </row>
    <row r="2729" spans="6:7" x14ac:dyDescent="0.3">
      <c r="F2729" s="124">
        <v>2723</v>
      </c>
      <c r="G2729" s="33">
        <f t="shared" ca="1" si="55"/>
        <v>-1.9196676537825266E-2</v>
      </c>
    </row>
    <row r="2730" spans="6:7" x14ac:dyDescent="0.3">
      <c r="F2730" s="124">
        <v>2724</v>
      </c>
      <c r="G2730" s="33">
        <f t="shared" ca="1" si="55"/>
        <v>-7.1578830118714824E-3</v>
      </c>
    </row>
    <row r="2731" spans="6:7" x14ac:dyDescent="0.3">
      <c r="F2731" s="124">
        <v>2725</v>
      </c>
      <c r="G2731" s="33">
        <f t="shared" ca="1" si="55"/>
        <v>-1.7214507283651755E-2</v>
      </c>
    </row>
    <row r="2732" spans="6:7" x14ac:dyDescent="0.3">
      <c r="F2732" s="124">
        <v>2726</v>
      </c>
      <c r="G2732" s="33">
        <f t="shared" ca="1" si="55"/>
        <v>4.1491883081206112E-2</v>
      </c>
    </row>
    <row r="2733" spans="6:7" x14ac:dyDescent="0.3">
      <c r="F2733" s="124">
        <v>2727</v>
      </c>
      <c r="G2733" s="33">
        <f t="shared" ca="1" si="55"/>
        <v>-1.1919671872584504E-2</v>
      </c>
    </row>
    <row r="2734" spans="6:7" x14ac:dyDescent="0.3">
      <c r="F2734" s="124">
        <v>2728</v>
      </c>
      <c r="G2734" s="33">
        <f t="shared" ca="1" si="55"/>
        <v>-7.3640257164551304E-2</v>
      </c>
    </row>
    <row r="2735" spans="6:7" x14ac:dyDescent="0.3">
      <c r="F2735" s="124">
        <v>2729</v>
      </c>
      <c r="G2735" s="33">
        <f t="shared" ca="1" si="55"/>
        <v>-3.3827088183305343E-3</v>
      </c>
    </row>
    <row r="2736" spans="6:7" x14ac:dyDescent="0.3">
      <c r="F2736" s="124">
        <v>2730</v>
      </c>
      <c r="G2736" s="33">
        <f t="shared" ca="1" si="55"/>
        <v>2.1831022132523786E-2</v>
      </c>
    </row>
    <row r="2737" spans="6:7" x14ac:dyDescent="0.3">
      <c r="F2737" s="124">
        <v>2731</v>
      </c>
      <c r="G2737" s="33">
        <f t="shared" ca="1" si="55"/>
        <v>5.9095538436112094E-2</v>
      </c>
    </row>
    <row r="2738" spans="6:7" x14ac:dyDescent="0.3">
      <c r="F2738" s="124">
        <v>2732</v>
      </c>
      <c r="G2738" s="33">
        <f t="shared" ca="1" si="55"/>
        <v>3.1291865953035583E-2</v>
      </c>
    </row>
    <row r="2739" spans="6:7" x14ac:dyDescent="0.3">
      <c r="F2739" s="124">
        <v>2733</v>
      </c>
      <c r="G2739" s="33">
        <f t="shared" ca="1" si="55"/>
        <v>-9.6189038173884016E-3</v>
      </c>
    </row>
    <row r="2740" spans="6:7" x14ac:dyDescent="0.3">
      <c r="F2740" s="124">
        <v>2734</v>
      </c>
      <c r="G2740" s="33">
        <f t="shared" ca="1" si="55"/>
        <v>2.0347942612066921E-3</v>
      </c>
    </row>
    <row r="2741" spans="6:7" x14ac:dyDescent="0.3">
      <c r="F2741" s="124">
        <v>2735</v>
      </c>
      <c r="G2741" s="33">
        <f t="shared" ca="1" si="55"/>
        <v>5.8140475787675949E-2</v>
      </c>
    </row>
    <row r="2742" spans="6:7" x14ac:dyDescent="0.3">
      <c r="F2742" s="124">
        <v>2736</v>
      </c>
      <c r="G2742" s="33">
        <f t="shared" ca="1" si="55"/>
        <v>1.878495483563343E-2</v>
      </c>
    </row>
    <row r="2743" spans="6:7" x14ac:dyDescent="0.3">
      <c r="F2743" s="124">
        <v>2737</v>
      </c>
      <c r="G2743" s="33">
        <f t="shared" ca="1" si="55"/>
        <v>-2.8733256993296236E-2</v>
      </c>
    </row>
    <row r="2744" spans="6:7" x14ac:dyDescent="0.3">
      <c r="F2744" s="124">
        <v>2738</v>
      </c>
      <c r="G2744" s="33">
        <f t="shared" ca="1" si="55"/>
        <v>4.9847595102338618E-2</v>
      </c>
    </row>
    <row r="2745" spans="6:7" x14ac:dyDescent="0.3">
      <c r="F2745" s="124">
        <v>2739</v>
      </c>
      <c r="G2745" s="33">
        <f t="shared" ca="1" si="55"/>
        <v>4.7609965879732569E-3</v>
      </c>
    </row>
    <row r="2746" spans="6:7" x14ac:dyDescent="0.3">
      <c r="F2746" s="124">
        <v>2740</v>
      </c>
      <c r="G2746" s="33">
        <f t="shared" ca="1" si="55"/>
        <v>-1.8464953269465848E-2</v>
      </c>
    </row>
    <row r="2747" spans="6:7" x14ac:dyDescent="0.3">
      <c r="F2747" s="124">
        <v>2741</v>
      </c>
      <c r="G2747" s="33">
        <f t="shared" ca="1" si="55"/>
        <v>1.2979030141662809E-2</v>
      </c>
    </row>
    <row r="2748" spans="6:7" x14ac:dyDescent="0.3">
      <c r="F2748" s="124">
        <v>2742</v>
      </c>
      <c r="G2748" s="33">
        <f t="shared" ca="1" si="55"/>
        <v>5.6987770015009438E-3</v>
      </c>
    </row>
    <row r="2749" spans="6:7" x14ac:dyDescent="0.3">
      <c r="F2749" s="124">
        <v>2743</v>
      </c>
      <c r="G2749" s="33">
        <f t="shared" ca="1" si="55"/>
        <v>1.0181929049066479E-2</v>
      </c>
    </row>
    <row r="2750" spans="6:7" x14ac:dyDescent="0.3">
      <c r="F2750" s="124">
        <v>2744</v>
      </c>
      <c r="G2750" s="33">
        <f t="shared" ca="1" si="55"/>
        <v>1.1132832771329128E-2</v>
      </c>
    </row>
    <row r="2751" spans="6:7" x14ac:dyDescent="0.3">
      <c r="F2751" s="124">
        <v>2745</v>
      </c>
      <c r="G2751" s="33">
        <f t="shared" ca="1" si="55"/>
        <v>-3.0078030579726741E-2</v>
      </c>
    </row>
    <row r="2752" spans="6:7" x14ac:dyDescent="0.3">
      <c r="F2752" s="124">
        <v>2746</v>
      </c>
      <c r="G2752" s="33">
        <f t="shared" ca="1" si="55"/>
        <v>-7.3945609142731525E-3</v>
      </c>
    </row>
    <row r="2753" spans="6:7" x14ac:dyDescent="0.3">
      <c r="F2753" s="124">
        <v>2747</v>
      </c>
      <c r="G2753" s="33">
        <f t="shared" ca="1" si="55"/>
        <v>4.0203198809496236E-3</v>
      </c>
    </row>
    <row r="2754" spans="6:7" x14ac:dyDescent="0.3">
      <c r="F2754" s="124">
        <v>2748</v>
      </c>
      <c r="G2754" s="33">
        <f t="shared" ca="1" si="55"/>
        <v>4.8206977112600663E-2</v>
      </c>
    </row>
    <row r="2755" spans="6:7" x14ac:dyDescent="0.3">
      <c r="F2755" s="124">
        <v>2749</v>
      </c>
      <c r="G2755" s="33">
        <f t="shared" ca="1" si="55"/>
        <v>-7.5181766654378009E-3</v>
      </c>
    </row>
    <row r="2756" spans="6:7" x14ac:dyDescent="0.3">
      <c r="F2756" s="124">
        <v>2750</v>
      </c>
      <c r="G2756" s="33">
        <f t="shared" ca="1" si="55"/>
        <v>2.6474599336001024E-2</v>
      </c>
    </row>
    <row r="2757" spans="6:7" x14ac:dyDescent="0.3">
      <c r="F2757" s="124">
        <v>2751</v>
      </c>
      <c r="G2757" s="33">
        <f t="shared" ca="1" si="55"/>
        <v>-2.5723708679623033E-2</v>
      </c>
    </row>
    <row r="2758" spans="6:7" x14ac:dyDescent="0.3">
      <c r="F2758" s="124">
        <v>2752</v>
      </c>
      <c r="G2758" s="33">
        <f t="shared" ca="1" si="55"/>
        <v>-8.5400536475344242E-3</v>
      </c>
    </row>
    <row r="2759" spans="6:7" x14ac:dyDescent="0.3">
      <c r="F2759" s="124">
        <v>2753</v>
      </c>
      <c r="G2759" s="33">
        <f t="shared" ca="1" si="55"/>
        <v>4.0074974819892695E-2</v>
      </c>
    </row>
    <row r="2760" spans="6:7" x14ac:dyDescent="0.3">
      <c r="F2760" s="124">
        <v>2754</v>
      </c>
      <c r="G2760" s="33">
        <f t="shared" ref="G2760:G2823" ca="1" si="56">_xlfn.NORM.INV(RAND(),$M$9,$M$10)</f>
        <v>8.991278811208394E-3</v>
      </c>
    </row>
    <row r="2761" spans="6:7" x14ac:dyDescent="0.3">
      <c r="F2761" s="124">
        <v>2755</v>
      </c>
      <c r="G2761" s="33">
        <f t="shared" ca="1" si="56"/>
        <v>-7.9892119712852254E-3</v>
      </c>
    </row>
    <row r="2762" spans="6:7" x14ac:dyDescent="0.3">
      <c r="F2762" s="124">
        <v>2756</v>
      </c>
      <c r="G2762" s="33">
        <f t="shared" ca="1" si="56"/>
        <v>-4.0274178869356908E-4</v>
      </c>
    </row>
    <row r="2763" spans="6:7" x14ac:dyDescent="0.3">
      <c r="F2763" s="124">
        <v>2757</v>
      </c>
      <c r="G2763" s="33">
        <f t="shared" ca="1" si="56"/>
        <v>-3.9172765988318418E-2</v>
      </c>
    </row>
    <row r="2764" spans="6:7" x14ac:dyDescent="0.3">
      <c r="F2764" s="124">
        <v>2758</v>
      </c>
      <c r="G2764" s="33">
        <f t="shared" ca="1" si="56"/>
        <v>5.3144427684420521E-2</v>
      </c>
    </row>
    <row r="2765" spans="6:7" x14ac:dyDescent="0.3">
      <c r="F2765" s="124">
        <v>2759</v>
      </c>
      <c r="G2765" s="33">
        <f t="shared" ca="1" si="56"/>
        <v>-2.2634916393729904E-2</v>
      </c>
    </row>
    <row r="2766" spans="6:7" x14ac:dyDescent="0.3">
      <c r="F2766" s="124">
        <v>2760</v>
      </c>
      <c r="G2766" s="33">
        <f t="shared" ca="1" si="56"/>
        <v>-3.2642724941387036E-2</v>
      </c>
    </row>
    <row r="2767" spans="6:7" x14ac:dyDescent="0.3">
      <c r="F2767" s="124">
        <v>2761</v>
      </c>
      <c r="G2767" s="33">
        <f t="shared" ca="1" si="56"/>
        <v>-7.7386479577046261E-3</v>
      </c>
    </row>
    <row r="2768" spans="6:7" x14ac:dyDescent="0.3">
      <c r="F2768" s="124">
        <v>2762</v>
      </c>
      <c r="G2768" s="33">
        <f t="shared" ca="1" si="56"/>
        <v>-6.008854858607071E-3</v>
      </c>
    </row>
    <row r="2769" spans="6:7" x14ac:dyDescent="0.3">
      <c r="F2769" s="124">
        <v>2763</v>
      </c>
      <c r="G2769" s="33">
        <f t="shared" ca="1" si="56"/>
        <v>-5.3745294085817567E-2</v>
      </c>
    </row>
    <row r="2770" spans="6:7" x14ac:dyDescent="0.3">
      <c r="F2770" s="124">
        <v>2764</v>
      </c>
      <c r="G2770" s="33">
        <f t="shared" ca="1" si="56"/>
        <v>1.0606881028945882E-2</v>
      </c>
    </row>
    <row r="2771" spans="6:7" x14ac:dyDescent="0.3">
      <c r="F2771" s="124">
        <v>2765</v>
      </c>
      <c r="G2771" s="33">
        <f t="shared" ca="1" si="56"/>
        <v>4.5757691253034478E-2</v>
      </c>
    </row>
    <row r="2772" spans="6:7" x14ac:dyDescent="0.3">
      <c r="F2772" s="124">
        <v>2766</v>
      </c>
      <c r="G2772" s="33">
        <f t="shared" ca="1" si="56"/>
        <v>-4.1114167633284029E-2</v>
      </c>
    </row>
    <row r="2773" spans="6:7" x14ac:dyDescent="0.3">
      <c r="F2773" s="124">
        <v>2767</v>
      </c>
      <c r="G2773" s="33">
        <f t="shared" ca="1" si="56"/>
        <v>-9.2071395698263003E-3</v>
      </c>
    </row>
    <row r="2774" spans="6:7" x14ac:dyDescent="0.3">
      <c r="F2774" s="124">
        <v>2768</v>
      </c>
      <c r="G2774" s="33">
        <f t="shared" ca="1" si="56"/>
        <v>3.6022624579811986E-2</v>
      </c>
    </row>
    <row r="2775" spans="6:7" x14ac:dyDescent="0.3">
      <c r="F2775" s="124">
        <v>2769</v>
      </c>
      <c r="G2775" s="33">
        <f t="shared" ca="1" si="56"/>
        <v>5.8097533111828889E-4</v>
      </c>
    </row>
    <row r="2776" spans="6:7" x14ac:dyDescent="0.3">
      <c r="F2776" s="124">
        <v>2770</v>
      </c>
      <c r="G2776" s="33">
        <f t="shared" ca="1" si="56"/>
        <v>1.746009281274781E-2</v>
      </c>
    </row>
    <row r="2777" spans="6:7" x14ac:dyDescent="0.3">
      <c r="F2777" s="124">
        <v>2771</v>
      </c>
      <c r="G2777" s="33">
        <f t="shared" ca="1" si="56"/>
        <v>1.9113150773088922E-2</v>
      </c>
    </row>
    <row r="2778" spans="6:7" x14ac:dyDescent="0.3">
      <c r="F2778" s="124">
        <v>2772</v>
      </c>
      <c r="G2778" s="33">
        <f t="shared" ca="1" si="56"/>
        <v>2.6058105424558869E-2</v>
      </c>
    </row>
    <row r="2779" spans="6:7" x14ac:dyDescent="0.3">
      <c r="F2779" s="124">
        <v>2773</v>
      </c>
      <c r="G2779" s="33">
        <f t="shared" ca="1" si="56"/>
        <v>2.4073903927757222E-2</v>
      </c>
    </row>
    <row r="2780" spans="6:7" x14ac:dyDescent="0.3">
      <c r="F2780" s="124">
        <v>2774</v>
      </c>
      <c r="G2780" s="33">
        <f t="shared" ca="1" si="56"/>
        <v>-2.2552364214704974E-2</v>
      </c>
    </row>
    <row r="2781" spans="6:7" x14ac:dyDescent="0.3">
      <c r="F2781" s="124">
        <v>2775</v>
      </c>
      <c r="G2781" s="33">
        <f t="shared" ca="1" si="56"/>
        <v>-1.4696814365123208E-2</v>
      </c>
    </row>
    <row r="2782" spans="6:7" x14ac:dyDescent="0.3">
      <c r="F2782" s="124">
        <v>2776</v>
      </c>
      <c r="G2782" s="33">
        <f t="shared" ca="1" si="56"/>
        <v>3.6678204121187143E-2</v>
      </c>
    </row>
    <row r="2783" spans="6:7" x14ac:dyDescent="0.3">
      <c r="F2783" s="124">
        <v>2777</v>
      </c>
      <c r="G2783" s="33">
        <f t="shared" ca="1" si="56"/>
        <v>-7.7100668930543221E-3</v>
      </c>
    </row>
    <row r="2784" spans="6:7" x14ac:dyDescent="0.3">
      <c r="F2784" s="124">
        <v>2778</v>
      </c>
      <c r="G2784" s="33">
        <f t="shared" ca="1" si="56"/>
        <v>1.9849282676766403E-2</v>
      </c>
    </row>
    <row r="2785" spans="6:7" x14ac:dyDescent="0.3">
      <c r="F2785" s="124">
        <v>2779</v>
      </c>
      <c r="G2785" s="33">
        <f t="shared" ca="1" si="56"/>
        <v>3.3046346125394977E-3</v>
      </c>
    </row>
    <row r="2786" spans="6:7" x14ac:dyDescent="0.3">
      <c r="F2786" s="124">
        <v>2780</v>
      </c>
      <c r="G2786" s="33">
        <f t="shared" ca="1" si="56"/>
        <v>-2.3358979700544114E-2</v>
      </c>
    </row>
    <row r="2787" spans="6:7" x14ac:dyDescent="0.3">
      <c r="F2787" s="124">
        <v>2781</v>
      </c>
      <c r="G2787" s="33">
        <f t="shared" ca="1" si="56"/>
        <v>-1.4162239128998697E-2</v>
      </c>
    </row>
    <row r="2788" spans="6:7" x14ac:dyDescent="0.3">
      <c r="F2788" s="124">
        <v>2782</v>
      </c>
      <c r="G2788" s="33">
        <f t="shared" ca="1" si="56"/>
        <v>2.199288939148298E-2</v>
      </c>
    </row>
    <row r="2789" spans="6:7" x14ac:dyDescent="0.3">
      <c r="F2789" s="124">
        <v>2783</v>
      </c>
      <c r="G2789" s="33">
        <f t="shared" ca="1" si="56"/>
        <v>2.6507272298466781E-2</v>
      </c>
    </row>
    <row r="2790" spans="6:7" x14ac:dyDescent="0.3">
      <c r="F2790" s="124">
        <v>2784</v>
      </c>
      <c r="G2790" s="33">
        <f t="shared" ca="1" si="56"/>
        <v>-3.5549058509663826E-2</v>
      </c>
    </row>
    <row r="2791" spans="6:7" x14ac:dyDescent="0.3">
      <c r="F2791" s="124">
        <v>2785</v>
      </c>
      <c r="G2791" s="33">
        <f t="shared" ca="1" si="56"/>
        <v>-1.935602445041926E-2</v>
      </c>
    </row>
    <row r="2792" spans="6:7" x14ac:dyDescent="0.3">
      <c r="F2792" s="124">
        <v>2786</v>
      </c>
      <c r="G2792" s="33">
        <f t="shared" ca="1" si="56"/>
        <v>-3.7075073521717634E-2</v>
      </c>
    </row>
    <row r="2793" spans="6:7" x14ac:dyDescent="0.3">
      <c r="F2793" s="124">
        <v>2787</v>
      </c>
      <c r="G2793" s="33">
        <f t="shared" ca="1" si="56"/>
        <v>-3.5590132092140361E-2</v>
      </c>
    </row>
    <row r="2794" spans="6:7" x14ac:dyDescent="0.3">
      <c r="F2794" s="124">
        <v>2788</v>
      </c>
      <c r="G2794" s="33">
        <f t="shared" ca="1" si="56"/>
        <v>4.0563890492295848E-2</v>
      </c>
    </row>
    <row r="2795" spans="6:7" x14ac:dyDescent="0.3">
      <c r="F2795" s="124">
        <v>2789</v>
      </c>
      <c r="G2795" s="33">
        <f t="shared" ca="1" si="56"/>
        <v>-2.0557404438858541E-2</v>
      </c>
    </row>
    <row r="2796" spans="6:7" x14ac:dyDescent="0.3">
      <c r="F2796" s="124">
        <v>2790</v>
      </c>
      <c r="G2796" s="33">
        <f t="shared" ca="1" si="56"/>
        <v>6.3047258184122769E-3</v>
      </c>
    </row>
    <row r="2797" spans="6:7" x14ac:dyDescent="0.3">
      <c r="F2797" s="124">
        <v>2791</v>
      </c>
      <c r="G2797" s="33">
        <f t="shared" ca="1" si="56"/>
        <v>-1.670068829322803E-3</v>
      </c>
    </row>
    <row r="2798" spans="6:7" x14ac:dyDescent="0.3">
      <c r="F2798" s="124">
        <v>2792</v>
      </c>
      <c r="G2798" s="33">
        <f t="shared" ca="1" si="56"/>
        <v>1.3289108217627941E-2</v>
      </c>
    </row>
    <row r="2799" spans="6:7" x14ac:dyDescent="0.3">
      <c r="F2799" s="124">
        <v>2793</v>
      </c>
      <c r="G2799" s="33">
        <f t="shared" ca="1" si="56"/>
        <v>5.4136968536707596E-2</v>
      </c>
    </row>
    <row r="2800" spans="6:7" x14ac:dyDescent="0.3">
      <c r="F2800" s="124">
        <v>2794</v>
      </c>
      <c r="G2800" s="33">
        <f t="shared" ca="1" si="56"/>
        <v>-1.7135032883201919E-2</v>
      </c>
    </row>
    <row r="2801" spans="6:7" x14ac:dyDescent="0.3">
      <c r="F2801" s="124">
        <v>2795</v>
      </c>
      <c r="G2801" s="33">
        <f t="shared" ca="1" si="56"/>
        <v>-5.5736449660383908E-4</v>
      </c>
    </row>
    <row r="2802" spans="6:7" x14ac:dyDescent="0.3">
      <c r="F2802" s="124">
        <v>2796</v>
      </c>
      <c r="G2802" s="33">
        <f t="shared" ca="1" si="56"/>
        <v>1.3408289184361846E-2</v>
      </c>
    </row>
    <row r="2803" spans="6:7" x14ac:dyDescent="0.3">
      <c r="F2803" s="124">
        <v>2797</v>
      </c>
      <c r="G2803" s="33">
        <f t="shared" ca="1" si="56"/>
        <v>-3.0829603994515686E-2</v>
      </c>
    </row>
    <row r="2804" spans="6:7" x14ac:dyDescent="0.3">
      <c r="F2804" s="124">
        <v>2798</v>
      </c>
      <c r="G2804" s="33">
        <f t="shared" ca="1" si="56"/>
        <v>-1.5848736752972391E-2</v>
      </c>
    </row>
    <row r="2805" spans="6:7" x14ac:dyDescent="0.3">
      <c r="F2805" s="124">
        <v>2799</v>
      </c>
      <c r="G2805" s="33">
        <f t="shared" ca="1" si="56"/>
        <v>-5.7917734982577733E-2</v>
      </c>
    </row>
    <row r="2806" spans="6:7" x14ac:dyDescent="0.3">
      <c r="F2806" s="124">
        <v>2800</v>
      </c>
      <c r="G2806" s="33">
        <f t="shared" ca="1" si="56"/>
        <v>-1.3735836193398336E-3</v>
      </c>
    </row>
    <row r="2807" spans="6:7" x14ac:dyDescent="0.3">
      <c r="F2807" s="124">
        <v>2801</v>
      </c>
      <c r="G2807" s="33">
        <f t="shared" ca="1" si="56"/>
        <v>-2.0013369484999547E-2</v>
      </c>
    </row>
    <row r="2808" spans="6:7" x14ac:dyDescent="0.3">
      <c r="F2808" s="124">
        <v>2802</v>
      </c>
      <c r="G2808" s="33">
        <f t="shared" ca="1" si="56"/>
        <v>5.0427078595374243E-2</v>
      </c>
    </row>
    <row r="2809" spans="6:7" x14ac:dyDescent="0.3">
      <c r="F2809" s="124">
        <v>2803</v>
      </c>
      <c r="G2809" s="33">
        <f t="shared" ca="1" si="56"/>
        <v>-1.0872105237765755E-2</v>
      </c>
    </row>
    <row r="2810" spans="6:7" x14ac:dyDescent="0.3">
      <c r="F2810" s="124">
        <v>2804</v>
      </c>
      <c r="G2810" s="33">
        <f t="shared" ca="1" si="56"/>
        <v>9.6551603997746295E-3</v>
      </c>
    </row>
    <row r="2811" spans="6:7" x14ac:dyDescent="0.3">
      <c r="F2811" s="124">
        <v>2805</v>
      </c>
      <c r="G2811" s="33">
        <f t="shared" ca="1" si="56"/>
        <v>-4.7692714343707303E-2</v>
      </c>
    </row>
    <row r="2812" spans="6:7" x14ac:dyDescent="0.3">
      <c r="F2812" s="124">
        <v>2806</v>
      </c>
      <c r="G2812" s="33">
        <f t="shared" ca="1" si="56"/>
        <v>-5.4391566040338244E-3</v>
      </c>
    </row>
    <row r="2813" spans="6:7" x14ac:dyDescent="0.3">
      <c r="F2813" s="124">
        <v>2807</v>
      </c>
      <c r="G2813" s="33">
        <f t="shared" ca="1" si="56"/>
        <v>-1.298182150820917E-2</v>
      </c>
    </row>
    <row r="2814" spans="6:7" x14ac:dyDescent="0.3">
      <c r="F2814" s="124">
        <v>2808</v>
      </c>
      <c r="G2814" s="33">
        <f t="shared" ca="1" si="56"/>
        <v>-4.1254262494512021E-2</v>
      </c>
    </row>
    <row r="2815" spans="6:7" x14ac:dyDescent="0.3">
      <c r="F2815" s="124">
        <v>2809</v>
      </c>
      <c r="G2815" s="33">
        <f t="shared" ca="1" si="56"/>
        <v>6.0998407837484052E-4</v>
      </c>
    </row>
    <row r="2816" spans="6:7" x14ac:dyDescent="0.3">
      <c r="F2816" s="124">
        <v>2810</v>
      </c>
      <c r="G2816" s="33">
        <f t="shared" ca="1" si="56"/>
        <v>5.3874168865643057E-2</v>
      </c>
    </row>
    <row r="2817" spans="6:7" x14ac:dyDescent="0.3">
      <c r="F2817" s="124">
        <v>2811</v>
      </c>
      <c r="G2817" s="33">
        <f t="shared" ca="1" si="56"/>
        <v>-5.8096454130111871E-2</v>
      </c>
    </row>
    <row r="2818" spans="6:7" x14ac:dyDescent="0.3">
      <c r="F2818" s="124">
        <v>2812</v>
      </c>
      <c r="G2818" s="33">
        <f t="shared" ca="1" si="56"/>
        <v>1.8748304260783288E-2</v>
      </c>
    </row>
    <row r="2819" spans="6:7" x14ac:dyDescent="0.3">
      <c r="F2819" s="124">
        <v>2813</v>
      </c>
      <c r="G2819" s="33">
        <f t="shared" ca="1" si="56"/>
        <v>4.5632480746109393E-2</v>
      </c>
    </row>
    <row r="2820" spans="6:7" x14ac:dyDescent="0.3">
      <c r="F2820" s="124">
        <v>2814</v>
      </c>
      <c r="G2820" s="33">
        <f t="shared" ca="1" si="56"/>
        <v>-5.7004487581077512E-2</v>
      </c>
    </row>
    <row r="2821" spans="6:7" x14ac:dyDescent="0.3">
      <c r="F2821" s="124">
        <v>2815</v>
      </c>
      <c r="G2821" s="33">
        <f t="shared" ca="1" si="56"/>
        <v>5.1804234811031469E-2</v>
      </c>
    </row>
    <row r="2822" spans="6:7" x14ac:dyDescent="0.3">
      <c r="F2822" s="124">
        <v>2816</v>
      </c>
      <c r="G2822" s="33">
        <f t="shared" ca="1" si="56"/>
        <v>2.099451181402906E-2</v>
      </c>
    </row>
    <row r="2823" spans="6:7" x14ac:dyDescent="0.3">
      <c r="F2823" s="124">
        <v>2817</v>
      </c>
      <c r="G2823" s="33">
        <f t="shared" ca="1" si="56"/>
        <v>4.7553665038923528E-3</v>
      </c>
    </row>
    <row r="2824" spans="6:7" x14ac:dyDescent="0.3">
      <c r="F2824" s="124">
        <v>2818</v>
      </c>
      <c r="G2824" s="33">
        <f t="shared" ref="G2824:G2887" ca="1" si="57">_xlfn.NORM.INV(RAND(),$M$9,$M$10)</f>
        <v>4.043068678819782E-2</v>
      </c>
    </row>
    <row r="2825" spans="6:7" x14ac:dyDescent="0.3">
      <c r="F2825" s="124">
        <v>2819</v>
      </c>
      <c r="G2825" s="33">
        <f t="shared" ca="1" si="57"/>
        <v>3.6839659035378315E-2</v>
      </c>
    </row>
    <row r="2826" spans="6:7" x14ac:dyDescent="0.3">
      <c r="F2826" s="124">
        <v>2820</v>
      </c>
      <c r="G2826" s="33">
        <f t="shared" ca="1" si="57"/>
        <v>2.413017840467184E-2</v>
      </c>
    </row>
    <row r="2827" spans="6:7" x14ac:dyDescent="0.3">
      <c r="F2827" s="124">
        <v>2821</v>
      </c>
      <c r="G2827" s="33">
        <f t="shared" ca="1" si="57"/>
        <v>-1.8980300335984523E-2</v>
      </c>
    </row>
    <row r="2828" spans="6:7" x14ac:dyDescent="0.3">
      <c r="F2828" s="124">
        <v>2822</v>
      </c>
      <c r="G2828" s="33">
        <f t="shared" ca="1" si="57"/>
        <v>-4.7039033870978119E-3</v>
      </c>
    </row>
    <row r="2829" spans="6:7" x14ac:dyDescent="0.3">
      <c r="F2829" s="124">
        <v>2823</v>
      </c>
      <c r="G2829" s="33">
        <f t="shared" ca="1" si="57"/>
        <v>-6.1278933162226774E-2</v>
      </c>
    </row>
    <row r="2830" spans="6:7" x14ac:dyDescent="0.3">
      <c r="F2830" s="124">
        <v>2824</v>
      </c>
      <c r="G2830" s="33">
        <f t="shared" ca="1" si="57"/>
        <v>-3.7595321113781881E-2</v>
      </c>
    </row>
    <row r="2831" spans="6:7" x14ac:dyDescent="0.3">
      <c r="F2831" s="124">
        <v>2825</v>
      </c>
      <c r="G2831" s="33">
        <f t="shared" ca="1" si="57"/>
        <v>-3.882162097336056E-2</v>
      </c>
    </row>
    <row r="2832" spans="6:7" x14ac:dyDescent="0.3">
      <c r="F2832" s="124">
        <v>2826</v>
      </c>
      <c r="G2832" s="33">
        <f t="shared" ca="1" si="57"/>
        <v>-3.1718527498898457E-3</v>
      </c>
    </row>
    <row r="2833" spans="6:7" x14ac:dyDescent="0.3">
      <c r="F2833" s="124">
        <v>2827</v>
      </c>
      <c r="G2833" s="33">
        <f t="shared" ca="1" si="57"/>
        <v>-2.8095728172056796E-2</v>
      </c>
    </row>
    <row r="2834" spans="6:7" x14ac:dyDescent="0.3">
      <c r="F2834" s="124">
        <v>2828</v>
      </c>
      <c r="G2834" s="33">
        <f t="shared" ca="1" si="57"/>
        <v>2.320197043220849E-2</v>
      </c>
    </row>
    <row r="2835" spans="6:7" x14ac:dyDescent="0.3">
      <c r="F2835" s="124">
        <v>2829</v>
      </c>
      <c r="G2835" s="33">
        <f t="shared" ca="1" si="57"/>
        <v>3.8935214342996475E-3</v>
      </c>
    </row>
    <row r="2836" spans="6:7" x14ac:dyDescent="0.3">
      <c r="F2836" s="124">
        <v>2830</v>
      </c>
      <c r="G2836" s="33">
        <f t="shared" ca="1" si="57"/>
        <v>5.3659757032753649E-2</v>
      </c>
    </row>
    <row r="2837" spans="6:7" x14ac:dyDescent="0.3">
      <c r="F2837" s="124">
        <v>2831</v>
      </c>
      <c r="G2837" s="33">
        <f t="shared" ca="1" si="57"/>
        <v>3.6443531004306242E-3</v>
      </c>
    </row>
    <row r="2838" spans="6:7" x14ac:dyDescent="0.3">
      <c r="F2838" s="124">
        <v>2832</v>
      </c>
      <c r="G2838" s="33">
        <f t="shared" ca="1" si="57"/>
        <v>-3.4214223697184479E-2</v>
      </c>
    </row>
    <row r="2839" spans="6:7" x14ac:dyDescent="0.3">
      <c r="F2839" s="124">
        <v>2833</v>
      </c>
      <c r="G2839" s="33">
        <f t="shared" ca="1" si="57"/>
        <v>2.4765106336081543E-2</v>
      </c>
    </row>
    <row r="2840" spans="6:7" x14ac:dyDescent="0.3">
      <c r="F2840" s="124">
        <v>2834</v>
      </c>
      <c r="G2840" s="33">
        <f t="shared" ca="1" si="57"/>
        <v>8.8819972236194103E-3</v>
      </c>
    </row>
    <row r="2841" spans="6:7" x14ac:dyDescent="0.3">
      <c r="F2841" s="124">
        <v>2835</v>
      </c>
      <c r="G2841" s="33">
        <f t="shared" ca="1" si="57"/>
        <v>-1.5842059539162904E-2</v>
      </c>
    </row>
    <row r="2842" spans="6:7" x14ac:dyDescent="0.3">
      <c r="F2842" s="124">
        <v>2836</v>
      </c>
      <c r="G2842" s="33">
        <f t="shared" ca="1" si="57"/>
        <v>3.4942486351662361E-2</v>
      </c>
    </row>
    <row r="2843" spans="6:7" x14ac:dyDescent="0.3">
      <c r="F2843" s="124">
        <v>2837</v>
      </c>
      <c r="G2843" s="33">
        <f t="shared" ca="1" si="57"/>
        <v>5.6266140943387818E-3</v>
      </c>
    </row>
    <row r="2844" spans="6:7" x14ac:dyDescent="0.3">
      <c r="F2844" s="124">
        <v>2838</v>
      </c>
      <c r="G2844" s="33">
        <f t="shared" ca="1" si="57"/>
        <v>-1.7747284702341621E-3</v>
      </c>
    </row>
    <row r="2845" spans="6:7" x14ac:dyDescent="0.3">
      <c r="F2845" s="124">
        <v>2839</v>
      </c>
      <c r="G2845" s="33">
        <f t="shared" ca="1" si="57"/>
        <v>-1.2033231717485646E-2</v>
      </c>
    </row>
    <row r="2846" spans="6:7" x14ac:dyDescent="0.3">
      <c r="F2846" s="124">
        <v>2840</v>
      </c>
      <c r="G2846" s="33">
        <f t="shared" ca="1" si="57"/>
        <v>-1.7918613057438582E-3</v>
      </c>
    </row>
    <row r="2847" spans="6:7" x14ac:dyDescent="0.3">
      <c r="F2847" s="124">
        <v>2841</v>
      </c>
      <c r="G2847" s="33">
        <f t="shared" ca="1" si="57"/>
        <v>2.9312854969371832E-2</v>
      </c>
    </row>
    <row r="2848" spans="6:7" x14ac:dyDescent="0.3">
      <c r="F2848" s="124">
        <v>2842</v>
      </c>
      <c r="G2848" s="33">
        <f t="shared" ca="1" si="57"/>
        <v>-2.6882882123544661E-3</v>
      </c>
    </row>
    <row r="2849" spans="6:7" x14ac:dyDescent="0.3">
      <c r="F2849" s="124">
        <v>2843</v>
      </c>
      <c r="G2849" s="33">
        <f t="shared" ca="1" si="57"/>
        <v>-1.310781012651737E-2</v>
      </c>
    </row>
    <row r="2850" spans="6:7" x14ac:dyDescent="0.3">
      <c r="F2850" s="124">
        <v>2844</v>
      </c>
      <c r="G2850" s="33">
        <f t="shared" ca="1" si="57"/>
        <v>1.2454214459502636E-2</v>
      </c>
    </row>
    <row r="2851" spans="6:7" x14ac:dyDescent="0.3">
      <c r="F2851" s="124">
        <v>2845</v>
      </c>
      <c r="G2851" s="33">
        <f t="shared" ca="1" si="57"/>
        <v>-9.8396118991554669E-3</v>
      </c>
    </row>
    <row r="2852" spans="6:7" x14ac:dyDescent="0.3">
      <c r="F2852" s="124">
        <v>2846</v>
      </c>
      <c r="G2852" s="33">
        <f t="shared" ca="1" si="57"/>
        <v>3.2532263973295776E-2</v>
      </c>
    </row>
    <row r="2853" spans="6:7" x14ac:dyDescent="0.3">
      <c r="F2853" s="124">
        <v>2847</v>
      </c>
      <c r="G2853" s="33">
        <f t="shared" ca="1" si="57"/>
        <v>1.3415149509069933E-2</v>
      </c>
    </row>
    <row r="2854" spans="6:7" x14ac:dyDescent="0.3">
      <c r="F2854" s="124">
        <v>2848</v>
      </c>
      <c r="G2854" s="33">
        <f t="shared" ca="1" si="57"/>
        <v>1.9642797825803353E-2</v>
      </c>
    </row>
    <row r="2855" spans="6:7" x14ac:dyDescent="0.3">
      <c r="F2855" s="124">
        <v>2849</v>
      </c>
      <c r="G2855" s="33">
        <f t="shared" ca="1" si="57"/>
        <v>-5.8232794841062967E-2</v>
      </c>
    </row>
    <row r="2856" spans="6:7" x14ac:dyDescent="0.3">
      <c r="F2856" s="124">
        <v>2850</v>
      </c>
      <c r="G2856" s="33">
        <f t="shared" ca="1" si="57"/>
        <v>-1.5768490740549874E-2</v>
      </c>
    </row>
    <row r="2857" spans="6:7" x14ac:dyDescent="0.3">
      <c r="F2857" s="124">
        <v>2851</v>
      </c>
      <c r="G2857" s="33">
        <f t="shared" ca="1" si="57"/>
        <v>3.0488882066130357E-4</v>
      </c>
    </row>
    <row r="2858" spans="6:7" x14ac:dyDescent="0.3">
      <c r="F2858" s="124">
        <v>2852</v>
      </c>
      <c r="G2858" s="33">
        <f t="shared" ca="1" si="57"/>
        <v>1.758782370272647E-2</v>
      </c>
    </row>
    <row r="2859" spans="6:7" x14ac:dyDescent="0.3">
      <c r="F2859" s="124">
        <v>2853</v>
      </c>
      <c r="G2859" s="33">
        <f t="shared" ca="1" si="57"/>
        <v>2.0705967962627858E-2</v>
      </c>
    </row>
    <row r="2860" spans="6:7" x14ac:dyDescent="0.3">
      <c r="F2860" s="124">
        <v>2854</v>
      </c>
      <c r="G2860" s="33">
        <f t="shared" ca="1" si="57"/>
        <v>2.5348487507157704E-2</v>
      </c>
    </row>
    <row r="2861" spans="6:7" x14ac:dyDescent="0.3">
      <c r="F2861" s="124">
        <v>2855</v>
      </c>
      <c r="G2861" s="33">
        <f t="shared" ca="1" si="57"/>
        <v>-1.2792561254426505E-2</v>
      </c>
    </row>
    <row r="2862" spans="6:7" x14ac:dyDescent="0.3">
      <c r="F2862" s="124">
        <v>2856</v>
      </c>
      <c r="G2862" s="33">
        <f t="shared" ca="1" si="57"/>
        <v>-1.5409615304269535E-2</v>
      </c>
    </row>
    <row r="2863" spans="6:7" x14ac:dyDescent="0.3">
      <c r="F2863" s="124">
        <v>2857</v>
      </c>
      <c r="G2863" s="33">
        <f t="shared" ca="1" si="57"/>
        <v>-2.6980555668804251E-2</v>
      </c>
    </row>
    <row r="2864" spans="6:7" x14ac:dyDescent="0.3">
      <c r="F2864" s="124">
        <v>2858</v>
      </c>
      <c r="G2864" s="33">
        <f t="shared" ca="1" si="57"/>
        <v>1.039840132017306E-2</v>
      </c>
    </row>
    <row r="2865" spans="6:7" x14ac:dyDescent="0.3">
      <c r="F2865" s="124">
        <v>2859</v>
      </c>
      <c r="G2865" s="33">
        <f t="shared" ca="1" si="57"/>
        <v>6.8815243292965535E-3</v>
      </c>
    </row>
    <row r="2866" spans="6:7" x14ac:dyDescent="0.3">
      <c r="F2866" s="124">
        <v>2860</v>
      </c>
      <c r="G2866" s="33">
        <f t="shared" ca="1" si="57"/>
        <v>-5.6923700969143086E-2</v>
      </c>
    </row>
    <row r="2867" spans="6:7" x14ac:dyDescent="0.3">
      <c r="F2867" s="124">
        <v>2861</v>
      </c>
      <c r="G2867" s="33">
        <f t="shared" ca="1" si="57"/>
        <v>2.6104714184271981E-2</v>
      </c>
    </row>
    <row r="2868" spans="6:7" x14ac:dyDescent="0.3">
      <c r="F2868" s="124">
        <v>2862</v>
      </c>
      <c r="G2868" s="33">
        <f t="shared" ca="1" si="57"/>
        <v>-8.222567098679006E-3</v>
      </c>
    </row>
    <row r="2869" spans="6:7" x14ac:dyDescent="0.3">
      <c r="F2869" s="124">
        <v>2863</v>
      </c>
      <c r="G2869" s="33">
        <f t="shared" ca="1" si="57"/>
        <v>-1.1751253632239108E-2</v>
      </c>
    </row>
    <row r="2870" spans="6:7" x14ac:dyDescent="0.3">
      <c r="F2870" s="124">
        <v>2864</v>
      </c>
      <c r="G2870" s="33">
        <f t="shared" ca="1" si="57"/>
        <v>-2.4272490585353513E-3</v>
      </c>
    </row>
    <row r="2871" spans="6:7" x14ac:dyDescent="0.3">
      <c r="F2871" s="124">
        <v>2865</v>
      </c>
      <c r="G2871" s="33">
        <f t="shared" ca="1" si="57"/>
        <v>3.526316117528816E-2</v>
      </c>
    </row>
    <row r="2872" spans="6:7" x14ac:dyDescent="0.3">
      <c r="F2872" s="124">
        <v>2866</v>
      </c>
      <c r="G2872" s="33">
        <f t="shared" ca="1" si="57"/>
        <v>2.3052425856001185E-2</v>
      </c>
    </row>
    <row r="2873" spans="6:7" x14ac:dyDescent="0.3">
      <c r="F2873" s="124">
        <v>2867</v>
      </c>
      <c r="G2873" s="33">
        <f t="shared" ca="1" si="57"/>
        <v>-2.9998378371465271E-2</v>
      </c>
    </row>
    <row r="2874" spans="6:7" x14ac:dyDescent="0.3">
      <c r="F2874" s="124">
        <v>2868</v>
      </c>
      <c r="G2874" s="33">
        <f t="shared" ca="1" si="57"/>
        <v>2.1279023495147303E-2</v>
      </c>
    </row>
    <row r="2875" spans="6:7" x14ac:dyDescent="0.3">
      <c r="F2875" s="124">
        <v>2869</v>
      </c>
      <c r="G2875" s="33">
        <f t="shared" ca="1" si="57"/>
        <v>4.9211432866338355E-2</v>
      </c>
    </row>
    <row r="2876" spans="6:7" x14ac:dyDescent="0.3">
      <c r="F2876" s="124">
        <v>2870</v>
      </c>
      <c r="G2876" s="33">
        <f t="shared" ca="1" si="57"/>
        <v>2.154009466338045E-2</v>
      </c>
    </row>
    <row r="2877" spans="6:7" x14ac:dyDescent="0.3">
      <c r="F2877" s="124">
        <v>2871</v>
      </c>
      <c r="G2877" s="33">
        <f t="shared" ca="1" si="57"/>
        <v>1.9827542136102216E-2</v>
      </c>
    </row>
    <row r="2878" spans="6:7" x14ac:dyDescent="0.3">
      <c r="F2878" s="124">
        <v>2872</v>
      </c>
      <c r="G2878" s="33">
        <f t="shared" ca="1" si="57"/>
        <v>-1.4678636872926646E-2</v>
      </c>
    </row>
    <row r="2879" spans="6:7" x14ac:dyDescent="0.3">
      <c r="F2879" s="124">
        <v>2873</v>
      </c>
      <c r="G2879" s="33">
        <f t="shared" ca="1" si="57"/>
        <v>1.4874560144422386E-2</v>
      </c>
    </row>
    <row r="2880" spans="6:7" x14ac:dyDescent="0.3">
      <c r="F2880" s="124">
        <v>2874</v>
      </c>
      <c r="G2880" s="33">
        <f t="shared" ca="1" si="57"/>
        <v>-9.4303081928903583E-3</v>
      </c>
    </row>
    <row r="2881" spans="6:7" x14ac:dyDescent="0.3">
      <c r="F2881" s="124">
        <v>2875</v>
      </c>
      <c r="G2881" s="33">
        <f t="shared" ca="1" si="57"/>
        <v>-3.2453039842167263E-2</v>
      </c>
    </row>
    <row r="2882" spans="6:7" x14ac:dyDescent="0.3">
      <c r="F2882" s="124">
        <v>2876</v>
      </c>
      <c r="G2882" s="33">
        <f t="shared" ca="1" si="57"/>
        <v>-3.769435798181045E-2</v>
      </c>
    </row>
    <row r="2883" spans="6:7" x14ac:dyDescent="0.3">
      <c r="F2883" s="124">
        <v>2877</v>
      </c>
      <c r="G2883" s="33">
        <f t="shared" ca="1" si="57"/>
        <v>1.2411903101241128E-2</v>
      </c>
    </row>
    <row r="2884" spans="6:7" x14ac:dyDescent="0.3">
      <c r="F2884" s="124">
        <v>2878</v>
      </c>
      <c r="G2884" s="33">
        <f t="shared" ca="1" si="57"/>
        <v>-3.8140324683368261E-2</v>
      </c>
    </row>
    <row r="2885" spans="6:7" x14ac:dyDescent="0.3">
      <c r="F2885" s="124">
        <v>2879</v>
      </c>
      <c r="G2885" s="33">
        <f t="shared" ca="1" si="57"/>
        <v>4.9032824627354924E-3</v>
      </c>
    </row>
    <row r="2886" spans="6:7" x14ac:dyDescent="0.3">
      <c r="F2886" s="124">
        <v>2880</v>
      </c>
      <c r="G2886" s="33">
        <f t="shared" ca="1" si="57"/>
        <v>1.2895769345525228E-2</v>
      </c>
    </row>
    <row r="2887" spans="6:7" x14ac:dyDescent="0.3">
      <c r="F2887" s="124">
        <v>2881</v>
      </c>
      <c r="G2887" s="33">
        <f t="shared" ca="1" si="57"/>
        <v>4.5282619452759968E-3</v>
      </c>
    </row>
    <row r="2888" spans="6:7" x14ac:dyDescent="0.3">
      <c r="F2888" s="124">
        <v>2882</v>
      </c>
      <c r="G2888" s="33">
        <f t="shared" ref="G2888:G2951" ca="1" si="58">_xlfn.NORM.INV(RAND(),$M$9,$M$10)</f>
        <v>-5.4678760179574785E-2</v>
      </c>
    </row>
    <row r="2889" spans="6:7" x14ac:dyDescent="0.3">
      <c r="F2889" s="124">
        <v>2883</v>
      </c>
      <c r="G2889" s="33">
        <f t="shared" ca="1" si="58"/>
        <v>-2.0336886645941583E-2</v>
      </c>
    </row>
    <row r="2890" spans="6:7" x14ac:dyDescent="0.3">
      <c r="F2890" s="124">
        <v>2884</v>
      </c>
      <c r="G2890" s="33">
        <f t="shared" ca="1" si="58"/>
        <v>-3.7384893929756418E-3</v>
      </c>
    </row>
    <row r="2891" spans="6:7" x14ac:dyDescent="0.3">
      <c r="F2891" s="124">
        <v>2885</v>
      </c>
      <c r="G2891" s="33">
        <f t="shared" ca="1" si="58"/>
        <v>-2.7312685615868304E-2</v>
      </c>
    </row>
    <row r="2892" spans="6:7" x14ac:dyDescent="0.3">
      <c r="F2892" s="124">
        <v>2886</v>
      </c>
      <c r="G2892" s="33">
        <f t="shared" ca="1" si="58"/>
        <v>-2.7512523635148247E-2</v>
      </c>
    </row>
    <row r="2893" spans="6:7" x14ac:dyDescent="0.3">
      <c r="F2893" s="124">
        <v>2887</v>
      </c>
      <c r="G2893" s="33">
        <f t="shared" ca="1" si="58"/>
        <v>1.0627219496627181E-2</v>
      </c>
    </row>
    <row r="2894" spans="6:7" x14ac:dyDescent="0.3">
      <c r="F2894" s="124">
        <v>2888</v>
      </c>
      <c r="G2894" s="33">
        <f t="shared" ca="1" si="58"/>
        <v>-2.7514560093034289E-4</v>
      </c>
    </row>
    <row r="2895" spans="6:7" x14ac:dyDescent="0.3">
      <c r="F2895" s="124">
        <v>2889</v>
      </c>
      <c r="G2895" s="33">
        <f t="shared" ca="1" si="58"/>
        <v>-1.6450731303972667E-3</v>
      </c>
    </row>
    <row r="2896" spans="6:7" x14ac:dyDescent="0.3">
      <c r="F2896" s="124">
        <v>2890</v>
      </c>
      <c r="G2896" s="33">
        <f t="shared" ca="1" si="58"/>
        <v>-1.0322069064293456E-2</v>
      </c>
    </row>
    <row r="2897" spans="6:7" x14ac:dyDescent="0.3">
      <c r="F2897" s="124">
        <v>2891</v>
      </c>
      <c r="G2897" s="33">
        <f t="shared" ca="1" si="58"/>
        <v>1.9101590007640695E-2</v>
      </c>
    </row>
    <row r="2898" spans="6:7" x14ac:dyDescent="0.3">
      <c r="F2898" s="124">
        <v>2892</v>
      </c>
      <c r="G2898" s="33">
        <f t="shared" ca="1" si="58"/>
        <v>-3.3060518236038172E-2</v>
      </c>
    </row>
    <row r="2899" spans="6:7" x14ac:dyDescent="0.3">
      <c r="F2899" s="124">
        <v>2893</v>
      </c>
      <c r="G2899" s="33">
        <f t="shared" ca="1" si="58"/>
        <v>1.2377664247992363E-2</v>
      </c>
    </row>
    <row r="2900" spans="6:7" x14ac:dyDescent="0.3">
      <c r="F2900" s="124">
        <v>2894</v>
      </c>
      <c r="G2900" s="33">
        <f t="shared" ca="1" si="58"/>
        <v>1.6076357096891928E-2</v>
      </c>
    </row>
    <row r="2901" spans="6:7" x14ac:dyDescent="0.3">
      <c r="F2901" s="124">
        <v>2895</v>
      </c>
      <c r="G2901" s="33">
        <f t="shared" ca="1" si="58"/>
        <v>-2.2244554649782044E-2</v>
      </c>
    </row>
    <row r="2902" spans="6:7" x14ac:dyDescent="0.3">
      <c r="F2902" s="124">
        <v>2896</v>
      </c>
      <c r="G2902" s="33">
        <f t="shared" ca="1" si="58"/>
        <v>8.555382089761681E-3</v>
      </c>
    </row>
    <row r="2903" spans="6:7" x14ac:dyDescent="0.3">
      <c r="F2903" s="124">
        <v>2897</v>
      </c>
      <c r="G2903" s="33">
        <f t="shared" ca="1" si="58"/>
        <v>7.4870825690404097E-2</v>
      </c>
    </row>
    <row r="2904" spans="6:7" x14ac:dyDescent="0.3">
      <c r="F2904" s="124">
        <v>2898</v>
      </c>
      <c r="G2904" s="33">
        <f t="shared" ca="1" si="58"/>
        <v>-2.7539706910374067E-3</v>
      </c>
    </row>
    <row r="2905" spans="6:7" x14ac:dyDescent="0.3">
      <c r="F2905" s="124">
        <v>2899</v>
      </c>
      <c r="G2905" s="33">
        <f t="shared" ca="1" si="58"/>
        <v>-2.7112493829419926E-2</v>
      </c>
    </row>
    <row r="2906" spans="6:7" x14ac:dyDescent="0.3">
      <c r="F2906" s="124">
        <v>2900</v>
      </c>
      <c r="G2906" s="33">
        <f t="shared" ca="1" si="58"/>
        <v>4.4673130453298439E-2</v>
      </c>
    </row>
    <row r="2907" spans="6:7" x14ac:dyDescent="0.3">
      <c r="F2907" s="124">
        <v>2901</v>
      </c>
      <c r="G2907" s="33">
        <f t="shared" ca="1" si="58"/>
        <v>-1.1388532968545695E-2</v>
      </c>
    </row>
    <row r="2908" spans="6:7" x14ac:dyDescent="0.3">
      <c r="F2908" s="124">
        <v>2902</v>
      </c>
      <c r="G2908" s="33">
        <f t="shared" ca="1" si="58"/>
        <v>-6.4195804709927693E-3</v>
      </c>
    </row>
    <row r="2909" spans="6:7" x14ac:dyDescent="0.3">
      <c r="F2909" s="124">
        <v>2903</v>
      </c>
      <c r="G2909" s="33">
        <f t="shared" ca="1" si="58"/>
        <v>1.8940467453109379E-3</v>
      </c>
    </row>
    <row r="2910" spans="6:7" x14ac:dyDescent="0.3">
      <c r="F2910" s="124">
        <v>2904</v>
      </c>
      <c r="G2910" s="33">
        <f t="shared" ca="1" si="58"/>
        <v>-3.8285324379383506E-2</v>
      </c>
    </row>
    <row r="2911" spans="6:7" x14ac:dyDescent="0.3">
      <c r="F2911" s="124">
        <v>2905</v>
      </c>
      <c r="G2911" s="33">
        <f t="shared" ca="1" si="58"/>
        <v>1.8264005901816316E-2</v>
      </c>
    </row>
    <row r="2912" spans="6:7" x14ac:dyDescent="0.3">
      <c r="F2912" s="124">
        <v>2906</v>
      </c>
      <c r="G2912" s="33">
        <f t="shared" ca="1" si="58"/>
        <v>1.4640766951378229E-2</v>
      </c>
    </row>
    <row r="2913" spans="6:7" x14ac:dyDescent="0.3">
      <c r="F2913" s="124">
        <v>2907</v>
      </c>
      <c r="G2913" s="33">
        <f t="shared" ca="1" si="58"/>
        <v>-8.6686854574173286E-3</v>
      </c>
    </row>
    <row r="2914" spans="6:7" x14ac:dyDescent="0.3">
      <c r="F2914" s="124">
        <v>2908</v>
      </c>
      <c r="G2914" s="33">
        <f t="shared" ca="1" si="58"/>
        <v>4.0230983674287291E-2</v>
      </c>
    </row>
    <row r="2915" spans="6:7" x14ac:dyDescent="0.3">
      <c r="F2915" s="124">
        <v>2909</v>
      </c>
      <c r="G2915" s="33">
        <f t="shared" ca="1" si="58"/>
        <v>1.9850494823669143E-2</v>
      </c>
    </row>
    <row r="2916" spans="6:7" x14ac:dyDescent="0.3">
      <c r="F2916" s="124">
        <v>2910</v>
      </c>
      <c r="G2916" s="33">
        <f t="shared" ca="1" si="58"/>
        <v>3.4339406723627217E-2</v>
      </c>
    </row>
    <row r="2917" spans="6:7" x14ac:dyDescent="0.3">
      <c r="F2917" s="124">
        <v>2911</v>
      </c>
      <c r="G2917" s="33">
        <f t="shared" ca="1" si="58"/>
        <v>-7.8943561165349813E-3</v>
      </c>
    </row>
    <row r="2918" spans="6:7" x14ac:dyDescent="0.3">
      <c r="F2918" s="124">
        <v>2912</v>
      </c>
      <c r="G2918" s="33">
        <f t="shared" ca="1" si="58"/>
        <v>-2.5783618288599364E-2</v>
      </c>
    </row>
    <row r="2919" spans="6:7" x14ac:dyDescent="0.3">
      <c r="F2919" s="124">
        <v>2913</v>
      </c>
      <c r="G2919" s="33">
        <f t="shared" ca="1" si="58"/>
        <v>1.959221781305542E-2</v>
      </c>
    </row>
    <row r="2920" spans="6:7" x14ac:dyDescent="0.3">
      <c r="F2920" s="124">
        <v>2914</v>
      </c>
      <c r="G2920" s="33">
        <f t="shared" ca="1" si="58"/>
        <v>1.5861761220955527E-2</v>
      </c>
    </row>
    <row r="2921" spans="6:7" x14ac:dyDescent="0.3">
      <c r="F2921" s="124">
        <v>2915</v>
      </c>
      <c r="G2921" s="33">
        <f t="shared" ca="1" si="58"/>
        <v>4.1073202272448602E-2</v>
      </c>
    </row>
    <row r="2922" spans="6:7" x14ac:dyDescent="0.3">
      <c r="F2922" s="124">
        <v>2916</v>
      </c>
      <c r="G2922" s="33">
        <f t="shared" ca="1" si="58"/>
        <v>2.605481382793173E-2</v>
      </c>
    </row>
    <row r="2923" spans="6:7" x14ac:dyDescent="0.3">
      <c r="F2923" s="124">
        <v>2917</v>
      </c>
      <c r="G2923" s="33">
        <f t="shared" ca="1" si="58"/>
        <v>1.220055566281808E-2</v>
      </c>
    </row>
    <row r="2924" spans="6:7" x14ac:dyDescent="0.3">
      <c r="F2924" s="124">
        <v>2918</v>
      </c>
      <c r="G2924" s="33">
        <f t="shared" ca="1" si="58"/>
        <v>-1.3440654979592272E-2</v>
      </c>
    </row>
    <row r="2925" spans="6:7" x14ac:dyDescent="0.3">
      <c r="F2925" s="124">
        <v>2919</v>
      </c>
      <c r="G2925" s="33">
        <f t="shared" ca="1" si="58"/>
        <v>-3.7179183588265573E-2</v>
      </c>
    </row>
    <row r="2926" spans="6:7" x14ac:dyDescent="0.3">
      <c r="F2926" s="124">
        <v>2920</v>
      </c>
      <c r="G2926" s="33">
        <f t="shared" ca="1" si="58"/>
        <v>-4.5827799734825252E-2</v>
      </c>
    </row>
    <row r="2927" spans="6:7" x14ac:dyDescent="0.3">
      <c r="F2927" s="124">
        <v>2921</v>
      </c>
      <c r="G2927" s="33">
        <f t="shared" ca="1" si="58"/>
        <v>-3.6524836861303667E-3</v>
      </c>
    </row>
    <row r="2928" spans="6:7" x14ac:dyDescent="0.3">
      <c r="F2928" s="124">
        <v>2922</v>
      </c>
      <c r="G2928" s="33">
        <f t="shared" ca="1" si="58"/>
        <v>5.1168672767911479E-3</v>
      </c>
    </row>
    <row r="2929" spans="6:7" x14ac:dyDescent="0.3">
      <c r="F2929" s="124">
        <v>2923</v>
      </c>
      <c r="G2929" s="33">
        <f t="shared" ca="1" si="58"/>
        <v>-2.7724799337746828E-2</v>
      </c>
    </row>
    <row r="2930" spans="6:7" x14ac:dyDescent="0.3">
      <c r="F2930" s="124">
        <v>2924</v>
      </c>
      <c r="G2930" s="33">
        <f t="shared" ca="1" si="58"/>
        <v>1.4893453259542222E-2</v>
      </c>
    </row>
    <row r="2931" spans="6:7" x14ac:dyDescent="0.3">
      <c r="F2931" s="124">
        <v>2925</v>
      </c>
      <c r="G2931" s="33">
        <f t="shared" ca="1" si="58"/>
        <v>4.562686204872924E-3</v>
      </c>
    </row>
    <row r="2932" spans="6:7" x14ac:dyDescent="0.3">
      <c r="F2932" s="124">
        <v>2926</v>
      </c>
      <c r="G2932" s="33">
        <f t="shared" ca="1" si="58"/>
        <v>-2.2654023835040213E-2</v>
      </c>
    </row>
    <row r="2933" spans="6:7" x14ac:dyDescent="0.3">
      <c r="F2933" s="124">
        <v>2927</v>
      </c>
      <c r="G2933" s="33">
        <f t="shared" ca="1" si="58"/>
        <v>6.6221074594790853E-3</v>
      </c>
    </row>
    <row r="2934" spans="6:7" x14ac:dyDescent="0.3">
      <c r="F2934" s="124">
        <v>2928</v>
      </c>
      <c r="G2934" s="33">
        <f t="shared" ca="1" si="58"/>
        <v>-5.6254817004794025E-2</v>
      </c>
    </row>
    <row r="2935" spans="6:7" x14ac:dyDescent="0.3">
      <c r="F2935" s="124">
        <v>2929</v>
      </c>
      <c r="G2935" s="33">
        <f t="shared" ca="1" si="58"/>
        <v>-4.6204900109030181E-2</v>
      </c>
    </row>
    <row r="2936" spans="6:7" x14ac:dyDescent="0.3">
      <c r="F2936" s="124">
        <v>2930</v>
      </c>
      <c r="G2936" s="33">
        <f t="shared" ca="1" si="58"/>
        <v>3.7956132030507006E-4</v>
      </c>
    </row>
    <row r="2937" spans="6:7" x14ac:dyDescent="0.3">
      <c r="F2937" s="124">
        <v>2931</v>
      </c>
      <c r="G2937" s="33">
        <f t="shared" ca="1" si="58"/>
        <v>3.1821529877909684E-2</v>
      </c>
    </row>
    <row r="2938" spans="6:7" x14ac:dyDescent="0.3">
      <c r="F2938" s="124">
        <v>2932</v>
      </c>
      <c r="G2938" s="33">
        <f t="shared" ca="1" si="58"/>
        <v>-4.5165352915770687E-2</v>
      </c>
    </row>
    <row r="2939" spans="6:7" x14ac:dyDescent="0.3">
      <c r="F2939" s="124">
        <v>2933</v>
      </c>
      <c r="G2939" s="33">
        <f t="shared" ca="1" si="58"/>
        <v>4.2797816193061392E-3</v>
      </c>
    </row>
    <row r="2940" spans="6:7" x14ac:dyDescent="0.3">
      <c r="F2940" s="124">
        <v>2934</v>
      </c>
      <c r="G2940" s="33">
        <f t="shared" ca="1" si="58"/>
        <v>4.049237679826314E-2</v>
      </c>
    </row>
    <row r="2941" spans="6:7" x14ac:dyDescent="0.3">
      <c r="F2941" s="124">
        <v>2935</v>
      </c>
      <c r="G2941" s="33">
        <f t="shared" ca="1" si="58"/>
        <v>5.8660760594230772E-3</v>
      </c>
    </row>
    <row r="2942" spans="6:7" x14ac:dyDescent="0.3">
      <c r="F2942" s="124">
        <v>2936</v>
      </c>
      <c r="G2942" s="33">
        <f t="shared" ca="1" si="58"/>
        <v>6.8513567982963181E-2</v>
      </c>
    </row>
    <row r="2943" spans="6:7" x14ac:dyDescent="0.3">
      <c r="F2943" s="124">
        <v>2937</v>
      </c>
      <c r="G2943" s="33">
        <f t="shared" ca="1" si="58"/>
        <v>-1.53823074177981E-2</v>
      </c>
    </row>
    <row r="2944" spans="6:7" x14ac:dyDescent="0.3">
      <c r="F2944" s="124">
        <v>2938</v>
      </c>
      <c r="G2944" s="33">
        <f t="shared" ca="1" si="58"/>
        <v>-5.1210306402711535E-2</v>
      </c>
    </row>
    <row r="2945" spans="6:7" x14ac:dyDescent="0.3">
      <c r="F2945" s="124">
        <v>2939</v>
      </c>
      <c r="G2945" s="33">
        <f t="shared" ca="1" si="58"/>
        <v>-1.6914862287883737E-2</v>
      </c>
    </row>
    <row r="2946" spans="6:7" x14ac:dyDescent="0.3">
      <c r="F2946" s="124">
        <v>2940</v>
      </c>
      <c r="G2946" s="33">
        <f t="shared" ca="1" si="58"/>
        <v>5.2978580133769278E-2</v>
      </c>
    </row>
    <row r="2947" spans="6:7" x14ac:dyDescent="0.3">
      <c r="F2947" s="124">
        <v>2941</v>
      </c>
      <c r="G2947" s="33">
        <f t="shared" ca="1" si="58"/>
        <v>5.4085023756160209E-3</v>
      </c>
    </row>
    <row r="2948" spans="6:7" x14ac:dyDescent="0.3">
      <c r="F2948" s="124">
        <v>2942</v>
      </c>
      <c r="G2948" s="33">
        <f t="shared" ca="1" si="58"/>
        <v>-4.868615315289101E-3</v>
      </c>
    </row>
    <row r="2949" spans="6:7" x14ac:dyDescent="0.3">
      <c r="F2949" s="124">
        <v>2943</v>
      </c>
      <c r="G2949" s="33">
        <f t="shared" ca="1" si="58"/>
        <v>-2.5683404498338981E-2</v>
      </c>
    </row>
    <row r="2950" spans="6:7" x14ac:dyDescent="0.3">
      <c r="F2950" s="124">
        <v>2944</v>
      </c>
      <c r="G2950" s="33">
        <f t="shared" ca="1" si="58"/>
        <v>-2.5059902659664374E-2</v>
      </c>
    </row>
    <row r="2951" spans="6:7" x14ac:dyDescent="0.3">
      <c r="F2951" s="124">
        <v>2945</v>
      </c>
      <c r="G2951" s="33">
        <f t="shared" ca="1" si="58"/>
        <v>-4.9010562615167293E-2</v>
      </c>
    </row>
    <row r="2952" spans="6:7" x14ac:dyDescent="0.3">
      <c r="F2952" s="124">
        <v>2946</v>
      </c>
      <c r="G2952" s="33">
        <f t="shared" ref="G2952:G3015" ca="1" si="59">_xlfn.NORM.INV(RAND(),$M$9,$M$10)</f>
        <v>-2.209985981831113E-2</v>
      </c>
    </row>
    <row r="2953" spans="6:7" x14ac:dyDescent="0.3">
      <c r="F2953" s="124">
        <v>2947</v>
      </c>
      <c r="G2953" s="33">
        <f t="shared" ca="1" si="59"/>
        <v>5.4700926799067212E-2</v>
      </c>
    </row>
    <row r="2954" spans="6:7" x14ac:dyDescent="0.3">
      <c r="F2954" s="124">
        <v>2948</v>
      </c>
      <c r="G2954" s="33">
        <f t="shared" ca="1" si="59"/>
        <v>1.1628846935635012E-2</v>
      </c>
    </row>
    <row r="2955" spans="6:7" x14ac:dyDescent="0.3">
      <c r="F2955" s="124">
        <v>2949</v>
      </c>
      <c r="G2955" s="33">
        <f t="shared" ca="1" si="59"/>
        <v>-1.8419382066815704E-2</v>
      </c>
    </row>
    <row r="2956" spans="6:7" x14ac:dyDescent="0.3">
      <c r="F2956" s="124">
        <v>2950</v>
      </c>
      <c r="G2956" s="33">
        <f t="shared" ca="1" si="59"/>
        <v>-6.8580081699933905E-3</v>
      </c>
    </row>
    <row r="2957" spans="6:7" x14ac:dyDescent="0.3">
      <c r="F2957" s="124">
        <v>2951</v>
      </c>
      <c r="G2957" s="33">
        <f t="shared" ca="1" si="59"/>
        <v>-2.8556838505170427E-2</v>
      </c>
    </row>
    <row r="2958" spans="6:7" x14ac:dyDescent="0.3">
      <c r="F2958" s="124">
        <v>2952</v>
      </c>
      <c r="G2958" s="33">
        <f t="shared" ca="1" si="59"/>
        <v>3.1252860856524601E-3</v>
      </c>
    </row>
    <row r="2959" spans="6:7" x14ac:dyDescent="0.3">
      <c r="F2959" s="124">
        <v>2953</v>
      </c>
      <c r="G2959" s="33">
        <f t="shared" ca="1" si="59"/>
        <v>1.8531452901266239E-2</v>
      </c>
    </row>
    <row r="2960" spans="6:7" x14ac:dyDescent="0.3">
      <c r="F2960" s="124">
        <v>2954</v>
      </c>
      <c r="G2960" s="33">
        <f t="shared" ca="1" si="59"/>
        <v>-1.4970289597505522E-2</v>
      </c>
    </row>
    <row r="2961" spans="6:7" x14ac:dyDescent="0.3">
      <c r="F2961" s="124">
        <v>2955</v>
      </c>
      <c r="G2961" s="33">
        <f t="shared" ca="1" si="59"/>
        <v>3.5534859003040015E-2</v>
      </c>
    </row>
    <row r="2962" spans="6:7" x14ac:dyDescent="0.3">
      <c r="F2962" s="124">
        <v>2956</v>
      </c>
      <c r="G2962" s="33">
        <f t="shared" ca="1" si="59"/>
        <v>-2.019184430003659E-2</v>
      </c>
    </row>
    <row r="2963" spans="6:7" x14ac:dyDescent="0.3">
      <c r="F2963" s="124">
        <v>2957</v>
      </c>
      <c r="G2963" s="33">
        <f t="shared" ca="1" si="59"/>
        <v>-4.7733736749327835E-2</v>
      </c>
    </row>
    <row r="2964" spans="6:7" x14ac:dyDescent="0.3">
      <c r="F2964" s="124">
        <v>2958</v>
      </c>
      <c r="G2964" s="33">
        <f t="shared" ca="1" si="59"/>
        <v>3.2054113636981997E-2</v>
      </c>
    </row>
    <row r="2965" spans="6:7" x14ac:dyDescent="0.3">
      <c r="F2965" s="124">
        <v>2959</v>
      </c>
      <c r="G2965" s="33">
        <f t="shared" ca="1" si="59"/>
        <v>4.1577023580544936E-2</v>
      </c>
    </row>
    <row r="2966" spans="6:7" x14ac:dyDescent="0.3">
      <c r="F2966" s="124">
        <v>2960</v>
      </c>
      <c r="G2966" s="33">
        <f t="shared" ca="1" si="59"/>
        <v>-6.1161160834599044E-3</v>
      </c>
    </row>
    <row r="2967" spans="6:7" x14ac:dyDescent="0.3">
      <c r="F2967" s="124">
        <v>2961</v>
      </c>
      <c r="G2967" s="33">
        <f t="shared" ca="1" si="59"/>
        <v>-6.2871355242662174E-4</v>
      </c>
    </row>
    <row r="2968" spans="6:7" x14ac:dyDescent="0.3">
      <c r="F2968" s="124">
        <v>2962</v>
      </c>
      <c r="G2968" s="33">
        <f t="shared" ca="1" si="59"/>
        <v>5.8144816394566021E-2</v>
      </c>
    </row>
    <row r="2969" spans="6:7" x14ac:dyDescent="0.3">
      <c r="F2969" s="124">
        <v>2963</v>
      </c>
      <c r="G2969" s="33">
        <f t="shared" ca="1" si="59"/>
        <v>-4.1238093010905561E-3</v>
      </c>
    </row>
    <row r="2970" spans="6:7" x14ac:dyDescent="0.3">
      <c r="F2970" s="124">
        <v>2964</v>
      </c>
      <c r="G2970" s="33">
        <f t="shared" ca="1" si="59"/>
        <v>1.3410870451901471E-5</v>
      </c>
    </row>
    <row r="2971" spans="6:7" x14ac:dyDescent="0.3">
      <c r="F2971" s="124">
        <v>2965</v>
      </c>
      <c r="G2971" s="33">
        <f t="shared" ca="1" si="59"/>
        <v>-7.9114287881228706E-3</v>
      </c>
    </row>
    <row r="2972" spans="6:7" x14ac:dyDescent="0.3">
      <c r="F2972" s="124">
        <v>2966</v>
      </c>
      <c r="G2972" s="33">
        <f t="shared" ca="1" si="59"/>
        <v>-1.1387975421351705E-2</v>
      </c>
    </row>
    <row r="2973" spans="6:7" x14ac:dyDescent="0.3">
      <c r="F2973" s="124">
        <v>2967</v>
      </c>
      <c r="G2973" s="33">
        <f t="shared" ca="1" si="59"/>
        <v>8.5030627615239971E-3</v>
      </c>
    </row>
    <row r="2974" spans="6:7" x14ac:dyDescent="0.3">
      <c r="F2974" s="124">
        <v>2968</v>
      </c>
      <c r="G2974" s="33">
        <f t="shared" ca="1" si="59"/>
        <v>2.6157918952920432E-2</v>
      </c>
    </row>
    <row r="2975" spans="6:7" x14ac:dyDescent="0.3">
      <c r="F2975" s="124">
        <v>2969</v>
      </c>
      <c r="G2975" s="33">
        <f t="shared" ca="1" si="59"/>
        <v>3.6913667840790532E-2</v>
      </c>
    </row>
    <row r="2976" spans="6:7" x14ac:dyDescent="0.3">
      <c r="F2976" s="124">
        <v>2970</v>
      </c>
      <c r="G2976" s="33">
        <f t="shared" ca="1" si="59"/>
        <v>-8.8550703679101117E-3</v>
      </c>
    </row>
    <row r="2977" spans="6:7" x14ac:dyDescent="0.3">
      <c r="F2977" s="124">
        <v>2971</v>
      </c>
      <c r="G2977" s="33">
        <f t="shared" ca="1" si="59"/>
        <v>4.5055751048261518E-2</v>
      </c>
    </row>
    <row r="2978" spans="6:7" x14ac:dyDescent="0.3">
      <c r="F2978" s="124">
        <v>2972</v>
      </c>
      <c r="G2978" s="33">
        <f t="shared" ca="1" si="59"/>
        <v>5.5490899013543905E-2</v>
      </c>
    </row>
    <row r="2979" spans="6:7" x14ac:dyDescent="0.3">
      <c r="F2979" s="124">
        <v>2973</v>
      </c>
      <c r="G2979" s="33">
        <f t="shared" ca="1" si="59"/>
        <v>-1.1328262940386993E-2</v>
      </c>
    </row>
    <row r="2980" spans="6:7" x14ac:dyDescent="0.3">
      <c r="F2980" s="124">
        <v>2974</v>
      </c>
      <c r="G2980" s="33">
        <f t="shared" ca="1" si="59"/>
        <v>-2.5041436459555453E-2</v>
      </c>
    </row>
    <row r="2981" spans="6:7" x14ac:dyDescent="0.3">
      <c r="F2981" s="124">
        <v>2975</v>
      </c>
      <c r="G2981" s="33">
        <f t="shared" ca="1" si="59"/>
        <v>4.500727890136081E-2</v>
      </c>
    </row>
    <row r="2982" spans="6:7" x14ac:dyDescent="0.3">
      <c r="F2982" s="124">
        <v>2976</v>
      </c>
      <c r="G2982" s="33">
        <f t="shared" ca="1" si="59"/>
        <v>-4.8536119933937161E-3</v>
      </c>
    </row>
    <row r="2983" spans="6:7" x14ac:dyDescent="0.3">
      <c r="F2983" s="124">
        <v>2977</v>
      </c>
      <c r="G2983" s="33">
        <f t="shared" ca="1" si="59"/>
        <v>-5.1558053431175414E-2</v>
      </c>
    </row>
    <row r="2984" spans="6:7" x14ac:dyDescent="0.3">
      <c r="F2984" s="124">
        <v>2978</v>
      </c>
      <c r="G2984" s="33">
        <f t="shared" ca="1" si="59"/>
        <v>-7.7198853020773048E-2</v>
      </c>
    </row>
    <row r="2985" spans="6:7" x14ac:dyDescent="0.3">
      <c r="F2985" s="124">
        <v>2979</v>
      </c>
      <c r="G2985" s="33">
        <f t="shared" ca="1" si="59"/>
        <v>-1.3219735730027543E-3</v>
      </c>
    </row>
    <row r="2986" spans="6:7" x14ac:dyDescent="0.3">
      <c r="F2986" s="124">
        <v>2980</v>
      </c>
      <c r="G2986" s="33">
        <f t="shared" ca="1" si="59"/>
        <v>1.391152895362837E-2</v>
      </c>
    </row>
    <row r="2987" spans="6:7" x14ac:dyDescent="0.3">
      <c r="F2987" s="124">
        <v>2981</v>
      </c>
      <c r="G2987" s="33">
        <f t="shared" ca="1" si="59"/>
        <v>-4.388301622717037E-2</v>
      </c>
    </row>
    <row r="2988" spans="6:7" x14ac:dyDescent="0.3">
      <c r="F2988" s="124">
        <v>2982</v>
      </c>
      <c r="G2988" s="33">
        <f t="shared" ca="1" si="59"/>
        <v>-2.9423636491978804E-2</v>
      </c>
    </row>
    <row r="2989" spans="6:7" x14ac:dyDescent="0.3">
      <c r="F2989" s="124">
        <v>2983</v>
      </c>
      <c r="G2989" s="33">
        <f t="shared" ca="1" si="59"/>
        <v>5.0381442891084309E-2</v>
      </c>
    </row>
    <row r="2990" spans="6:7" x14ac:dyDescent="0.3">
      <c r="F2990" s="124">
        <v>2984</v>
      </c>
      <c r="G2990" s="33">
        <f t="shared" ca="1" si="59"/>
        <v>2.0975379149331431E-2</v>
      </c>
    </row>
    <row r="2991" spans="6:7" x14ac:dyDescent="0.3">
      <c r="F2991" s="124">
        <v>2985</v>
      </c>
      <c r="G2991" s="33">
        <f t="shared" ca="1" si="59"/>
        <v>-4.784291602553891E-2</v>
      </c>
    </row>
    <row r="2992" spans="6:7" x14ac:dyDescent="0.3">
      <c r="F2992" s="124">
        <v>2986</v>
      </c>
      <c r="G2992" s="33">
        <f t="shared" ca="1" si="59"/>
        <v>2.5927073691006754E-2</v>
      </c>
    </row>
    <row r="2993" spans="6:7" x14ac:dyDescent="0.3">
      <c r="F2993" s="124">
        <v>2987</v>
      </c>
      <c r="G2993" s="33">
        <f t="shared" ca="1" si="59"/>
        <v>-1.1995186774436496E-2</v>
      </c>
    </row>
    <row r="2994" spans="6:7" x14ac:dyDescent="0.3">
      <c r="F2994" s="124">
        <v>2988</v>
      </c>
      <c r="G2994" s="33">
        <f t="shared" ca="1" si="59"/>
        <v>3.4298990840878021E-2</v>
      </c>
    </row>
    <row r="2995" spans="6:7" x14ac:dyDescent="0.3">
      <c r="F2995" s="124">
        <v>2989</v>
      </c>
      <c r="G2995" s="33">
        <f t="shared" ca="1" si="59"/>
        <v>4.7134037043469613E-2</v>
      </c>
    </row>
    <row r="2996" spans="6:7" x14ac:dyDescent="0.3">
      <c r="F2996" s="124">
        <v>2990</v>
      </c>
      <c r="G2996" s="33">
        <f t="shared" ca="1" si="59"/>
        <v>-6.0860965977072877E-2</v>
      </c>
    </row>
    <row r="2997" spans="6:7" x14ac:dyDescent="0.3">
      <c r="F2997" s="124">
        <v>2991</v>
      </c>
      <c r="G2997" s="33">
        <f t="shared" ca="1" si="59"/>
        <v>-2.1098223337827838E-2</v>
      </c>
    </row>
    <row r="2998" spans="6:7" x14ac:dyDescent="0.3">
      <c r="F2998" s="124">
        <v>2992</v>
      </c>
      <c r="G2998" s="33">
        <f t="shared" ca="1" si="59"/>
        <v>5.5044502927806601E-3</v>
      </c>
    </row>
    <row r="2999" spans="6:7" x14ac:dyDescent="0.3">
      <c r="F2999" s="124">
        <v>2993</v>
      </c>
      <c r="G2999" s="33">
        <f t="shared" ca="1" si="59"/>
        <v>6.0522163261067328E-3</v>
      </c>
    </row>
    <row r="3000" spans="6:7" x14ac:dyDescent="0.3">
      <c r="F3000" s="124">
        <v>2994</v>
      </c>
      <c r="G3000" s="33">
        <f t="shared" ca="1" si="59"/>
        <v>-2.4514584386426874E-3</v>
      </c>
    </row>
    <row r="3001" spans="6:7" x14ac:dyDescent="0.3">
      <c r="F3001" s="124">
        <v>2995</v>
      </c>
      <c r="G3001" s="33">
        <f t="shared" ca="1" si="59"/>
        <v>-2.0153829752769838E-3</v>
      </c>
    </row>
    <row r="3002" spans="6:7" x14ac:dyDescent="0.3">
      <c r="F3002" s="124">
        <v>2996</v>
      </c>
      <c r="G3002" s="33">
        <f t="shared" ca="1" si="59"/>
        <v>-8.1031203989988289E-3</v>
      </c>
    </row>
    <row r="3003" spans="6:7" x14ac:dyDescent="0.3">
      <c r="F3003" s="124">
        <v>2997</v>
      </c>
      <c r="G3003" s="33">
        <f t="shared" ca="1" si="59"/>
        <v>-1.3530041708953094E-2</v>
      </c>
    </row>
    <row r="3004" spans="6:7" x14ac:dyDescent="0.3">
      <c r="F3004" s="124">
        <v>2998</v>
      </c>
      <c r="G3004" s="33">
        <f t="shared" ca="1" si="59"/>
        <v>-1.0376856784006152E-2</v>
      </c>
    </row>
    <row r="3005" spans="6:7" x14ac:dyDescent="0.3">
      <c r="F3005" s="124">
        <v>2999</v>
      </c>
      <c r="G3005" s="33">
        <f t="shared" ca="1" si="59"/>
        <v>3.6579495673961418E-2</v>
      </c>
    </row>
    <row r="3006" spans="6:7" x14ac:dyDescent="0.3">
      <c r="F3006" s="124">
        <v>3000</v>
      </c>
      <c r="G3006" s="33">
        <f t="shared" ca="1" si="59"/>
        <v>-1.3843564497862424E-2</v>
      </c>
    </row>
    <row r="3007" spans="6:7" x14ac:dyDescent="0.3">
      <c r="F3007" s="124">
        <v>3001</v>
      </c>
      <c r="G3007" s="33">
        <f t="shared" ca="1" si="59"/>
        <v>9.4624026085306158E-4</v>
      </c>
    </row>
    <row r="3008" spans="6:7" x14ac:dyDescent="0.3">
      <c r="F3008" s="124">
        <v>3002</v>
      </c>
      <c r="G3008" s="33">
        <f t="shared" ca="1" si="59"/>
        <v>-3.6159750697023771E-3</v>
      </c>
    </row>
    <row r="3009" spans="6:7" x14ac:dyDescent="0.3">
      <c r="F3009" s="124">
        <v>3003</v>
      </c>
      <c r="G3009" s="33">
        <f t="shared" ca="1" si="59"/>
        <v>8.5936801114571033E-3</v>
      </c>
    </row>
    <row r="3010" spans="6:7" x14ac:dyDescent="0.3">
      <c r="F3010" s="124">
        <v>3004</v>
      </c>
      <c r="G3010" s="33">
        <f t="shared" ca="1" si="59"/>
        <v>5.2454020597014275E-3</v>
      </c>
    </row>
    <row r="3011" spans="6:7" x14ac:dyDescent="0.3">
      <c r="F3011" s="124">
        <v>3005</v>
      </c>
      <c r="G3011" s="33">
        <f t="shared" ca="1" si="59"/>
        <v>1.5543962315288883E-2</v>
      </c>
    </row>
    <row r="3012" spans="6:7" x14ac:dyDescent="0.3">
      <c r="F3012" s="124">
        <v>3006</v>
      </c>
      <c r="G3012" s="33">
        <f t="shared" ca="1" si="59"/>
        <v>-7.0392885856986409E-3</v>
      </c>
    </row>
    <row r="3013" spans="6:7" x14ac:dyDescent="0.3">
      <c r="F3013" s="124">
        <v>3007</v>
      </c>
      <c r="G3013" s="33">
        <f t="shared" ca="1" si="59"/>
        <v>2.9567938311339925E-2</v>
      </c>
    </row>
    <row r="3014" spans="6:7" x14ac:dyDescent="0.3">
      <c r="F3014" s="124">
        <v>3008</v>
      </c>
      <c r="G3014" s="33">
        <f t="shared" ca="1" si="59"/>
        <v>-4.7198238253407333E-2</v>
      </c>
    </row>
    <row r="3015" spans="6:7" x14ac:dyDescent="0.3">
      <c r="F3015" s="124">
        <v>3009</v>
      </c>
      <c r="G3015" s="33">
        <f t="shared" ca="1" si="59"/>
        <v>4.8621266462996325E-2</v>
      </c>
    </row>
    <row r="3016" spans="6:7" x14ac:dyDescent="0.3">
      <c r="F3016" s="124">
        <v>3010</v>
      </c>
      <c r="G3016" s="33">
        <f t="shared" ref="G3016:G3079" ca="1" si="60">_xlfn.NORM.INV(RAND(),$M$9,$M$10)</f>
        <v>-1.085859406182477E-2</v>
      </c>
    </row>
    <row r="3017" spans="6:7" x14ac:dyDescent="0.3">
      <c r="F3017" s="124">
        <v>3011</v>
      </c>
      <c r="G3017" s="33">
        <f t="shared" ca="1" si="60"/>
        <v>3.9340141235686514E-2</v>
      </c>
    </row>
    <row r="3018" spans="6:7" x14ac:dyDescent="0.3">
      <c r="F3018" s="124">
        <v>3012</v>
      </c>
      <c r="G3018" s="33">
        <f t="shared" ca="1" si="60"/>
        <v>4.6072700401081253E-2</v>
      </c>
    </row>
    <row r="3019" spans="6:7" x14ac:dyDescent="0.3">
      <c r="F3019" s="124">
        <v>3013</v>
      </c>
      <c r="G3019" s="33">
        <f t="shared" ca="1" si="60"/>
        <v>2.9345446561387191E-2</v>
      </c>
    </row>
    <row r="3020" spans="6:7" x14ac:dyDescent="0.3">
      <c r="F3020" s="124">
        <v>3014</v>
      </c>
      <c r="G3020" s="33">
        <f t="shared" ca="1" si="60"/>
        <v>5.6393479911287583E-3</v>
      </c>
    </row>
    <row r="3021" spans="6:7" x14ac:dyDescent="0.3">
      <c r="F3021" s="124">
        <v>3015</v>
      </c>
      <c r="G3021" s="33">
        <f t="shared" ca="1" si="60"/>
        <v>3.2503284364225104E-3</v>
      </c>
    </row>
    <row r="3022" spans="6:7" x14ac:dyDescent="0.3">
      <c r="F3022" s="124">
        <v>3016</v>
      </c>
      <c r="G3022" s="33">
        <f t="shared" ca="1" si="60"/>
        <v>-4.7350996088697223E-2</v>
      </c>
    </row>
    <row r="3023" spans="6:7" x14ac:dyDescent="0.3">
      <c r="F3023" s="124">
        <v>3017</v>
      </c>
      <c r="G3023" s="33">
        <f t="shared" ca="1" si="60"/>
        <v>-8.8894623365542609E-3</v>
      </c>
    </row>
    <row r="3024" spans="6:7" x14ac:dyDescent="0.3">
      <c r="F3024" s="124">
        <v>3018</v>
      </c>
      <c r="G3024" s="33">
        <f t="shared" ca="1" si="60"/>
        <v>-1.5421049782747488E-2</v>
      </c>
    </row>
    <row r="3025" spans="6:7" x14ac:dyDescent="0.3">
      <c r="F3025" s="124">
        <v>3019</v>
      </c>
      <c r="G3025" s="33">
        <f t="shared" ca="1" si="60"/>
        <v>4.5879668207580951E-2</v>
      </c>
    </row>
    <row r="3026" spans="6:7" x14ac:dyDescent="0.3">
      <c r="F3026" s="124">
        <v>3020</v>
      </c>
      <c r="G3026" s="33">
        <f t="shared" ca="1" si="60"/>
        <v>-6.1994156597527843E-3</v>
      </c>
    </row>
    <row r="3027" spans="6:7" x14ac:dyDescent="0.3">
      <c r="F3027" s="124">
        <v>3021</v>
      </c>
      <c r="G3027" s="33">
        <f t="shared" ca="1" si="60"/>
        <v>1.3133479763609141E-2</v>
      </c>
    </row>
    <row r="3028" spans="6:7" x14ac:dyDescent="0.3">
      <c r="F3028" s="124">
        <v>3022</v>
      </c>
      <c r="G3028" s="33">
        <f t="shared" ca="1" si="60"/>
        <v>-3.9833817261666266E-2</v>
      </c>
    </row>
    <row r="3029" spans="6:7" x14ac:dyDescent="0.3">
      <c r="F3029" s="124">
        <v>3023</v>
      </c>
      <c r="G3029" s="33">
        <f t="shared" ca="1" si="60"/>
        <v>7.6213922455410487E-3</v>
      </c>
    </row>
    <row r="3030" spans="6:7" x14ac:dyDescent="0.3">
      <c r="F3030" s="124">
        <v>3024</v>
      </c>
      <c r="G3030" s="33">
        <f t="shared" ca="1" si="60"/>
        <v>8.3012473450665668E-4</v>
      </c>
    </row>
    <row r="3031" spans="6:7" x14ac:dyDescent="0.3">
      <c r="F3031" s="124">
        <v>3025</v>
      </c>
      <c r="G3031" s="33">
        <f t="shared" ca="1" si="60"/>
        <v>6.6284059559320416E-2</v>
      </c>
    </row>
    <row r="3032" spans="6:7" x14ac:dyDescent="0.3">
      <c r="F3032" s="124">
        <v>3026</v>
      </c>
      <c r="G3032" s="33">
        <f t="shared" ca="1" si="60"/>
        <v>1.4960857995052472E-2</v>
      </c>
    </row>
    <row r="3033" spans="6:7" x14ac:dyDescent="0.3">
      <c r="F3033" s="124">
        <v>3027</v>
      </c>
      <c r="G3033" s="33">
        <f t="shared" ca="1" si="60"/>
        <v>-4.3293650601541105E-2</v>
      </c>
    </row>
    <row r="3034" spans="6:7" x14ac:dyDescent="0.3">
      <c r="F3034" s="124">
        <v>3028</v>
      </c>
      <c r="G3034" s="33">
        <f t="shared" ca="1" si="60"/>
        <v>-9.070935778020317E-3</v>
      </c>
    </row>
    <row r="3035" spans="6:7" x14ac:dyDescent="0.3">
      <c r="F3035" s="124">
        <v>3029</v>
      </c>
      <c r="G3035" s="33">
        <f t="shared" ca="1" si="60"/>
        <v>6.8535816842679401E-3</v>
      </c>
    </row>
    <row r="3036" spans="6:7" x14ac:dyDescent="0.3">
      <c r="F3036" s="124">
        <v>3030</v>
      </c>
      <c r="G3036" s="33">
        <f t="shared" ca="1" si="60"/>
        <v>-2.2636391433758452E-2</v>
      </c>
    </row>
    <row r="3037" spans="6:7" x14ac:dyDescent="0.3">
      <c r="F3037" s="124">
        <v>3031</v>
      </c>
      <c r="G3037" s="33">
        <f t="shared" ca="1" si="60"/>
        <v>2.0651570519368357E-3</v>
      </c>
    </row>
    <row r="3038" spans="6:7" x14ac:dyDescent="0.3">
      <c r="F3038" s="124">
        <v>3032</v>
      </c>
      <c r="G3038" s="33">
        <f t="shared" ca="1" si="60"/>
        <v>3.3709590832536529E-3</v>
      </c>
    </row>
    <row r="3039" spans="6:7" x14ac:dyDescent="0.3">
      <c r="F3039" s="124">
        <v>3033</v>
      </c>
      <c r="G3039" s="33">
        <f t="shared" ca="1" si="60"/>
        <v>3.5406906425058587E-2</v>
      </c>
    </row>
    <row r="3040" spans="6:7" x14ac:dyDescent="0.3">
      <c r="F3040" s="124">
        <v>3034</v>
      </c>
      <c r="G3040" s="33">
        <f t="shared" ca="1" si="60"/>
        <v>-2.7817679383924168E-2</v>
      </c>
    </row>
    <row r="3041" spans="6:7" x14ac:dyDescent="0.3">
      <c r="F3041" s="124">
        <v>3035</v>
      </c>
      <c r="G3041" s="33">
        <f t="shared" ca="1" si="60"/>
        <v>3.0906094714412861E-2</v>
      </c>
    </row>
    <row r="3042" spans="6:7" x14ac:dyDescent="0.3">
      <c r="F3042" s="124">
        <v>3036</v>
      </c>
      <c r="G3042" s="33">
        <f t="shared" ca="1" si="60"/>
        <v>2.4975898812413255E-2</v>
      </c>
    </row>
    <row r="3043" spans="6:7" x14ac:dyDescent="0.3">
      <c r="F3043" s="124">
        <v>3037</v>
      </c>
      <c r="G3043" s="33">
        <f t="shared" ca="1" si="60"/>
        <v>6.0660041464393286E-2</v>
      </c>
    </row>
    <row r="3044" spans="6:7" x14ac:dyDescent="0.3">
      <c r="F3044" s="124">
        <v>3038</v>
      </c>
      <c r="G3044" s="33">
        <f t="shared" ca="1" si="60"/>
        <v>-3.2711768510902142E-2</v>
      </c>
    </row>
    <row r="3045" spans="6:7" x14ac:dyDescent="0.3">
      <c r="F3045" s="124">
        <v>3039</v>
      </c>
      <c r="G3045" s="33">
        <f t="shared" ca="1" si="60"/>
        <v>3.3076699604359598E-2</v>
      </c>
    </row>
    <row r="3046" spans="6:7" x14ac:dyDescent="0.3">
      <c r="F3046" s="124">
        <v>3040</v>
      </c>
      <c r="G3046" s="33">
        <f t="shared" ca="1" si="60"/>
        <v>-4.0394050556784586E-3</v>
      </c>
    </row>
    <row r="3047" spans="6:7" x14ac:dyDescent="0.3">
      <c r="F3047" s="124">
        <v>3041</v>
      </c>
      <c r="G3047" s="33">
        <f t="shared" ca="1" si="60"/>
        <v>4.3499996728768191E-2</v>
      </c>
    </row>
    <row r="3048" spans="6:7" x14ac:dyDescent="0.3">
      <c r="F3048" s="124">
        <v>3042</v>
      </c>
      <c r="G3048" s="33">
        <f t="shared" ca="1" si="60"/>
        <v>-9.7920828855986922E-3</v>
      </c>
    </row>
    <row r="3049" spans="6:7" x14ac:dyDescent="0.3">
      <c r="F3049" s="124">
        <v>3043</v>
      </c>
      <c r="G3049" s="33">
        <f t="shared" ca="1" si="60"/>
        <v>-4.1796616319225446E-2</v>
      </c>
    </row>
    <row r="3050" spans="6:7" x14ac:dyDescent="0.3">
      <c r="F3050" s="124">
        <v>3044</v>
      </c>
      <c r="G3050" s="33">
        <f t="shared" ca="1" si="60"/>
        <v>1.5227118898136723E-3</v>
      </c>
    </row>
    <row r="3051" spans="6:7" x14ac:dyDescent="0.3">
      <c r="F3051" s="124">
        <v>3045</v>
      </c>
      <c r="G3051" s="33">
        <f t="shared" ca="1" si="60"/>
        <v>5.8890899551115199E-2</v>
      </c>
    </row>
    <row r="3052" spans="6:7" x14ac:dyDescent="0.3">
      <c r="F3052" s="124">
        <v>3046</v>
      </c>
      <c r="G3052" s="33">
        <f t="shared" ca="1" si="60"/>
        <v>2.007929645836156E-2</v>
      </c>
    </row>
    <row r="3053" spans="6:7" x14ac:dyDescent="0.3">
      <c r="F3053" s="124">
        <v>3047</v>
      </c>
      <c r="G3053" s="33">
        <f t="shared" ca="1" si="60"/>
        <v>-2.0544762542596535E-2</v>
      </c>
    </row>
    <row r="3054" spans="6:7" x14ac:dyDescent="0.3">
      <c r="F3054" s="124">
        <v>3048</v>
      </c>
      <c r="G3054" s="33">
        <f t="shared" ca="1" si="60"/>
        <v>-1.7771857893779754E-2</v>
      </c>
    </row>
    <row r="3055" spans="6:7" x14ac:dyDescent="0.3">
      <c r="F3055" s="124">
        <v>3049</v>
      </c>
      <c r="G3055" s="33">
        <f t="shared" ca="1" si="60"/>
        <v>3.4863747203067869E-2</v>
      </c>
    </row>
    <row r="3056" spans="6:7" x14ac:dyDescent="0.3">
      <c r="F3056" s="124">
        <v>3050</v>
      </c>
      <c r="G3056" s="33">
        <f t="shared" ca="1" si="60"/>
        <v>1.7761911724251771E-2</v>
      </c>
    </row>
    <row r="3057" spans="6:7" x14ac:dyDescent="0.3">
      <c r="F3057" s="124">
        <v>3051</v>
      </c>
      <c r="G3057" s="33">
        <f t="shared" ca="1" si="60"/>
        <v>-5.4461897041374184E-2</v>
      </c>
    </row>
    <row r="3058" spans="6:7" x14ac:dyDescent="0.3">
      <c r="F3058" s="124">
        <v>3052</v>
      </c>
      <c r="G3058" s="33">
        <f t="shared" ca="1" si="60"/>
        <v>5.3930149412630187E-3</v>
      </c>
    </row>
    <row r="3059" spans="6:7" x14ac:dyDescent="0.3">
      <c r="F3059" s="124">
        <v>3053</v>
      </c>
      <c r="G3059" s="33">
        <f t="shared" ca="1" si="60"/>
        <v>-5.0712076758085201E-2</v>
      </c>
    </row>
    <row r="3060" spans="6:7" x14ac:dyDescent="0.3">
      <c r="F3060" s="124">
        <v>3054</v>
      </c>
      <c r="G3060" s="33">
        <f t="shared" ca="1" si="60"/>
        <v>3.647396836421056E-2</v>
      </c>
    </row>
    <row r="3061" spans="6:7" x14ac:dyDescent="0.3">
      <c r="F3061" s="124">
        <v>3055</v>
      </c>
      <c r="G3061" s="33">
        <f t="shared" ca="1" si="60"/>
        <v>-2.0946551517961622E-2</v>
      </c>
    </row>
    <row r="3062" spans="6:7" x14ac:dyDescent="0.3">
      <c r="F3062" s="124">
        <v>3056</v>
      </c>
      <c r="G3062" s="33">
        <f t="shared" ca="1" si="60"/>
        <v>3.6404966104211865E-2</v>
      </c>
    </row>
    <row r="3063" spans="6:7" x14ac:dyDescent="0.3">
      <c r="F3063" s="124">
        <v>3057</v>
      </c>
      <c r="G3063" s="33">
        <f t="shared" ca="1" si="60"/>
        <v>7.9008300983005444E-2</v>
      </c>
    </row>
    <row r="3064" spans="6:7" x14ac:dyDescent="0.3">
      <c r="F3064" s="124">
        <v>3058</v>
      </c>
      <c r="G3064" s="33">
        <f t="shared" ca="1" si="60"/>
        <v>4.6621572429063011E-3</v>
      </c>
    </row>
    <row r="3065" spans="6:7" x14ac:dyDescent="0.3">
      <c r="F3065" s="124">
        <v>3059</v>
      </c>
      <c r="G3065" s="33">
        <f t="shared" ca="1" si="60"/>
        <v>-8.8770716508752706E-3</v>
      </c>
    </row>
    <row r="3066" spans="6:7" x14ac:dyDescent="0.3">
      <c r="F3066" s="124">
        <v>3060</v>
      </c>
      <c r="G3066" s="33">
        <f t="shared" ca="1" si="60"/>
        <v>3.0355563621965689E-2</v>
      </c>
    </row>
    <row r="3067" spans="6:7" x14ac:dyDescent="0.3">
      <c r="F3067" s="124">
        <v>3061</v>
      </c>
      <c r="G3067" s="33">
        <f t="shared" ca="1" si="60"/>
        <v>-3.1429113040505108E-2</v>
      </c>
    </row>
    <row r="3068" spans="6:7" x14ac:dyDescent="0.3">
      <c r="F3068" s="124">
        <v>3062</v>
      </c>
      <c r="G3068" s="33">
        <f t="shared" ca="1" si="60"/>
        <v>4.2308541579895935E-2</v>
      </c>
    </row>
    <row r="3069" spans="6:7" x14ac:dyDescent="0.3">
      <c r="F3069" s="124">
        <v>3063</v>
      </c>
      <c r="G3069" s="33">
        <f t="shared" ca="1" si="60"/>
        <v>1.5409818296134827E-2</v>
      </c>
    </row>
    <row r="3070" spans="6:7" x14ac:dyDescent="0.3">
      <c r="F3070" s="124">
        <v>3064</v>
      </c>
      <c r="G3070" s="33">
        <f t="shared" ca="1" si="60"/>
        <v>4.9012385543909777E-2</v>
      </c>
    </row>
    <row r="3071" spans="6:7" x14ac:dyDescent="0.3">
      <c r="F3071" s="124">
        <v>3065</v>
      </c>
      <c r="G3071" s="33">
        <f t="shared" ca="1" si="60"/>
        <v>8.9092057835251683E-3</v>
      </c>
    </row>
    <row r="3072" spans="6:7" x14ac:dyDescent="0.3">
      <c r="F3072" s="124">
        <v>3066</v>
      </c>
      <c r="G3072" s="33">
        <f t="shared" ca="1" si="60"/>
        <v>-3.58580027086611E-3</v>
      </c>
    </row>
    <row r="3073" spans="6:7" x14ac:dyDescent="0.3">
      <c r="F3073" s="124">
        <v>3067</v>
      </c>
      <c r="G3073" s="33">
        <f t="shared" ca="1" si="60"/>
        <v>-1.6422891780940765E-2</v>
      </c>
    </row>
    <row r="3074" spans="6:7" x14ac:dyDescent="0.3">
      <c r="F3074" s="124">
        <v>3068</v>
      </c>
      <c r="G3074" s="33">
        <f t="shared" ca="1" si="60"/>
        <v>7.351608098066667E-2</v>
      </c>
    </row>
    <row r="3075" spans="6:7" x14ac:dyDescent="0.3">
      <c r="F3075" s="124">
        <v>3069</v>
      </c>
      <c r="G3075" s="33">
        <f t="shared" ca="1" si="60"/>
        <v>-3.6104811774828362E-2</v>
      </c>
    </row>
    <row r="3076" spans="6:7" x14ac:dyDescent="0.3">
      <c r="F3076" s="124">
        <v>3070</v>
      </c>
      <c r="G3076" s="33">
        <f t="shared" ca="1" si="60"/>
        <v>4.8597123557309128E-2</v>
      </c>
    </row>
    <row r="3077" spans="6:7" x14ac:dyDescent="0.3">
      <c r="F3077" s="124">
        <v>3071</v>
      </c>
      <c r="G3077" s="33">
        <f t="shared" ca="1" si="60"/>
        <v>-1.2018833222469258E-2</v>
      </c>
    </row>
    <row r="3078" spans="6:7" x14ac:dyDescent="0.3">
      <c r="F3078" s="124">
        <v>3072</v>
      </c>
      <c r="G3078" s="33">
        <f t="shared" ca="1" si="60"/>
        <v>-8.2749422175698584E-3</v>
      </c>
    </row>
    <row r="3079" spans="6:7" x14ac:dyDescent="0.3">
      <c r="F3079" s="124">
        <v>3073</v>
      </c>
      <c r="G3079" s="33">
        <f t="shared" ca="1" si="60"/>
        <v>-3.1045971191218279E-2</v>
      </c>
    </row>
    <row r="3080" spans="6:7" x14ac:dyDescent="0.3">
      <c r="F3080" s="124">
        <v>3074</v>
      </c>
      <c r="G3080" s="33">
        <f t="shared" ref="G3080:G3143" ca="1" si="61">_xlfn.NORM.INV(RAND(),$M$9,$M$10)</f>
        <v>6.0260743240553947E-3</v>
      </c>
    </row>
    <row r="3081" spans="6:7" x14ac:dyDescent="0.3">
      <c r="F3081" s="124">
        <v>3075</v>
      </c>
      <c r="G3081" s="33">
        <f t="shared" ca="1" si="61"/>
        <v>7.3080313256140856E-3</v>
      </c>
    </row>
    <row r="3082" spans="6:7" x14ac:dyDescent="0.3">
      <c r="F3082" s="124">
        <v>3076</v>
      </c>
      <c r="G3082" s="33">
        <f t="shared" ca="1" si="61"/>
        <v>4.6268515174918777E-2</v>
      </c>
    </row>
    <row r="3083" spans="6:7" x14ac:dyDescent="0.3">
      <c r="F3083" s="124">
        <v>3077</v>
      </c>
      <c r="G3083" s="33">
        <f t="shared" ca="1" si="61"/>
        <v>-4.2112972846754783E-2</v>
      </c>
    </row>
    <row r="3084" spans="6:7" x14ac:dyDescent="0.3">
      <c r="F3084" s="124">
        <v>3078</v>
      </c>
      <c r="G3084" s="33">
        <f t="shared" ca="1" si="61"/>
        <v>2.2297672424329354E-2</v>
      </c>
    </row>
    <row r="3085" spans="6:7" x14ac:dyDescent="0.3">
      <c r="F3085" s="124">
        <v>3079</v>
      </c>
      <c r="G3085" s="33">
        <f t="shared" ca="1" si="61"/>
        <v>2.3671984826087056E-2</v>
      </c>
    </row>
    <row r="3086" spans="6:7" x14ac:dyDescent="0.3">
      <c r="F3086" s="124">
        <v>3080</v>
      </c>
      <c r="G3086" s="33">
        <f t="shared" ca="1" si="61"/>
        <v>4.3162125925842898E-2</v>
      </c>
    </row>
    <row r="3087" spans="6:7" x14ac:dyDescent="0.3">
      <c r="F3087" s="124">
        <v>3081</v>
      </c>
      <c r="G3087" s="33">
        <f t="shared" ca="1" si="61"/>
        <v>-8.0203234508816543E-3</v>
      </c>
    </row>
    <row r="3088" spans="6:7" x14ac:dyDescent="0.3">
      <c r="F3088" s="124">
        <v>3082</v>
      </c>
      <c r="G3088" s="33">
        <f t="shared" ca="1" si="61"/>
        <v>2.8675806431319659E-2</v>
      </c>
    </row>
    <row r="3089" spans="6:7" x14ac:dyDescent="0.3">
      <c r="F3089" s="124">
        <v>3083</v>
      </c>
      <c r="G3089" s="33">
        <f t="shared" ca="1" si="61"/>
        <v>1.9897722296829184E-3</v>
      </c>
    </row>
    <row r="3090" spans="6:7" x14ac:dyDescent="0.3">
      <c r="F3090" s="124">
        <v>3084</v>
      </c>
      <c r="G3090" s="33">
        <f t="shared" ca="1" si="61"/>
        <v>2.2811174066374396E-2</v>
      </c>
    </row>
    <row r="3091" spans="6:7" x14ac:dyDescent="0.3">
      <c r="F3091" s="124">
        <v>3085</v>
      </c>
      <c r="G3091" s="33">
        <f t="shared" ca="1" si="61"/>
        <v>-3.7197213573895341E-2</v>
      </c>
    </row>
    <row r="3092" spans="6:7" x14ac:dyDescent="0.3">
      <c r="F3092" s="124">
        <v>3086</v>
      </c>
      <c r="G3092" s="33">
        <f t="shared" ca="1" si="61"/>
        <v>-3.8068425414781379E-2</v>
      </c>
    </row>
    <row r="3093" spans="6:7" x14ac:dyDescent="0.3">
      <c r="F3093" s="124">
        <v>3087</v>
      </c>
      <c r="G3093" s="33">
        <f t="shared" ca="1" si="61"/>
        <v>-3.6057796532509512E-2</v>
      </c>
    </row>
    <row r="3094" spans="6:7" x14ac:dyDescent="0.3">
      <c r="F3094" s="124">
        <v>3088</v>
      </c>
      <c r="G3094" s="33">
        <f t="shared" ca="1" si="61"/>
        <v>1.7775705899886262E-2</v>
      </c>
    </row>
    <row r="3095" spans="6:7" x14ac:dyDescent="0.3">
      <c r="F3095" s="124">
        <v>3089</v>
      </c>
      <c r="G3095" s="33">
        <f t="shared" ca="1" si="61"/>
        <v>-6.6184011063524159E-2</v>
      </c>
    </row>
    <row r="3096" spans="6:7" x14ac:dyDescent="0.3">
      <c r="F3096" s="124">
        <v>3090</v>
      </c>
      <c r="G3096" s="33">
        <f t="shared" ca="1" si="61"/>
        <v>-1.8164539366579201E-2</v>
      </c>
    </row>
    <row r="3097" spans="6:7" x14ac:dyDescent="0.3">
      <c r="F3097" s="124">
        <v>3091</v>
      </c>
      <c r="G3097" s="33">
        <f t="shared" ca="1" si="61"/>
        <v>1.2666348828056343E-2</v>
      </c>
    </row>
    <row r="3098" spans="6:7" x14ac:dyDescent="0.3">
      <c r="F3098" s="124">
        <v>3092</v>
      </c>
      <c r="G3098" s="33">
        <f t="shared" ca="1" si="61"/>
        <v>-2.4977790676789426E-2</v>
      </c>
    </row>
    <row r="3099" spans="6:7" x14ac:dyDescent="0.3">
      <c r="F3099" s="124">
        <v>3093</v>
      </c>
      <c r="G3099" s="33">
        <f t="shared" ca="1" si="61"/>
        <v>4.8081381538804743E-2</v>
      </c>
    </row>
    <row r="3100" spans="6:7" x14ac:dyDescent="0.3">
      <c r="F3100" s="124">
        <v>3094</v>
      </c>
      <c r="G3100" s="33">
        <f t="shared" ca="1" si="61"/>
        <v>2.0113161400955285E-4</v>
      </c>
    </row>
    <row r="3101" spans="6:7" x14ac:dyDescent="0.3">
      <c r="F3101" s="124">
        <v>3095</v>
      </c>
      <c r="G3101" s="33">
        <f t="shared" ca="1" si="61"/>
        <v>-6.196934085444205E-2</v>
      </c>
    </row>
    <row r="3102" spans="6:7" x14ac:dyDescent="0.3">
      <c r="F3102" s="124">
        <v>3096</v>
      </c>
      <c r="G3102" s="33">
        <f t="shared" ca="1" si="61"/>
        <v>2.8109316356350261E-2</v>
      </c>
    </row>
    <row r="3103" spans="6:7" x14ac:dyDescent="0.3">
      <c r="F3103" s="124">
        <v>3097</v>
      </c>
      <c r="G3103" s="33">
        <f t="shared" ca="1" si="61"/>
        <v>-3.9071472496267023E-2</v>
      </c>
    </row>
    <row r="3104" spans="6:7" x14ac:dyDescent="0.3">
      <c r="F3104" s="124">
        <v>3098</v>
      </c>
      <c r="G3104" s="33">
        <f t="shared" ca="1" si="61"/>
        <v>5.1778559565213746E-3</v>
      </c>
    </row>
    <row r="3105" spans="6:7" x14ac:dyDescent="0.3">
      <c r="F3105" s="124">
        <v>3099</v>
      </c>
      <c r="G3105" s="33">
        <f t="shared" ca="1" si="61"/>
        <v>5.236977186628744E-3</v>
      </c>
    </row>
    <row r="3106" spans="6:7" x14ac:dyDescent="0.3">
      <c r="F3106" s="124">
        <v>3100</v>
      </c>
      <c r="G3106" s="33">
        <f t="shared" ca="1" si="61"/>
        <v>7.1082455301994446E-2</v>
      </c>
    </row>
    <row r="3107" spans="6:7" x14ac:dyDescent="0.3">
      <c r="F3107" s="124">
        <v>3101</v>
      </c>
      <c r="G3107" s="33">
        <f t="shared" ca="1" si="61"/>
        <v>-4.5235018846215853E-3</v>
      </c>
    </row>
    <row r="3108" spans="6:7" x14ac:dyDescent="0.3">
      <c r="F3108" s="124">
        <v>3102</v>
      </c>
      <c r="G3108" s="33">
        <f t="shared" ca="1" si="61"/>
        <v>2.6778218208254226E-2</v>
      </c>
    </row>
    <row r="3109" spans="6:7" x14ac:dyDescent="0.3">
      <c r="F3109" s="124">
        <v>3103</v>
      </c>
      <c r="G3109" s="33">
        <f t="shared" ca="1" si="61"/>
        <v>-1.5534763737507871E-2</v>
      </c>
    </row>
    <row r="3110" spans="6:7" x14ac:dyDescent="0.3">
      <c r="F3110" s="124">
        <v>3104</v>
      </c>
      <c r="G3110" s="33">
        <f t="shared" ca="1" si="61"/>
        <v>-3.4284611338363323E-2</v>
      </c>
    </row>
    <row r="3111" spans="6:7" x14ac:dyDescent="0.3">
      <c r="F3111" s="124">
        <v>3105</v>
      </c>
      <c r="G3111" s="33">
        <f t="shared" ca="1" si="61"/>
        <v>2.9620567361271576E-2</v>
      </c>
    </row>
    <row r="3112" spans="6:7" x14ac:dyDescent="0.3">
      <c r="F3112" s="124">
        <v>3106</v>
      </c>
      <c r="G3112" s="33">
        <f t="shared" ca="1" si="61"/>
        <v>2.4029522458714682E-2</v>
      </c>
    </row>
    <row r="3113" spans="6:7" x14ac:dyDescent="0.3">
      <c r="F3113" s="124">
        <v>3107</v>
      </c>
      <c r="G3113" s="33">
        <f t="shared" ca="1" si="61"/>
        <v>1.7060362456548107E-2</v>
      </c>
    </row>
    <row r="3114" spans="6:7" x14ac:dyDescent="0.3">
      <c r="F3114" s="124">
        <v>3108</v>
      </c>
      <c r="G3114" s="33">
        <f t="shared" ca="1" si="61"/>
        <v>7.0652780960731951E-2</v>
      </c>
    </row>
    <row r="3115" spans="6:7" x14ac:dyDescent="0.3">
      <c r="F3115" s="124">
        <v>3109</v>
      </c>
      <c r="G3115" s="33">
        <f t="shared" ca="1" si="61"/>
        <v>8.6119921273226444E-3</v>
      </c>
    </row>
    <row r="3116" spans="6:7" x14ac:dyDescent="0.3">
      <c r="F3116" s="124">
        <v>3110</v>
      </c>
      <c r="G3116" s="33">
        <f t="shared" ca="1" si="61"/>
        <v>-3.913161676948558E-2</v>
      </c>
    </row>
    <row r="3117" spans="6:7" x14ac:dyDescent="0.3">
      <c r="F3117" s="124">
        <v>3111</v>
      </c>
      <c r="G3117" s="33">
        <f t="shared" ca="1" si="61"/>
        <v>-3.2186561259512941E-2</v>
      </c>
    </row>
    <row r="3118" spans="6:7" x14ac:dyDescent="0.3">
      <c r="F3118" s="124">
        <v>3112</v>
      </c>
      <c r="G3118" s="33">
        <f t="shared" ca="1" si="61"/>
        <v>-6.981553867513284E-3</v>
      </c>
    </row>
    <row r="3119" spans="6:7" x14ac:dyDescent="0.3">
      <c r="F3119" s="124">
        <v>3113</v>
      </c>
      <c r="G3119" s="33">
        <f t="shared" ca="1" si="61"/>
        <v>-1.8192139481672557E-3</v>
      </c>
    </row>
    <row r="3120" spans="6:7" x14ac:dyDescent="0.3">
      <c r="F3120" s="124">
        <v>3114</v>
      </c>
      <c r="G3120" s="33">
        <f t="shared" ca="1" si="61"/>
        <v>1.3890307594967757E-2</v>
      </c>
    </row>
    <row r="3121" spans="6:7" x14ac:dyDescent="0.3">
      <c r="F3121" s="124">
        <v>3115</v>
      </c>
      <c r="G3121" s="33">
        <f t="shared" ca="1" si="61"/>
        <v>-2.1466183648722308E-3</v>
      </c>
    </row>
    <row r="3122" spans="6:7" x14ac:dyDescent="0.3">
      <c r="F3122" s="124">
        <v>3116</v>
      </c>
      <c r="G3122" s="33">
        <f t="shared" ca="1" si="61"/>
        <v>1.3211288919758285E-2</v>
      </c>
    </row>
    <row r="3123" spans="6:7" x14ac:dyDescent="0.3">
      <c r="F3123" s="124">
        <v>3117</v>
      </c>
      <c r="G3123" s="33">
        <f t="shared" ca="1" si="61"/>
        <v>2.5747368593884819E-2</v>
      </c>
    </row>
    <row r="3124" spans="6:7" x14ac:dyDescent="0.3">
      <c r="F3124" s="124">
        <v>3118</v>
      </c>
      <c r="G3124" s="33">
        <f t="shared" ca="1" si="61"/>
        <v>-6.7923677645486097E-2</v>
      </c>
    </row>
    <row r="3125" spans="6:7" x14ac:dyDescent="0.3">
      <c r="F3125" s="124">
        <v>3119</v>
      </c>
      <c r="G3125" s="33">
        <f t="shared" ca="1" si="61"/>
        <v>-2.938877463843945E-2</v>
      </c>
    </row>
    <row r="3126" spans="6:7" x14ac:dyDescent="0.3">
      <c r="F3126" s="124">
        <v>3120</v>
      </c>
      <c r="G3126" s="33">
        <f t="shared" ca="1" si="61"/>
        <v>2.5409830792651054E-2</v>
      </c>
    </row>
    <row r="3127" spans="6:7" x14ac:dyDescent="0.3">
      <c r="F3127" s="124">
        <v>3121</v>
      </c>
      <c r="G3127" s="33">
        <f t="shared" ca="1" si="61"/>
        <v>-4.6118250299644836E-2</v>
      </c>
    </row>
    <row r="3128" spans="6:7" x14ac:dyDescent="0.3">
      <c r="F3128" s="124">
        <v>3122</v>
      </c>
      <c r="G3128" s="33">
        <f t="shared" ca="1" si="61"/>
        <v>4.2081364003683834E-2</v>
      </c>
    </row>
    <row r="3129" spans="6:7" x14ac:dyDescent="0.3">
      <c r="F3129" s="124">
        <v>3123</v>
      </c>
      <c r="G3129" s="33">
        <f t="shared" ca="1" si="61"/>
        <v>-3.5910293322605681E-2</v>
      </c>
    </row>
    <row r="3130" spans="6:7" x14ac:dyDescent="0.3">
      <c r="F3130" s="124">
        <v>3124</v>
      </c>
      <c r="G3130" s="33">
        <f t="shared" ca="1" si="61"/>
        <v>-5.6114367527370888E-2</v>
      </c>
    </row>
    <row r="3131" spans="6:7" x14ac:dyDescent="0.3">
      <c r="F3131" s="124">
        <v>3125</v>
      </c>
      <c r="G3131" s="33">
        <f t="shared" ca="1" si="61"/>
        <v>1.5734388381819755E-2</v>
      </c>
    </row>
    <row r="3132" spans="6:7" x14ac:dyDescent="0.3">
      <c r="F3132" s="124">
        <v>3126</v>
      </c>
      <c r="G3132" s="33">
        <f t="shared" ca="1" si="61"/>
        <v>-1.1103985687883611E-2</v>
      </c>
    </row>
    <row r="3133" spans="6:7" x14ac:dyDescent="0.3">
      <c r="F3133" s="124">
        <v>3127</v>
      </c>
      <c r="G3133" s="33">
        <f t="shared" ca="1" si="61"/>
        <v>-3.9676626741323225E-2</v>
      </c>
    </row>
    <row r="3134" spans="6:7" x14ac:dyDescent="0.3">
      <c r="F3134" s="124">
        <v>3128</v>
      </c>
      <c r="G3134" s="33">
        <f t="shared" ca="1" si="61"/>
        <v>2.7852392932957454E-2</v>
      </c>
    </row>
    <row r="3135" spans="6:7" x14ac:dyDescent="0.3">
      <c r="F3135" s="124">
        <v>3129</v>
      </c>
      <c r="G3135" s="33">
        <f t="shared" ca="1" si="61"/>
        <v>-1.4545706745399629E-2</v>
      </c>
    </row>
    <row r="3136" spans="6:7" x14ac:dyDescent="0.3">
      <c r="F3136" s="124">
        <v>3130</v>
      </c>
      <c r="G3136" s="33">
        <f t="shared" ca="1" si="61"/>
        <v>5.776949530238492E-2</v>
      </c>
    </row>
    <row r="3137" spans="6:7" x14ac:dyDescent="0.3">
      <c r="F3137" s="124">
        <v>3131</v>
      </c>
      <c r="G3137" s="33">
        <f t="shared" ca="1" si="61"/>
        <v>-2.1191889599856649E-2</v>
      </c>
    </row>
    <row r="3138" spans="6:7" x14ac:dyDescent="0.3">
      <c r="F3138" s="124">
        <v>3132</v>
      </c>
      <c r="G3138" s="33">
        <f t="shared" ca="1" si="61"/>
        <v>4.5051828657864328E-2</v>
      </c>
    </row>
    <row r="3139" spans="6:7" x14ac:dyDescent="0.3">
      <c r="F3139" s="124">
        <v>3133</v>
      </c>
      <c r="G3139" s="33">
        <f t="shared" ca="1" si="61"/>
        <v>3.3904742944669032E-2</v>
      </c>
    </row>
    <row r="3140" spans="6:7" x14ac:dyDescent="0.3">
      <c r="F3140" s="124">
        <v>3134</v>
      </c>
      <c r="G3140" s="33">
        <f t="shared" ca="1" si="61"/>
        <v>-1.9355097386501964E-2</v>
      </c>
    </row>
    <row r="3141" spans="6:7" x14ac:dyDescent="0.3">
      <c r="F3141" s="124">
        <v>3135</v>
      </c>
      <c r="G3141" s="33">
        <f t="shared" ca="1" si="61"/>
        <v>-4.5372317129787933E-2</v>
      </c>
    </row>
    <row r="3142" spans="6:7" x14ac:dyDescent="0.3">
      <c r="F3142" s="124">
        <v>3136</v>
      </c>
      <c r="G3142" s="33">
        <f t="shared" ca="1" si="61"/>
        <v>-1.1153198787016497E-2</v>
      </c>
    </row>
    <row r="3143" spans="6:7" x14ac:dyDescent="0.3">
      <c r="F3143" s="124">
        <v>3137</v>
      </c>
      <c r="G3143" s="33">
        <f t="shared" ca="1" si="61"/>
        <v>2.3247647412040708E-3</v>
      </c>
    </row>
    <row r="3144" spans="6:7" x14ac:dyDescent="0.3">
      <c r="F3144" s="124">
        <v>3138</v>
      </c>
      <c r="G3144" s="33">
        <f t="shared" ref="G3144:G3207" ca="1" si="62">_xlfn.NORM.INV(RAND(),$M$9,$M$10)</f>
        <v>-3.0496068866539074E-2</v>
      </c>
    </row>
    <row r="3145" spans="6:7" x14ac:dyDescent="0.3">
      <c r="F3145" s="124">
        <v>3139</v>
      </c>
      <c r="G3145" s="33">
        <f t="shared" ca="1" si="62"/>
        <v>-9.203781578300721E-3</v>
      </c>
    </row>
    <row r="3146" spans="6:7" x14ac:dyDescent="0.3">
      <c r="F3146" s="124">
        <v>3140</v>
      </c>
      <c r="G3146" s="33">
        <f t="shared" ca="1" si="62"/>
        <v>1.1283724932092194E-2</v>
      </c>
    </row>
    <row r="3147" spans="6:7" x14ac:dyDescent="0.3">
      <c r="F3147" s="124">
        <v>3141</v>
      </c>
      <c r="G3147" s="33">
        <f t="shared" ca="1" si="62"/>
        <v>3.4671519295928262E-3</v>
      </c>
    </row>
    <row r="3148" spans="6:7" x14ac:dyDescent="0.3">
      <c r="F3148" s="124">
        <v>3142</v>
      </c>
      <c r="G3148" s="33">
        <f t="shared" ca="1" si="62"/>
        <v>9.422887891453062E-3</v>
      </c>
    </row>
    <row r="3149" spans="6:7" x14ac:dyDescent="0.3">
      <c r="F3149" s="124">
        <v>3143</v>
      </c>
      <c r="G3149" s="33">
        <f t="shared" ca="1" si="62"/>
        <v>-4.5720834404423628E-2</v>
      </c>
    </row>
    <row r="3150" spans="6:7" x14ac:dyDescent="0.3">
      <c r="F3150" s="124">
        <v>3144</v>
      </c>
      <c r="G3150" s="33">
        <f t="shared" ca="1" si="62"/>
        <v>2.0607195670610128E-2</v>
      </c>
    </row>
    <row r="3151" spans="6:7" x14ac:dyDescent="0.3">
      <c r="F3151" s="124">
        <v>3145</v>
      </c>
      <c r="G3151" s="33">
        <f t="shared" ca="1" si="62"/>
        <v>-1.3143312425496354E-2</v>
      </c>
    </row>
    <row r="3152" spans="6:7" x14ac:dyDescent="0.3">
      <c r="F3152" s="124">
        <v>3146</v>
      </c>
      <c r="G3152" s="33">
        <f t="shared" ca="1" si="62"/>
        <v>5.2825475956910783E-3</v>
      </c>
    </row>
    <row r="3153" spans="6:7" x14ac:dyDescent="0.3">
      <c r="F3153" s="124">
        <v>3147</v>
      </c>
      <c r="G3153" s="33">
        <f t="shared" ca="1" si="62"/>
        <v>-1.4805603767088605E-2</v>
      </c>
    </row>
    <row r="3154" spans="6:7" x14ac:dyDescent="0.3">
      <c r="F3154" s="124">
        <v>3148</v>
      </c>
      <c r="G3154" s="33">
        <f t="shared" ca="1" si="62"/>
        <v>2.370736428512684E-2</v>
      </c>
    </row>
    <row r="3155" spans="6:7" x14ac:dyDescent="0.3">
      <c r="F3155" s="124">
        <v>3149</v>
      </c>
      <c r="G3155" s="33">
        <f t="shared" ca="1" si="62"/>
        <v>2.099655101518904E-2</v>
      </c>
    </row>
    <row r="3156" spans="6:7" x14ac:dyDescent="0.3">
      <c r="F3156" s="124">
        <v>3150</v>
      </c>
      <c r="G3156" s="33">
        <f t="shared" ca="1" si="62"/>
        <v>-4.3483553788840742E-3</v>
      </c>
    </row>
    <row r="3157" spans="6:7" x14ac:dyDescent="0.3">
      <c r="F3157" s="124">
        <v>3151</v>
      </c>
      <c r="G3157" s="33">
        <f t="shared" ca="1" si="62"/>
        <v>8.7597480505632284E-3</v>
      </c>
    </row>
    <row r="3158" spans="6:7" x14ac:dyDescent="0.3">
      <c r="F3158" s="124">
        <v>3152</v>
      </c>
      <c r="G3158" s="33">
        <f t="shared" ca="1" si="62"/>
        <v>-2.4441435713550745E-3</v>
      </c>
    </row>
    <row r="3159" spans="6:7" x14ac:dyDescent="0.3">
      <c r="F3159" s="124">
        <v>3153</v>
      </c>
      <c r="G3159" s="33">
        <f t="shared" ca="1" si="62"/>
        <v>-7.4697678130956043E-3</v>
      </c>
    </row>
    <row r="3160" spans="6:7" x14ac:dyDescent="0.3">
      <c r="F3160" s="124">
        <v>3154</v>
      </c>
      <c r="G3160" s="33">
        <f t="shared" ca="1" si="62"/>
        <v>-8.8404944771252594E-5</v>
      </c>
    </row>
    <row r="3161" spans="6:7" x14ac:dyDescent="0.3">
      <c r="F3161" s="124">
        <v>3155</v>
      </c>
      <c r="G3161" s="33">
        <f t="shared" ca="1" si="62"/>
        <v>2.8224861621457792E-2</v>
      </c>
    </row>
    <row r="3162" spans="6:7" x14ac:dyDescent="0.3">
      <c r="F3162" s="124">
        <v>3156</v>
      </c>
      <c r="G3162" s="33">
        <f t="shared" ca="1" si="62"/>
        <v>-3.0304447702454865E-3</v>
      </c>
    </row>
    <row r="3163" spans="6:7" x14ac:dyDescent="0.3">
      <c r="F3163" s="124">
        <v>3157</v>
      </c>
      <c r="G3163" s="33">
        <f t="shared" ca="1" si="62"/>
        <v>8.8872470883464713E-2</v>
      </c>
    </row>
    <row r="3164" spans="6:7" x14ac:dyDescent="0.3">
      <c r="F3164" s="124">
        <v>3158</v>
      </c>
      <c r="G3164" s="33">
        <f t="shared" ca="1" si="62"/>
        <v>-2.7144265408991463E-2</v>
      </c>
    </row>
    <row r="3165" spans="6:7" x14ac:dyDescent="0.3">
      <c r="F3165" s="124">
        <v>3159</v>
      </c>
      <c r="G3165" s="33">
        <f t="shared" ca="1" si="62"/>
        <v>-2.1737349479220992E-2</v>
      </c>
    </row>
    <row r="3166" spans="6:7" x14ac:dyDescent="0.3">
      <c r="F3166" s="124">
        <v>3160</v>
      </c>
      <c r="G3166" s="33">
        <f t="shared" ca="1" si="62"/>
        <v>6.0092617255906007E-3</v>
      </c>
    </row>
    <row r="3167" spans="6:7" x14ac:dyDescent="0.3">
      <c r="F3167" s="124">
        <v>3161</v>
      </c>
      <c r="G3167" s="33">
        <f t="shared" ca="1" si="62"/>
        <v>-4.7194090027960871E-2</v>
      </c>
    </row>
    <row r="3168" spans="6:7" x14ac:dyDescent="0.3">
      <c r="F3168" s="124">
        <v>3162</v>
      </c>
      <c r="G3168" s="33">
        <f t="shared" ca="1" si="62"/>
        <v>5.8370119892232307E-3</v>
      </c>
    </row>
    <row r="3169" spans="6:7" x14ac:dyDescent="0.3">
      <c r="F3169" s="124">
        <v>3163</v>
      </c>
      <c r="G3169" s="33">
        <f t="shared" ca="1" si="62"/>
        <v>4.8370291317559419E-2</v>
      </c>
    </row>
    <row r="3170" spans="6:7" x14ac:dyDescent="0.3">
      <c r="F3170" s="124">
        <v>3164</v>
      </c>
      <c r="G3170" s="33">
        <f t="shared" ca="1" si="62"/>
        <v>2.7166291297905758E-2</v>
      </c>
    </row>
    <row r="3171" spans="6:7" x14ac:dyDescent="0.3">
      <c r="F3171" s="124">
        <v>3165</v>
      </c>
      <c r="G3171" s="33">
        <f t="shared" ca="1" si="62"/>
        <v>6.1005035416563441E-3</v>
      </c>
    </row>
    <row r="3172" spans="6:7" x14ac:dyDescent="0.3">
      <c r="F3172" s="124">
        <v>3166</v>
      </c>
      <c r="G3172" s="33">
        <f t="shared" ca="1" si="62"/>
        <v>-6.7388447779357175E-3</v>
      </c>
    </row>
    <row r="3173" spans="6:7" x14ac:dyDescent="0.3">
      <c r="F3173" s="124">
        <v>3167</v>
      </c>
      <c r="G3173" s="33">
        <f t="shared" ca="1" si="62"/>
        <v>-1.2565758553200163E-2</v>
      </c>
    </row>
    <row r="3174" spans="6:7" x14ac:dyDescent="0.3">
      <c r="F3174" s="124">
        <v>3168</v>
      </c>
      <c r="G3174" s="33">
        <f t="shared" ca="1" si="62"/>
        <v>3.9802495698413945E-2</v>
      </c>
    </row>
    <row r="3175" spans="6:7" x14ac:dyDescent="0.3">
      <c r="F3175" s="124">
        <v>3169</v>
      </c>
      <c r="G3175" s="33">
        <f t="shared" ca="1" si="62"/>
        <v>3.519459624930376E-2</v>
      </c>
    </row>
    <row r="3176" spans="6:7" x14ac:dyDescent="0.3">
      <c r="F3176" s="124">
        <v>3170</v>
      </c>
      <c r="G3176" s="33">
        <f t="shared" ca="1" si="62"/>
        <v>-5.4191224877898993E-2</v>
      </c>
    </row>
    <row r="3177" spans="6:7" x14ac:dyDescent="0.3">
      <c r="F3177" s="124">
        <v>3171</v>
      </c>
      <c r="G3177" s="33">
        <f t="shared" ca="1" si="62"/>
        <v>-7.9418653078243334E-2</v>
      </c>
    </row>
    <row r="3178" spans="6:7" x14ac:dyDescent="0.3">
      <c r="F3178" s="124">
        <v>3172</v>
      </c>
      <c r="G3178" s="33">
        <f t="shared" ca="1" si="62"/>
        <v>2.9475392214034248E-2</v>
      </c>
    </row>
    <row r="3179" spans="6:7" x14ac:dyDescent="0.3">
      <c r="F3179" s="124">
        <v>3173</v>
      </c>
      <c r="G3179" s="33">
        <f t="shared" ca="1" si="62"/>
        <v>2.5245563889504802E-2</v>
      </c>
    </row>
    <row r="3180" spans="6:7" x14ac:dyDescent="0.3">
      <c r="F3180" s="124">
        <v>3174</v>
      </c>
      <c r="G3180" s="33">
        <f t="shared" ca="1" si="62"/>
        <v>-2.166019613145214E-2</v>
      </c>
    </row>
    <row r="3181" spans="6:7" x14ac:dyDescent="0.3">
      <c r="F3181" s="124">
        <v>3175</v>
      </c>
      <c r="G3181" s="33">
        <f t="shared" ca="1" si="62"/>
        <v>4.8568512259399628E-2</v>
      </c>
    </row>
    <row r="3182" spans="6:7" x14ac:dyDescent="0.3">
      <c r="F3182" s="124">
        <v>3176</v>
      </c>
      <c r="G3182" s="33">
        <f t="shared" ca="1" si="62"/>
        <v>1.3902599501583183E-2</v>
      </c>
    </row>
    <row r="3183" spans="6:7" x14ac:dyDescent="0.3">
      <c r="F3183" s="124">
        <v>3177</v>
      </c>
      <c r="G3183" s="33">
        <f t="shared" ca="1" si="62"/>
        <v>7.8999272901317721E-3</v>
      </c>
    </row>
    <row r="3184" spans="6:7" x14ac:dyDescent="0.3">
      <c r="F3184" s="124">
        <v>3178</v>
      </c>
      <c r="G3184" s="33">
        <f t="shared" ca="1" si="62"/>
        <v>4.3650264723325179E-2</v>
      </c>
    </row>
    <row r="3185" spans="6:7" x14ac:dyDescent="0.3">
      <c r="F3185" s="124">
        <v>3179</v>
      </c>
      <c r="G3185" s="33">
        <f t="shared" ca="1" si="62"/>
        <v>-1.8059910140408742E-2</v>
      </c>
    </row>
    <row r="3186" spans="6:7" x14ac:dyDescent="0.3">
      <c r="F3186" s="124">
        <v>3180</v>
      </c>
      <c r="G3186" s="33">
        <f t="shared" ca="1" si="62"/>
        <v>-4.7174096698821263E-2</v>
      </c>
    </row>
    <row r="3187" spans="6:7" x14ac:dyDescent="0.3">
      <c r="F3187" s="124">
        <v>3181</v>
      </c>
      <c r="G3187" s="33">
        <f t="shared" ca="1" si="62"/>
        <v>-2.1238856099528032E-2</v>
      </c>
    </row>
    <row r="3188" spans="6:7" x14ac:dyDescent="0.3">
      <c r="F3188" s="124">
        <v>3182</v>
      </c>
      <c r="G3188" s="33">
        <f t="shared" ca="1" si="62"/>
        <v>-8.8990623880359186E-3</v>
      </c>
    </row>
    <row r="3189" spans="6:7" x14ac:dyDescent="0.3">
      <c r="F3189" s="124">
        <v>3183</v>
      </c>
      <c r="G3189" s="33">
        <f t="shared" ca="1" si="62"/>
        <v>-2.7488089417762526E-3</v>
      </c>
    </row>
    <row r="3190" spans="6:7" x14ac:dyDescent="0.3">
      <c r="F3190" s="124">
        <v>3184</v>
      </c>
      <c r="G3190" s="33">
        <f t="shared" ca="1" si="62"/>
        <v>4.7881742565441511E-2</v>
      </c>
    </row>
    <row r="3191" spans="6:7" x14ac:dyDescent="0.3">
      <c r="F3191" s="124">
        <v>3185</v>
      </c>
      <c r="G3191" s="33">
        <f t="shared" ca="1" si="62"/>
        <v>2.8475811901645469E-3</v>
      </c>
    </row>
    <row r="3192" spans="6:7" x14ac:dyDescent="0.3">
      <c r="F3192" s="124">
        <v>3186</v>
      </c>
      <c r="G3192" s="33">
        <f t="shared" ca="1" si="62"/>
        <v>4.083176356562053E-2</v>
      </c>
    </row>
    <row r="3193" spans="6:7" x14ac:dyDescent="0.3">
      <c r="F3193" s="124">
        <v>3187</v>
      </c>
      <c r="G3193" s="33">
        <f t="shared" ca="1" si="62"/>
        <v>-1.7341162394937923E-2</v>
      </c>
    </row>
    <row r="3194" spans="6:7" x14ac:dyDescent="0.3">
      <c r="F3194" s="124">
        <v>3188</v>
      </c>
      <c r="G3194" s="33">
        <f t="shared" ca="1" si="62"/>
        <v>-3.6301479342085156E-2</v>
      </c>
    </row>
    <row r="3195" spans="6:7" x14ac:dyDescent="0.3">
      <c r="F3195" s="124">
        <v>3189</v>
      </c>
      <c r="G3195" s="33">
        <f t="shared" ca="1" si="62"/>
        <v>-3.2221747140455746E-2</v>
      </c>
    </row>
    <row r="3196" spans="6:7" x14ac:dyDescent="0.3">
      <c r="F3196" s="124">
        <v>3190</v>
      </c>
      <c r="G3196" s="33">
        <f t="shared" ca="1" si="62"/>
        <v>-6.858153858817227E-3</v>
      </c>
    </row>
    <row r="3197" spans="6:7" x14ac:dyDescent="0.3">
      <c r="F3197" s="124">
        <v>3191</v>
      </c>
      <c r="G3197" s="33">
        <f t="shared" ca="1" si="62"/>
        <v>-1.3619036990830741E-2</v>
      </c>
    </row>
    <row r="3198" spans="6:7" x14ac:dyDescent="0.3">
      <c r="F3198" s="124">
        <v>3192</v>
      </c>
      <c r="G3198" s="33">
        <f t="shared" ca="1" si="62"/>
        <v>2.31975782185934E-2</v>
      </c>
    </row>
    <row r="3199" spans="6:7" x14ac:dyDescent="0.3">
      <c r="F3199" s="124">
        <v>3193</v>
      </c>
      <c r="G3199" s="33">
        <f t="shared" ca="1" si="62"/>
        <v>4.3642112346210328E-2</v>
      </c>
    </row>
    <row r="3200" spans="6:7" x14ac:dyDescent="0.3">
      <c r="F3200" s="124">
        <v>3194</v>
      </c>
      <c r="G3200" s="33">
        <f t="shared" ca="1" si="62"/>
        <v>4.3593143908637409E-2</v>
      </c>
    </row>
    <row r="3201" spans="6:7" x14ac:dyDescent="0.3">
      <c r="F3201" s="124">
        <v>3195</v>
      </c>
      <c r="G3201" s="33">
        <f t="shared" ca="1" si="62"/>
        <v>-4.3076909498650187E-2</v>
      </c>
    </row>
    <row r="3202" spans="6:7" x14ac:dyDescent="0.3">
      <c r="F3202" s="124">
        <v>3196</v>
      </c>
      <c r="G3202" s="33">
        <f t="shared" ca="1" si="62"/>
        <v>7.7533237977773215E-4</v>
      </c>
    </row>
    <row r="3203" spans="6:7" x14ac:dyDescent="0.3">
      <c r="F3203" s="124">
        <v>3197</v>
      </c>
      <c r="G3203" s="33">
        <f t="shared" ca="1" si="62"/>
        <v>-3.1564414343386284E-2</v>
      </c>
    </row>
    <row r="3204" spans="6:7" x14ac:dyDescent="0.3">
      <c r="F3204" s="124">
        <v>3198</v>
      </c>
      <c r="G3204" s="33">
        <f t="shared" ca="1" si="62"/>
        <v>-3.5198280111718216E-2</v>
      </c>
    </row>
    <row r="3205" spans="6:7" x14ac:dyDescent="0.3">
      <c r="F3205" s="124">
        <v>3199</v>
      </c>
      <c r="G3205" s="33">
        <f t="shared" ca="1" si="62"/>
        <v>-1.3780817609701018E-3</v>
      </c>
    </row>
    <row r="3206" spans="6:7" x14ac:dyDescent="0.3">
      <c r="F3206" s="124">
        <v>3200</v>
      </c>
      <c r="G3206" s="33">
        <f t="shared" ca="1" si="62"/>
        <v>3.4558304736837415E-2</v>
      </c>
    </row>
    <row r="3207" spans="6:7" x14ac:dyDescent="0.3">
      <c r="F3207" s="124">
        <v>3201</v>
      </c>
      <c r="G3207" s="33">
        <f t="shared" ca="1" si="62"/>
        <v>-1.125411161387202E-2</v>
      </c>
    </row>
    <row r="3208" spans="6:7" x14ac:dyDescent="0.3">
      <c r="F3208" s="124">
        <v>3202</v>
      </c>
      <c r="G3208" s="33">
        <f t="shared" ref="G3208:G3271" ca="1" si="63">_xlfn.NORM.INV(RAND(),$M$9,$M$10)</f>
        <v>-1.4815138301100574E-2</v>
      </c>
    </row>
    <row r="3209" spans="6:7" x14ac:dyDescent="0.3">
      <c r="F3209" s="124">
        <v>3203</v>
      </c>
      <c r="G3209" s="33">
        <f t="shared" ca="1" si="63"/>
        <v>7.7115635698553637E-3</v>
      </c>
    </row>
    <row r="3210" spans="6:7" x14ac:dyDescent="0.3">
      <c r="F3210" s="124">
        <v>3204</v>
      </c>
      <c r="G3210" s="33">
        <f t="shared" ca="1" si="63"/>
        <v>1.1342505721421547E-2</v>
      </c>
    </row>
    <row r="3211" spans="6:7" x14ac:dyDescent="0.3">
      <c r="F3211" s="124">
        <v>3205</v>
      </c>
      <c r="G3211" s="33">
        <f t="shared" ca="1" si="63"/>
        <v>3.1700466815540819E-2</v>
      </c>
    </row>
    <row r="3212" spans="6:7" x14ac:dyDescent="0.3">
      <c r="F3212" s="124">
        <v>3206</v>
      </c>
      <c r="G3212" s="33">
        <f t="shared" ca="1" si="63"/>
        <v>6.1726184707798913E-2</v>
      </c>
    </row>
    <row r="3213" spans="6:7" x14ac:dyDescent="0.3">
      <c r="F3213" s="124">
        <v>3207</v>
      </c>
      <c r="G3213" s="33">
        <f t="shared" ca="1" si="63"/>
        <v>-1.452938844113584E-2</v>
      </c>
    </row>
    <row r="3214" spans="6:7" x14ac:dyDescent="0.3">
      <c r="F3214" s="124">
        <v>3208</v>
      </c>
      <c r="G3214" s="33">
        <f t="shared" ca="1" si="63"/>
        <v>-6.2775132225086515E-3</v>
      </c>
    </row>
    <row r="3215" spans="6:7" x14ac:dyDescent="0.3">
      <c r="F3215" s="124">
        <v>3209</v>
      </c>
      <c r="G3215" s="33">
        <f t="shared" ca="1" si="63"/>
        <v>2.0569721663165102E-2</v>
      </c>
    </row>
    <row r="3216" spans="6:7" x14ac:dyDescent="0.3">
      <c r="F3216" s="124">
        <v>3210</v>
      </c>
      <c r="G3216" s="33">
        <f t="shared" ca="1" si="63"/>
        <v>-2.8045544297656048E-2</v>
      </c>
    </row>
    <row r="3217" spans="6:7" x14ac:dyDescent="0.3">
      <c r="F3217" s="124">
        <v>3211</v>
      </c>
      <c r="G3217" s="33">
        <f t="shared" ca="1" si="63"/>
        <v>3.4650989141065715E-2</v>
      </c>
    </row>
    <row r="3218" spans="6:7" x14ac:dyDescent="0.3">
      <c r="F3218" s="124">
        <v>3212</v>
      </c>
      <c r="G3218" s="33">
        <f t="shared" ca="1" si="63"/>
        <v>3.0736109798795312E-2</v>
      </c>
    </row>
    <row r="3219" spans="6:7" x14ac:dyDescent="0.3">
      <c r="F3219" s="124">
        <v>3213</v>
      </c>
      <c r="G3219" s="33">
        <f t="shared" ca="1" si="63"/>
        <v>-4.3107603333768424E-2</v>
      </c>
    </row>
    <row r="3220" spans="6:7" x14ac:dyDescent="0.3">
      <c r="F3220" s="124">
        <v>3214</v>
      </c>
      <c r="G3220" s="33">
        <f t="shared" ca="1" si="63"/>
        <v>-1.203618618224048E-2</v>
      </c>
    </row>
    <row r="3221" spans="6:7" x14ac:dyDescent="0.3">
      <c r="F3221" s="124">
        <v>3215</v>
      </c>
      <c r="G3221" s="33">
        <f t="shared" ca="1" si="63"/>
        <v>-1.6234877660713316E-2</v>
      </c>
    </row>
    <row r="3222" spans="6:7" x14ac:dyDescent="0.3">
      <c r="F3222" s="124">
        <v>3216</v>
      </c>
      <c r="G3222" s="33">
        <f t="shared" ca="1" si="63"/>
        <v>1.3155709371318075E-2</v>
      </c>
    </row>
    <row r="3223" spans="6:7" x14ac:dyDescent="0.3">
      <c r="F3223" s="124">
        <v>3217</v>
      </c>
      <c r="G3223" s="33">
        <f t="shared" ca="1" si="63"/>
        <v>5.4212826149826955E-2</v>
      </c>
    </row>
    <row r="3224" spans="6:7" x14ac:dyDescent="0.3">
      <c r="F3224" s="124">
        <v>3218</v>
      </c>
      <c r="G3224" s="33">
        <f t="shared" ca="1" si="63"/>
        <v>1.1054279738865802E-2</v>
      </c>
    </row>
    <row r="3225" spans="6:7" x14ac:dyDescent="0.3">
      <c r="F3225" s="124">
        <v>3219</v>
      </c>
      <c r="G3225" s="33">
        <f t="shared" ca="1" si="63"/>
        <v>3.06951480198722E-2</v>
      </c>
    </row>
    <row r="3226" spans="6:7" x14ac:dyDescent="0.3">
      <c r="F3226" s="124">
        <v>3220</v>
      </c>
      <c r="G3226" s="33">
        <f t="shared" ca="1" si="63"/>
        <v>3.3289315462685216E-2</v>
      </c>
    </row>
    <row r="3227" spans="6:7" x14ac:dyDescent="0.3">
      <c r="F3227" s="124">
        <v>3221</v>
      </c>
      <c r="G3227" s="33">
        <f t="shared" ca="1" si="63"/>
        <v>4.5585761726119035E-2</v>
      </c>
    </row>
    <row r="3228" spans="6:7" x14ac:dyDescent="0.3">
      <c r="F3228" s="124">
        <v>3222</v>
      </c>
      <c r="G3228" s="33">
        <f t="shared" ca="1" si="63"/>
        <v>6.3077830383536119E-3</v>
      </c>
    </row>
    <row r="3229" spans="6:7" x14ac:dyDescent="0.3">
      <c r="F3229" s="124">
        <v>3223</v>
      </c>
      <c r="G3229" s="33">
        <f t="shared" ca="1" si="63"/>
        <v>-3.6043115827967265E-3</v>
      </c>
    </row>
    <row r="3230" spans="6:7" x14ac:dyDescent="0.3">
      <c r="F3230" s="124">
        <v>3224</v>
      </c>
      <c r="G3230" s="33">
        <f t="shared" ca="1" si="63"/>
        <v>8.0881789212203497E-3</v>
      </c>
    </row>
    <row r="3231" spans="6:7" x14ac:dyDescent="0.3">
      <c r="F3231" s="124">
        <v>3225</v>
      </c>
      <c r="G3231" s="33">
        <f t="shared" ca="1" si="63"/>
        <v>4.2073163751171927E-2</v>
      </c>
    </row>
    <row r="3232" spans="6:7" x14ac:dyDescent="0.3">
      <c r="F3232" s="124">
        <v>3226</v>
      </c>
      <c r="G3232" s="33">
        <f t="shared" ca="1" si="63"/>
        <v>2.8574474652716737E-2</v>
      </c>
    </row>
    <row r="3233" spans="6:7" x14ac:dyDescent="0.3">
      <c r="F3233" s="124">
        <v>3227</v>
      </c>
      <c r="G3233" s="33">
        <f t="shared" ca="1" si="63"/>
        <v>2.429621157923835E-2</v>
      </c>
    </row>
    <row r="3234" spans="6:7" x14ac:dyDescent="0.3">
      <c r="F3234" s="124">
        <v>3228</v>
      </c>
      <c r="G3234" s="33">
        <f t="shared" ca="1" si="63"/>
        <v>3.6355755099263809E-3</v>
      </c>
    </row>
    <row r="3235" spans="6:7" x14ac:dyDescent="0.3">
      <c r="F3235" s="124">
        <v>3229</v>
      </c>
      <c r="G3235" s="33">
        <f t="shared" ca="1" si="63"/>
        <v>1.2856043043860781E-2</v>
      </c>
    </row>
    <row r="3236" spans="6:7" x14ac:dyDescent="0.3">
      <c r="F3236" s="124">
        <v>3230</v>
      </c>
      <c r="G3236" s="33">
        <f t="shared" ca="1" si="63"/>
        <v>-1.2775979787713807E-2</v>
      </c>
    </row>
    <row r="3237" spans="6:7" x14ac:dyDescent="0.3">
      <c r="F3237" s="124">
        <v>3231</v>
      </c>
      <c r="G3237" s="33">
        <f t="shared" ca="1" si="63"/>
        <v>-7.2259218486442874E-3</v>
      </c>
    </row>
    <row r="3238" spans="6:7" x14ac:dyDescent="0.3">
      <c r="F3238" s="124">
        <v>3232</v>
      </c>
      <c r="G3238" s="33">
        <f t="shared" ca="1" si="63"/>
        <v>-1.1460706185473866E-2</v>
      </c>
    </row>
    <row r="3239" spans="6:7" x14ac:dyDescent="0.3">
      <c r="F3239" s="124">
        <v>3233</v>
      </c>
      <c r="G3239" s="33">
        <f t="shared" ca="1" si="63"/>
        <v>-1.7986408729295637E-2</v>
      </c>
    </row>
    <row r="3240" spans="6:7" x14ac:dyDescent="0.3">
      <c r="F3240" s="124">
        <v>3234</v>
      </c>
      <c r="G3240" s="33">
        <f t="shared" ca="1" si="63"/>
        <v>5.1538951507612459E-2</v>
      </c>
    </row>
    <row r="3241" spans="6:7" x14ac:dyDescent="0.3">
      <c r="F3241" s="124">
        <v>3235</v>
      </c>
      <c r="G3241" s="33">
        <f t="shared" ca="1" si="63"/>
        <v>1.1270840494197507E-2</v>
      </c>
    </row>
    <row r="3242" spans="6:7" x14ac:dyDescent="0.3">
      <c r="F3242" s="124">
        <v>3236</v>
      </c>
      <c r="G3242" s="33">
        <f t="shared" ca="1" si="63"/>
        <v>-2.3419927412783703E-2</v>
      </c>
    </row>
    <row r="3243" spans="6:7" x14ac:dyDescent="0.3">
      <c r="F3243" s="124">
        <v>3237</v>
      </c>
      <c r="G3243" s="33">
        <f t="shared" ca="1" si="63"/>
        <v>3.3833064673007729E-2</v>
      </c>
    </row>
    <row r="3244" spans="6:7" x14ac:dyDescent="0.3">
      <c r="F3244" s="124">
        <v>3238</v>
      </c>
      <c r="G3244" s="33">
        <f t="shared" ca="1" si="63"/>
        <v>2.871737454834063E-2</v>
      </c>
    </row>
    <row r="3245" spans="6:7" x14ac:dyDescent="0.3">
      <c r="F3245" s="124">
        <v>3239</v>
      </c>
      <c r="G3245" s="33">
        <f t="shared" ca="1" si="63"/>
        <v>-4.9416694862970942E-2</v>
      </c>
    </row>
    <row r="3246" spans="6:7" x14ac:dyDescent="0.3">
      <c r="F3246" s="124">
        <v>3240</v>
      </c>
      <c r="G3246" s="33">
        <f t="shared" ca="1" si="63"/>
        <v>-4.9482788980375648E-2</v>
      </c>
    </row>
    <row r="3247" spans="6:7" x14ac:dyDescent="0.3">
      <c r="F3247" s="124">
        <v>3241</v>
      </c>
      <c r="G3247" s="33">
        <f t="shared" ca="1" si="63"/>
        <v>-4.6661595711484684E-2</v>
      </c>
    </row>
    <row r="3248" spans="6:7" x14ac:dyDescent="0.3">
      <c r="F3248" s="124">
        <v>3242</v>
      </c>
      <c r="G3248" s="33">
        <f t="shared" ca="1" si="63"/>
        <v>-5.9881242901114219E-2</v>
      </c>
    </row>
    <row r="3249" spans="6:7" x14ac:dyDescent="0.3">
      <c r="F3249" s="124">
        <v>3243</v>
      </c>
      <c r="G3249" s="33">
        <f t="shared" ca="1" si="63"/>
        <v>-1.6059662223460586E-2</v>
      </c>
    </row>
    <row r="3250" spans="6:7" x14ac:dyDescent="0.3">
      <c r="F3250" s="124">
        <v>3244</v>
      </c>
      <c r="G3250" s="33">
        <f t="shared" ca="1" si="63"/>
        <v>-7.9680595091706496E-3</v>
      </c>
    </row>
    <row r="3251" spans="6:7" x14ac:dyDescent="0.3">
      <c r="F3251" s="124">
        <v>3245</v>
      </c>
      <c r="G3251" s="33">
        <f t="shared" ca="1" si="63"/>
        <v>-5.2017101896062908E-3</v>
      </c>
    </row>
    <row r="3252" spans="6:7" x14ac:dyDescent="0.3">
      <c r="F3252" s="124">
        <v>3246</v>
      </c>
      <c r="G3252" s="33">
        <f t="shared" ca="1" si="63"/>
        <v>5.6787748141293622E-3</v>
      </c>
    </row>
    <row r="3253" spans="6:7" x14ac:dyDescent="0.3">
      <c r="F3253" s="124">
        <v>3247</v>
      </c>
      <c r="G3253" s="33">
        <f t="shared" ca="1" si="63"/>
        <v>1.8662390042642002E-2</v>
      </c>
    </row>
    <row r="3254" spans="6:7" x14ac:dyDescent="0.3">
      <c r="F3254" s="124">
        <v>3248</v>
      </c>
      <c r="G3254" s="33">
        <f t="shared" ca="1" si="63"/>
        <v>-2.2219574410378796E-2</v>
      </c>
    </row>
    <row r="3255" spans="6:7" x14ac:dyDescent="0.3">
      <c r="F3255" s="124">
        <v>3249</v>
      </c>
      <c r="G3255" s="33">
        <f t="shared" ca="1" si="63"/>
        <v>-1.4540099264510692E-2</v>
      </c>
    </row>
    <row r="3256" spans="6:7" x14ac:dyDescent="0.3">
      <c r="F3256" s="124">
        <v>3250</v>
      </c>
      <c r="G3256" s="33">
        <f t="shared" ca="1" si="63"/>
        <v>-3.7989950698380001E-2</v>
      </c>
    </row>
    <row r="3257" spans="6:7" x14ac:dyDescent="0.3">
      <c r="F3257" s="124">
        <v>3251</v>
      </c>
      <c r="G3257" s="33">
        <f t="shared" ca="1" si="63"/>
        <v>4.2699378643648624E-2</v>
      </c>
    </row>
    <row r="3258" spans="6:7" x14ac:dyDescent="0.3">
      <c r="F3258" s="124">
        <v>3252</v>
      </c>
      <c r="G3258" s="33">
        <f t="shared" ca="1" si="63"/>
        <v>-1.2346559555087389E-2</v>
      </c>
    </row>
    <row r="3259" spans="6:7" x14ac:dyDescent="0.3">
      <c r="F3259" s="124">
        <v>3253</v>
      </c>
      <c r="G3259" s="33">
        <f t="shared" ca="1" si="63"/>
        <v>-2.1674851682516882E-2</v>
      </c>
    </row>
    <row r="3260" spans="6:7" x14ac:dyDescent="0.3">
      <c r="F3260" s="124">
        <v>3254</v>
      </c>
      <c r="G3260" s="33">
        <f t="shared" ca="1" si="63"/>
        <v>3.9305136432263625E-2</v>
      </c>
    </row>
    <row r="3261" spans="6:7" x14ac:dyDescent="0.3">
      <c r="F3261" s="124">
        <v>3255</v>
      </c>
      <c r="G3261" s="33">
        <f t="shared" ca="1" si="63"/>
        <v>-2.5041422306414714E-2</v>
      </c>
    </row>
    <row r="3262" spans="6:7" x14ac:dyDescent="0.3">
      <c r="F3262" s="124">
        <v>3256</v>
      </c>
      <c r="G3262" s="33">
        <f t="shared" ca="1" si="63"/>
        <v>5.0592008809376837E-3</v>
      </c>
    </row>
    <row r="3263" spans="6:7" x14ac:dyDescent="0.3">
      <c r="F3263" s="124">
        <v>3257</v>
      </c>
      <c r="G3263" s="33">
        <f t="shared" ca="1" si="63"/>
        <v>3.6444363519866067E-2</v>
      </c>
    </row>
    <row r="3264" spans="6:7" x14ac:dyDescent="0.3">
      <c r="F3264" s="124">
        <v>3258</v>
      </c>
      <c r="G3264" s="33">
        <f t="shared" ca="1" si="63"/>
        <v>-8.8469606842605762E-3</v>
      </c>
    </row>
    <row r="3265" spans="6:7" x14ac:dyDescent="0.3">
      <c r="F3265" s="124">
        <v>3259</v>
      </c>
      <c r="G3265" s="33">
        <f t="shared" ca="1" si="63"/>
        <v>-1.9614300443270043E-2</v>
      </c>
    </row>
    <row r="3266" spans="6:7" x14ac:dyDescent="0.3">
      <c r="F3266" s="124">
        <v>3260</v>
      </c>
      <c r="G3266" s="33">
        <f t="shared" ca="1" si="63"/>
        <v>9.4897507690578399E-3</v>
      </c>
    </row>
    <row r="3267" spans="6:7" x14ac:dyDescent="0.3">
      <c r="F3267" s="124">
        <v>3261</v>
      </c>
      <c r="G3267" s="33">
        <f t="shared" ca="1" si="63"/>
        <v>1.4933751537451672E-2</v>
      </c>
    </row>
    <row r="3268" spans="6:7" x14ac:dyDescent="0.3">
      <c r="F3268" s="124">
        <v>3262</v>
      </c>
      <c r="G3268" s="33">
        <f t="shared" ca="1" si="63"/>
        <v>-2.2202247327635347E-2</v>
      </c>
    </row>
    <row r="3269" spans="6:7" x14ac:dyDescent="0.3">
      <c r="F3269" s="124">
        <v>3263</v>
      </c>
      <c r="G3269" s="33">
        <f t="shared" ca="1" si="63"/>
        <v>3.3743641818694312E-2</v>
      </c>
    </row>
    <row r="3270" spans="6:7" x14ac:dyDescent="0.3">
      <c r="F3270" s="124">
        <v>3264</v>
      </c>
      <c r="G3270" s="33">
        <f t="shared" ca="1" si="63"/>
        <v>1.1001654291759474E-2</v>
      </c>
    </row>
    <row r="3271" spans="6:7" x14ac:dyDescent="0.3">
      <c r="F3271" s="124">
        <v>3265</v>
      </c>
      <c r="G3271" s="33">
        <f t="shared" ca="1" si="63"/>
        <v>-2.2395668425707865E-2</v>
      </c>
    </row>
    <row r="3272" spans="6:7" x14ac:dyDescent="0.3">
      <c r="F3272" s="124">
        <v>3266</v>
      </c>
      <c r="G3272" s="33">
        <f t="shared" ref="G3272:G3335" ca="1" si="64">_xlfn.NORM.INV(RAND(),$M$9,$M$10)</f>
        <v>-4.0224400572988421E-2</v>
      </c>
    </row>
    <row r="3273" spans="6:7" x14ac:dyDescent="0.3">
      <c r="F3273" s="124">
        <v>3267</v>
      </c>
      <c r="G3273" s="33">
        <f t="shared" ca="1" si="64"/>
        <v>5.6397819988896359E-3</v>
      </c>
    </row>
    <row r="3274" spans="6:7" x14ac:dyDescent="0.3">
      <c r="F3274" s="124">
        <v>3268</v>
      </c>
      <c r="G3274" s="33">
        <f t="shared" ca="1" si="64"/>
        <v>8.3736689334221563E-3</v>
      </c>
    </row>
    <row r="3275" spans="6:7" x14ac:dyDescent="0.3">
      <c r="F3275" s="124">
        <v>3269</v>
      </c>
      <c r="G3275" s="33">
        <f t="shared" ca="1" si="64"/>
        <v>1.1732368614802383E-2</v>
      </c>
    </row>
    <row r="3276" spans="6:7" x14ac:dyDescent="0.3">
      <c r="F3276" s="124">
        <v>3270</v>
      </c>
      <c r="G3276" s="33">
        <f t="shared" ca="1" si="64"/>
        <v>-1.2253106511539394E-2</v>
      </c>
    </row>
    <row r="3277" spans="6:7" x14ac:dyDescent="0.3">
      <c r="F3277" s="124">
        <v>3271</v>
      </c>
      <c r="G3277" s="33">
        <f t="shared" ca="1" si="64"/>
        <v>1.9833864510674638E-2</v>
      </c>
    </row>
    <row r="3278" spans="6:7" x14ac:dyDescent="0.3">
      <c r="F3278" s="124">
        <v>3272</v>
      </c>
      <c r="G3278" s="33">
        <f t="shared" ca="1" si="64"/>
        <v>-2.621668694245656E-2</v>
      </c>
    </row>
    <row r="3279" spans="6:7" x14ac:dyDescent="0.3">
      <c r="F3279" s="124">
        <v>3273</v>
      </c>
      <c r="G3279" s="33">
        <f t="shared" ca="1" si="64"/>
        <v>-3.9512039241948398E-2</v>
      </c>
    </row>
    <row r="3280" spans="6:7" x14ac:dyDescent="0.3">
      <c r="F3280" s="124">
        <v>3274</v>
      </c>
      <c r="G3280" s="33">
        <f t="shared" ca="1" si="64"/>
        <v>-4.821991162698281E-2</v>
      </c>
    </row>
    <row r="3281" spans="6:7" x14ac:dyDescent="0.3">
      <c r="F3281" s="124">
        <v>3275</v>
      </c>
      <c r="G3281" s="33">
        <f t="shared" ca="1" si="64"/>
        <v>3.3688255376699956E-2</v>
      </c>
    </row>
    <row r="3282" spans="6:7" x14ac:dyDescent="0.3">
      <c r="F3282" s="124">
        <v>3276</v>
      </c>
      <c r="G3282" s="33">
        <f t="shared" ca="1" si="64"/>
        <v>-1.4815729431400044E-2</v>
      </c>
    </row>
    <row r="3283" spans="6:7" x14ac:dyDescent="0.3">
      <c r="F3283" s="124">
        <v>3277</v>
      </c>
      <c r="G3283" s="33">
        <f t="shared" ca="1" si="64"/>
        <v>4.330756466708905E-2</v>
      </c>
    </row>
    <row r="3284" spans="6:7" x14ac:dyDescent="0.3">
      <c r="F3284" s="124">
        <v>3278</v>
      </c>
      <c r="G3284" s="33">
        <f t="shared" ca="1" si="64"/>
        <v>2.6147585961751114E-2</v>
      </c>
    </row>
    <row r="3285" spans="6:7" x14ac:dyDescent="0.3">
      <c r="F3285" s="124">
        <v>3279</v>
      </c>
      <c r="G3285" s="33">
        <f t="shared" ca="1" si="64"/>
        <v>1.9896367454344439E-2</v>
      </c>
    </row>
    <row r="3286" spans="6:7" x14ac:dyDescent="0.3">
      <c r="F3286" s="124">
        <v>3280</v>
      </c>
      <c r="G3286" s="33">
        <f t="shared" ca="1" si="64"/>
        <v>2.4223493156469607E-4</v>
      </c>
    </row>
    <row r="3287" spans="6:7" x14ac:dyDescent="0.3">
      <c r="F3287" s="124">
        <v>3281</v>
      </c>
      <c r="G3287" s="33">
        <f t="shared" ca="1" si="64"/>
        <v>3.2208234705483146E-2</v>
      </c>
    </row>
    <row r="3288" spans="6:7" x14ac:dyDescent="0.3">
      <c r="F3288" s="124">
        <v>3282</v>
      </c>
      <c r="G3288" s="33">
        <f t="shared" ca="1" si="64"/>
        <v>-6.8535536597986127E-2</v>
      </c>
    </row>
    <row r="3289" spans="6:7" x14ac:dyDescent="0.3">
      <c r="F3289" s="124">
        <v>3283</v>
      </c>
      <c r="G3289" s="33">
        <f t="shared" ca="1" si="64"/>
        <v>-9.0835040170723816E-2</v>
      </c>
    </row>
    <row r="3290" spans="6:7" x14ac:dyDescent="0.3">
      <c r="F3290" s="124">
        <v>3284</v>
      </c>
      <c r="G3290" s="33">
        <f t="shared" ca="1" si="64"/>
        <v>-2.083425561739587E-3</v>
      </c>
    </row>
    <row r="3291" spans="6:7" x14ac:dyDescent="0.3">
      <c r="F3291" s="124">
        <v>3285</v>
      </c>
      <c r="G3291" s="33">
        <f t="shared" ca="1" si="64"/>
        <v>3.654122481193578E-2</v>
      </c>
    </row>
    <row r="3292" spans="6:7" x14ac:dyDescent="0.3">
      <c r="F3292" s="124">
        <v>3286</v>
      </c>
      <c r="G3292" s="33">
        <f t="shared" ca="1" si="64"/>
        <v>-1.2579357881687327E-2</v>
      </c>
    </row>
    <row r="3293" spans="6:7" x14ac:dyDescent="0.3">
      <c r="F3293" s="124">
        <v>3287</v>
      </c>
      <c r="G3293" s="33">
        <f t="shared" ca="1" si="64"/>
        <v>1.102090980967271E-2</v>
      </c>
    </row>
    <row r="3294" spans="6:7" x14ac:dyDescent="0.3">
      <c r="F3294" s="124">
        <v>3288</v>
      </c>
      <c r="G3294" s="33">
        <f t="shared" ca="1" si="64"/>
        <v>-1.6141001869492053E-2</v>
      </c>
    </row>
    <row r="3295" spans="6:7" x14ac:dyDescent="0.3">
      <c r="F3295" s="124">
        <v>3289</v>
      </c>
      <c r="G3295" s="33">
        <f t="shared" ca="1" si="64"/>
        <v>-3.950835605052988E-2</v>
      </c>
    </row>
    <row r="3296" spans="6:7" x14ac:dyDescent="0.3">
      <c r="F3296" s="124">
        <v>3290</v>
      </c>
      <c r="G3296" s="33">
        <f t="shared" ca="1" si="64"/>
        <v>-2.0561664095296799E-2</v>
      </c>
    </row>
    <row r="3297" spans="6:7" x14ac:dyDescent="0.3">
      <c r="F3297" s="124">
        <v>3291</v>
      </c>
      <c r="G3297" s="33">
        <f t="shared" ca="1" si="64"/>
        <v>-2.9422459489741013E-2</v>
      </c>
    </row>
    <row r="3298" spans="6:7" x14ac:dyDescent="0.3">
      <c r="F3298" s="124">
        <v>3292</v>
      </c>
      <c r="G3298" s="33">
        <f t="shared" ca="1" si="64"/>
        <v>-1.88637222197948E-2</v>
      </c>
    </row>
    <row r="3299" spans="6:7" x14ac:dyDescent="0.3">
      <c r="F3299" s="124">
        <v>3293</v>
      </c>
      <c r="G3299" s="33">
        <f t="shared" ca="1" si="64"/>
        <v>-1.4834719931964394E-2</v>
      </c>
    </row>
    <row r="3300" spans="6:7" x14ac:dyDescent="0.3">
      <c r="F3300" s="124">
        <v>3294</v>
      </c>
      <c r="G3300" s="33">
        <f t="shared" ca="1" si="64"/>
        <v>-1.3753085262865106E-2</v>
      </c>
    </row>
    <row r="3301" spans="6:7" x14ac:dyDescent="0.3">
      <c r="F3301" s="124">
        <v>3295</v>
      </c>
      <c r="G3301" s="33">
        <f t="shared" ca="1" si="64"/>
        <v>-1.0164796657405471E-2</v>
      </c>
    </row>
    <row r="3302" spans="6:7" x14ac:dyDescent="0.3">
      <c r="F3302" s="124">
        <v>3296</v>
      </c>
      <c r="G3302" s="33">
        <f t="shared" ca="1" si="64"/>
        <v>2.6029354433293992E-2</v>
      </c>
    </row>
    <row r="3303" spans="6:7" x14ac:dyDescent="0.3">
      <c r="F3303" s="124">
        <v>3297</v>
      </c>
      <c r="G3303" s="33">
        <f t="shared" ca="1" si="64"/>
        <v>1.2122382590477382E-3</v>
      </c>
    </row>
    <row r="3304" spans="6:7" x14ac:dyDescent="0.3">
      <c r="F3304" s="124">
        <v>3298</v>
      </c>
      <c r="G3304" s="33">
        <f t="shared" ca="1" si="64"/>
        <v>1.8225554446175015E-2</v>
      </c>
    </row>
    <row r="3305" spans="6:7" x14ac:dyDescent="0.3">
      <c r="F3305" s="124">
        <v>3299</v>
      </c>
      <c r="G3305" s="33">
        <f t="shared" ca="1" si="64"/>
        <v>-1.1763232087490347E-2</v>
      </c>
    </row>
    <row r="3306" spans="6:7" x14ac:dyDescent="0.3">
      <c r="F3306" s="124">
        <v>3300</v>
      </c>
      <c r="G3306" s="33">
        <f t="shared" ca="1" si="64"/>
        <v>-1.6865620169589236E-2</v>
      </c>
    </row>
    <row r="3307" spans="6:7" x14ac:dyDescent="0.3">
      <c r="F3307" s="124">
        <v>3301</v>
      </c>
      <c r="G3307" s="33">
        <f t="shared" ca="1" si="64"/>
        <v>4.8939560018302947E-4</v>
      </c>
    </row>
    <row r="3308" spans="6:7" x14ac:dyDescent="0.3">
      <c r="F3308" s="124">
        <v>3302</v>
      </c>
      <c r="G3308" s="33">
        <f t="shared" ca="1" si="64"/>
        <v>2.9892545838304287E-3</v>
      </c>
    </row>
    <row r="3309" spans="6:7" x14ac:dyDescent="0.3">
      <c r="F3309" s="124">
        <v>3303</v>
      </c>
      <c r="G3309" s="33">
        <f t="shared" ca="1" si="64"/>
        <v>-8.3454448212338245E-3</v>
      </c>
    </row>
    <row r="3310" spans="6:7" x14ac:dyDescent="0.3">
      <c r="F3310" s="124">
        <v>3304</v>
      </c>
      <c r="G3310" s="33">
        <f t="shared" ca="1" si="64"/>
        <v>3.5170843010917637E-3</v>
      </c>
    </row>
    <row r="3311" spans="6:7" x14ac:dyDescent="0.3">
      <c r="F3311" s="124">
        <v>3305</v>
      </c>
      <c r="G3311" s="33">
        <f t="shared" ca="1" si="64"/>
        <v>-1.5776505031892381E-2</v>
      </c>
    </row>
    <row r="3312" spans="6:7" x14ac:dyDescent="0.3">
      <c r="F3312" s="124">
        <v>3306</v>
      </c>
      <c r="G3312" s="33">
        <f t="shared" ca="1" si="64"/>
        <v>-1.2634789596860574E-3</v>
      </c>
    </row>
    <row r="3313" spans="6:7" x14ac:dyDescent="0.3">
      <c r="F3313" s="124">
        <v>3307</v>
      </c>
      <c r="G3313" s="33">
        <f t="shared" ca="1" si="64"/>
        <v>-2.3177392986807776E-2</v>
      </c>
    </row>
    <row r="3314" spans="6:7" x14ac:dyDescent="0.3">
      <c r="F3314" s="124">
        <v>3308</v>
      </c>
      <c r="G3314" s="33">
        <f t="shared" ca="1" si="64"/>
        <v>5.7617052192859355E-2</v>
      </c>
    </row>
    <row r="3315" spans="6:7" x14ac:dyDescent="0.3">
      <c r="F3315" s="124">
        <v>3309</v>
      </c>
      <c r="G3315" s="33">
        <f t="shared" ca="1" si="64"/>
        <v>4.7554405942816742E-2</v>
      </c>
    </row>
    <row r="3316" spans="6:7" x14ac:dyDescent="0.3">
      <c r="F3316" s="124">
        <v>3310</v>
      </c>
      <c r="G3316" s="33">
        <f t="shared" ca="1" si="64"/>
        <v>2.1566202668996667E-2</v>
      </c>
    </row>
    <row r="3317" spans="6:7" x14ac:dyDescent="0.3">
      <c r="F3317" s="124">
        <v>3311</v>
      </c>
      <c r="G3317" s="33">
        <f t="shared" ca="1" si="64"/>
        <v>-3.2208139119581473E-2</v>
      </c>
    </row>
    <row r="3318" spans="6:7" x14ac:dyDescent="0.3">
      <c r="F3318" s="124">
        <v>3312</v>
      </c>
      <c r="G3318" s="33">
        <f t="shared" ca="1" si="64"/>
        <v>5.3835508512825793E-2</v>
      </c>
    </row>
    <row r="3319" spans="6:7" x14ac:dyDescent="0.3">
      <c r="F3319" s="124">
        <v>3313</v>
      </c>
      <c r="G3319" s="33">
        <f t="shared" ca="1" si="64"/>
        <v>5.7452473736670007E-2</v>
      </c>
    </row>
    <row r="3320" spans="6:7" x14ac:dyDescent="0.3">
      <c r="F3320" s="124">
        <v>3314</v>
      </c>
      <c r="G3320" s="33">
        <f t="shared" ca="1" si="64"/>
        <v>-3.4376354556340659E-2</v>
      </c>
    </row>
    <row r="3321" spans="6:7" x14ac:dyDescent="0.3">
      <c r="F3321" s="124">
        <v>3315</v>
      </c>
      <c r="G3321" s="33">
        <f t="shared" ca="1" si="64"/>
        <v>-1.4583096389293962E-2</v>
      </c>
    </row>
    <row r="3322" spans="6:7" x14ac:dyDescent="0.3">
      <c r="F3322" s="124">
        <v>3316</v>
      </c>
      <c r="G3322" s="33">
        <f t="shared" ca="1" si="64"/>
        <v>-4.5798856579296277E-2</v>
      </c>
    </row>
    <row r="3323" spans="6:7" x14ac:dyDescent="0.3">
      <c r="F3323" s="124">
        <v>3317</v>
      </c>
      <c r="G3323" s="33">
        <f t="shared" ca="1" si="64"/>
        <v>2.7581769397528669E-2</v>
      </c>
    </row>
    <row r="3324" spans="6:7" x14ac:dyDescent="0.3">
      <c r="F3324" s="124">
        <v>3318</v>
      </c>
      <c r="G3324" s="33">
        <f t="shared" ca="1" si="64"/>
        <v>-2.9700817402132592E-2</v>
      </c>
    </row>
    <row r="3325" spans="6:7" x14ac:dyDescent="0.3">
      <c r="F3325" s="124">
        <v>3319</v>
      </c>
      <c r="G3325" s="33">
        <f t="shared" ca="1" si="64"/>
        <v>3.159122554563068E-2</v>
      </c>
    </row>
    <row r="3326" spans="6:7" x14ac:dyDescent="0.3">
      <c r="F3326" s="124">
        <v>3320</v>
      </c>
      <c r="G3326" s="33">
        <f t="shared" ca="1" si="64"/>
        <v>3.2741923890040638E-2</v>
      </c>
    </row>
    <row r="3327" spans="6:7" x14ac:dyDescent="0.3">
      <c r="F3327" s="124">
        <v>3321</v>
      </c>
      <c r="G3327" s="33">
        <f t="shared" ca="1" si="64"/>
        <v>1.2653956895305789E-2</v>
      </c>
    </row>
    <row r="3328" spans="6:7" x14ac:dyDescent="0.3">
      <c r="F3328" s="124">
        <v>3322</v>
      </c>
      <c r="G3328" s="33">
        <f t="shared" ca="1" si="64"/>
        <v>1.1197859731080146E-3</v>
      </c>
    </row>
    <row r="3329" spans="6:7" x14ac:dyDescent="0.3">
      <c r="F3329" s="124">
        <v>3323</v>
      </c>
      <c r="G3329" s="33">
        <f t="shared" ca="1" si="64"/>
        <v>-6.4290599505606996E-3</v>
      </c>
    </row>
    <row r="3330" spans="6:7" x14ac:dyDescent="0.3">
      <c r="F3330" s="124">
        <v>3324</v>
      </c>
      <c r="G3330" s="33">
        <f t="shared" ca="1" si="64"/>
        <v>1.9070703648243634E-2</v>
      </c>
    </row>
    <row r="3331" spans="6:7" x14ac:dyDescent="0.3">
      <c r="F3331" s="124">
        <v>3325</v>
      </c>
      <c r="G3331" s="33">
        <f t="shared" ca="1" si="64"/>
        <v>-2.864067358293193E-2</v>
      </c>
    </row>
    <row r="3332" spans="6:7" x14ac:dyDescent="0.3">
      <c r="F3332" s="124">
        <v>3326</v>
      </c>
      <c r="G3332" s="33">
        <f t="shared" ca="1" si="64"/>
        <v>-1.6827929853943827E-2</v>
      </c>
    </row>
    <row r="3333" spans="6:7" x14ac:dyDescent="0.3">
      <c r="F3333" s="124">
        <v>3327</v>
      </c>
      <c r="G3333" s="33">
        <f t="shared" ca="1" si="64"/>
        <v>-1.6456653994509716E-2</v>
      </c>
    </row>
    <row r="3334" spans="6:7" x14ac:dyDescent="0.3">
      <c r="F3334" s="124">
        <v>3328</v>
      </c>
      <c r="G3334" s="33">
        <f t="shared" ca="1" si="64"/>
        <v>-2.4400326833918509E-4</v>
      </c>
    </row>
    <row r="3335" spans="6:7" x14ac:dyDescent="0.3">
      <c r="F3335" s="124">
        <v>3329</v>
      </c>
      <c r="G3335" s="33">
        <f t="shared" ca="1" si="64"/>
        <v>4.2796018150113987E-3</v>
      </c>
    </row>
    <row r="3336" spans="6:7" x14ac:dyDescent="0.3">
      <c r="F3336" s="124">
        <v>3330</v>
      </c>
      <c r="G3336" s="33">
        <f t="shared" ref="G3336:G3399" ca="1" si="65">_xlfn.NORM.INV(RAND(),$M$9,$M$10)</f>
        <v>9.3558522395436174E-4</v>
      </c>
    </row>
    <row r="3337" spans="6:7" x14ac:dyDescent="0.3">
      <c r="F3337" s="124">
        <v>3331</v>
      </c>
      <c r="G3337" s="33">
        <f t="shared" ca="1" si="65"/>
        <v>-3.197252722220878E-3</v>
      </c>
    </row>
    <row r="3338" spans="6:7" x14ac:dyDescent="0.3">
      <c r="F3338" s="124">
        <v>3332</v>
      </c>
      <c r="G3338" s="33">
        <f t="shared" ca="1" si="65"/>
        <v>5.8668705194762347E-2</v>
      </c>
    </row>
    <row r="3339" spans="6:7" x14ac:dyDescent="0.3">
      <c r="F3339" s="124">
        <v>3333</v>
      </c>
      <c r="G3339" s="33">
        <f t="shared" ca="1" si="65"/>
        <v>-3.0048641782524929E-3</v>
      </c>
    </row>
    <row r="3340" spans="6:7" x14ac:dyDescent="0.3">
      <c r="F3340" s="124">
        <v>3334</v>
      </c>
      <c r="G3340" s="33">
        <f t="shared" ca="1" si="65"/>
        <v>3.1764990064727064E-2</v>
      </c>
    </row>
    <row r="3341" spans="6:7" x14ac:dyDescent="0.3">
      <c r="F3341" s="124">
        <v>3335</v>
      </c>
      <c r="G3341" s="33">
        <f t="shared" ca="1" si="65"/>
        <v>2.0489695828277876E-2</v>
      </c>
    </row>
    <row r="3342" spans="6:7" x14ac:dyDescent="0.3">
      <c r="F3342" s="124">
        <v>3336</v>
      </c>
      <c r="G3342" s="33">
        <f t="shared" ca="1" si="65"/>
        <v>-1.2143120471552952E-3</v>
      </c>
    </row>
    <row r="3343" spans="6:7" x14ac:dyDescent="0.3">
      <c r="F3343" s="124">
        <v>3337</v>
      </c>
      <c r="G3343" s="33">
        <f t="shared" ca="1" si="65"/>
        <v>7.2016158569184162E-3</v>
      </c>
    </row>
    <row r="3344" spans="6:7" x14ac:dyDescent="0.3">
      <c r="F3344" s="124">
        <v>3338</v>
      </c>
      <c r="G3344" s="33">
        <f t="shared" ca="1" si="65"/>
        <v>-1.8009382955996186E-2</v>
      </c>
    </row>
    <row r="3345" spans="6:7" x14ac:dyDescent="0.3">
      <c r="F3345" s="124">
        <v>3339</v>
      </c>
      <c r="G3345" s="33">
        <f t="shared" ca="1" si="65"/>
        <v>-3.3398636132173393E-2</v>
      </c>
    </row>
    <row r="3346" spans="6:7" x14ac:dyDescent="0.3">
      <c r="F3346" s="124">
        <v>3340</v>
      </c>
      <c r="G3346" s="33">
        <f t="shared" ca="1" si="65"/>
        <v>1.1111990833710082E-2</v>
      </c>
    </row>
    <row r="3347" spans="6:7" x14ac:dyDescent="0.3">
      <c r="F3347" s="124">
        <v>3341</v>
      </c>
      <c r="G3347" s="33">
        <f t="shared" ca="1" si="65"/>
        <v>-4.0017402350454052E-3</v>
      </c>
    </row>
    <row r="3348" spans="6:7" x14ac:dyDescent="0.3">
      <c r="F3348" s="124">
        <v>3342</v>
      </c>
      <c r="G3348" s="33">
        <f t="shared" ca="1" si="65"/>
        <v>-6.9165856953925268E-3</v>
      </c>
    </row>
    <row r="3349" spans="6:7" x14ac:dyDescent="0.3">
      <c r="F3349" s="124">
        <v>3343</v>
      </c>
      <c r="G3349" s="33">
        <f t="shared" ca="1" si="65"/>
        <v>1.1786691962897666E-2</v>
      </c>
    </row>
    <row r="3350" spans="6:7" x14ac:dyDescent="0.3">
      <c r="F3350" s="124">
        <v>3344</v>
      </c>
      <c r="G3350" s="33">
        <f t="shared" ca="1" si="65"/>
        <v>-1.6825597053998272E-3</v>
      </c>
    </row>
    <row r="3351" spans="6:7" x14ac:dyDescent="0.3">
      <c r="F3351" s="124">
        <v>3345</v>
      </c>
      <c r="G3351" s="33">
        <f t="shared" ca="1" si="65"/>
        <v>-2.5732476941417753E-2</v>
      </c>
    </row>
    <row r="3352" spans="6:7" x14ac:dyDescent="0.3">
      <c r="F3352" s="124">
        <v>3346</v>
      </c>
      <c r="G3352" s="33">
        <f t="shared" ca="1" si="65"/>
        <v>2.992005594410968E-2</v>
      </c>
    </row>
    <row r="3353" spans="6:7" x14ac:dyDescent="0.3">
      <c r="F3353" s="124">
        <v>3347</v>
      </c>
      <c r="G3353" s="33">
        <f t="shared" ca="1" si="65"/>
        <v>-1.1751808232931399E-3</v>
      </c>
    </row>
    <row r="3354" spans="6:7" x14ac:dyDescent="0.3">
      <c r="F3354" s="124">
        <v>3348</v>
      </c>
      <c r="G3354" s="33">
        <f t="shared" ca="1" si="65"/>
        <v>2.0756465664921054E-2</v>
      </c>
    </row>
    <row r="3355" spans="6:7" x14ac:dyDescent="0.3">
      <c r="F3355" s="124">
        <v>3349</v>
      </c>
      <c r="G3355" s="33">
        <f t="shared" ca="1" si="65"/>
        <v>-1.3191255400917441E-2</v>
      </c>
    </row>
    <row r="3356" spans="6:7" x14ac:dyDescent="0.3">
      <c r="F3356" s="124">
        <v>3350</v>
      </c>
      <c r="G3356" s="33">
        <f t="shared" ca="1" si="65"/>
        <v>-2.8861660690387772E-2</v>
      </c>
    </row>
    <row r="3357" spans="6:7" x14ac:dyDescent="0.3">
      <c r="F3357" s="124">
        <v>3351</v>
      </c>
      <c r="G3357" s="33">
        <f t="shared" ca="1" si="65"/>
        <v>-1.7480779754460709E-4</v>
      </c>
    </row>
    <row r="3358" spans="6:7" x14ac:dyDescent="0.3">
      <c r="F3358" s="124">
        <v>3352</v>
      </c>
      <c r="G3358" s="33">
        <f t="shared" ca="1" si="65"/>
        <v>-4.5630055086957708E-2</v>
      </c>
    </row>
    <row r="3359" spans="6:7" x14ac:dyDescent="0.3">
      <c r="F3359" s="124">
        <v>3353</v>
      </c>
      <c r="G3359" s="33">
        <f t="shared" ca="1" si="65"/>
        <v>-1.5227321344380044E-2</v>
      </c>
    </row>
    <row r="3360" spans="6:7" x14ac:dyDescent="0.3">
      <c r="F3360" s="124">
        <v>3354</v>
      </c>
      <c r="G3360" s="33">
        <f t="shared" ca="1" si="65"/>
        <v>3.7673505669651962E-2</v>
      </c>
    </row>
    <row r="3361" spans="6:7" x14ac:dyDescent="0.3">
      <c r="F3361" s="124">
        <v>3355</v>
      </c>
      <c r="G3361" s="33">
        <f t="shared" ca="1" si="65"/>
        <v>1.7956740051394783E-2</v>
      </c>
    </row>
    <row r="3362" spans="6:7" x14ac:dyDescent="0.3">
      <c r="F3362" s="124">
        <v>3356</v>
      </c>
      <c r="G3362" s="33">
        <f t="shared" ca="1" si="65"/>
        <v>-1.687934810504203E-2</v>
      </c>
    </row>
    <row r="3363" spans="6:7" x14ac:dyDescent="0.3">
      <c r="F3363" s="124">
        <v>3357</v>
      </c>
      <c r="G3363" s="33">
        <f t="shared" ca="1" si="65"/>
        <v>2.5892428611705154E-2</v>
      </c>
    </row>
    <row r="3364" spans="6:7" x14ac:dyDescent="0.3">
      <c r="F3364" s="124">
        <v>3358</v>
      </c>
      <c r="G3364" s="33">
        <f t="shared" ca="1" si="65"/>
        <v>-4.4920721860654149E-2</v>
      </c>
    </row>
    <row r="3365" spans="6:7" x14ac:dyDescent="0.3">
      <c r="F3365" s="124">
        <v>3359</v>
      </c>
      <c r="G3365" s="33">
        <f t="shared" ca="1" si="65"/>
        <v>3.7741744891153166E-2</v>
      </c>
    </row>
    <row r="3366" spans="6:7" x14ac:dyDescent="0.3">
      <c r="F3366" s="124">
        <v>3360</v>
      </c>
      <c r="G3366" s="33">
        <f t="shared" ca="1" si="65"/>
        <v>1.9925782682037353E-2</v>
      </c>
    </row>
    <row r="3367" spans="6:7" x14ac:dyDescent="0.3">
      <c r="F3367" s="124">
        <v>3361</v>
      </c>
      <c r="G3367" s="33">
        <f t="shared" ca="1" si="65"/>
        <v>2.6587753044730367E-2</v>
      </c>
    </row>
    <row r="3368" spans="6:7" x14ac:dyDescent="0.3">
      <c r="F3368" s="124">
        <v>3362</v>
      </c>
      <c r="G3368" s="33">
        <f t="shared" ca="1" si="65"/>
        <v>-4.6827809289189851E-2</v>
      </c>
    </row>
    <row r="3369" spans="6:7" x14ac:dyDescent="0.3">
      <c r="F3369" s="124">
        <v>3363</v>
      </c>
      <c r="G3369" s="33">
        <f t="shared" ca="1" si="65"/>
        <v>-1.0194158833035472E-2</v>
      </c>
    </row>
    <row r="3370" spans="6:7" x14ac:dyDescent="0.3">
      <c r="F3370" s="124">
        <v>3364</v>
      </c>
      <c r="G3370" s="33">
        <f t="shared" ca="1" si="65"/>
        <v>-1.8132334980345884E-2</v>
      </c>
    </row>
    <row r="3371" spans="6:7" x14ac:dyDescent="0.3">
      <c r="F3371" s="124">
        <v>3365</v>
      </c>
      <c r="G3371" s="33">
        <f t="shared" ca="1" si="65"/>
        <v>-2.1412186077482884E-2</v>
      </c>
    </row>
    <row r="3372" spans="6:7" x14ac:dyDescent="0.3">
      <c r="F3372" s="124">
        <v>3366</v>
      </c>
      <c r="G3372" s="33">
        <f t="shared" ca="1" si="65"/>
        <v>-4.9989740166452752E-2</v>
      </c>
    </row>
    <row r="3373" spans="6:7" x14ac:dyDescent="0.3">
      <c r="F3373" s="124">
        <v>3367</v>
      </c>
      <c r="G3373" s="33">
        <f t="shared" ca="1" si="65"/>
        <v>-4.6816401342778459E-2</v>
      </c>
    </row>
    <row r="3374" spans="6:7" x14ac:dyDescent="0.3">
      <c r="F3374" s="124">
        <v>3368</v>
      </c>
      <c r="G3374" s="33">
        <f t="shared" ca="1" si="65"/>
        <v>1.0056695612161638E-2</v>
      </c>
    </row>
    <row r="3375" spans="6:7" x14ac:dyDescent="0.3">
      <c r="F3375" s="124">
        <v>3369</v>
      </c>
      <c r="G3375" s="33">
        <f t="shared" ca="1" si="65"/>
        <v>2.8989776453328476E-3</v>
      </c>
    </row>
    <row r="3376" spans="6:7" x14ac:dyDescent="0.3">
      <c r="F3376" s="124">
        <v>3370</v>
      </c>
      <c r="G3376" s="33">
        <f t="shared" ca="1" si="65"/>
        <v>-1.475888590918861E-3</v>
      </c>
    </row>
    <row r="3377" spans="6:7" x14ac:dyDescent="0.3">
      <c r="F3377" s="124">
        <v>3371</v>
      </c>
      <c r="G3377" s="33">
        <f t="shared" ca="1" si="65"/>
        <v>7.933909767815989E-3</v>
      </c>
    </row>
    <row r="3378" spans="6:7" x14ac:dyDescent="0.3">
      <c r="F3378" s="124">
        <v>3372</v>
      </c>
      <c r="G3378" s="33">
        <f t="shared" ca="1" si="65"/>
        <v>2.7343788983621883E-2</v>
      </c>
    </row>
    <row r="3379" spans="6:7" x14ac:dyDescent="0.3">
      <c r="F3379" s="124">
        <v>3373</v>
      </c>
      <c r="G3379" s="33">
        <f t="shared" ca="1" si="65"/>
        <v>4.0264802339034372E-2</v>
      </c>
    </row>
    <row r="3380" spans="6:7" x14ac:dyDescent="0.3">
      <c r="F3380" s="124">
        <v>3374</v>
      </c>
      <c r="G3380" s="33">
        <f t="shared" ca="1" si="65"/>
        <v>1.8281284885241986E-2</v>
      </c>
    </row>
    <row r="3381" spans="6:7" x14ac:dyDescent="0.3">
      <c r="F3381" s="124">
        <v>3375</v>
      </c>
      <c r="G3381" s="33">
        <f t="shared" ca="1" si="65"/>
        <v>-9.9284107428616805E-3</v>
      </c>
    </row>
    <row r="3382" spans="6:7" x14ac:dyDescent="0.3">
      <c r="F3382" s="124">
        <v>3376</v>
      </c>
      <c r="G3382" s="33">
        <f t="shared" ca="1" si="65"/>
        <v>6.8396227030086262E-4</v>
      </c>
    </row>
    <row r="3383" spans="6:7" x14ac:dyDescent="0.3">
      <c r="F3383" s="124">
        <v>3377</v>
      </c>
      <c r="G3383" s="33">
        <f t="shared" ca="1" si="65"/>
        <v>-7.8621818630723317E-3</v>
      </c>
    </row>
    <row r="3384" spans="6:7" x14ac:dyDescent="0.3">
      <c r="F3384" s="124">
        <v>3378</v>
      </c>
      <c r="G3384" s="33">
        <f t="shared" ca="1" si="65"/>
        <v>3.5458322939644661E-2</v>
      </c>
    </row>
    <row r="3385" spans="6:7" x14ac:dyDescent="0.3">
      <c r="F3385" s="124">
        <v>3379</v>
      </c>
      <c r="G3385" s="33">
        <f t="shared" ca="1" si="65"/>
        <v>-2.877028801840505E-2</v>
      </c>
    </row>
    <row r="3386" spans="6:7" x14ac:dyDescent="0.3">
      <c r="F3386" s="124">
        <v>3380</v>
      </c>
      <c r="G3386" s="33">
        <f t="shared" ca="1" si="65"/>
        <v>9.9608904170900153E-3</v>
      </c>
    </row>
    <row r="3387" spans="6:7" x14ac:dyDescent="0.3">
      <c r="F3387" s="124">
        <v>3381</v>
      </c>
      <c r="G3387" s="33">
        <f t="shared" ca="1" si="65"/>
        <v>6.3121186221074335E-4</v>
      </c>
    </row>
    <row r="3388" spans="6:7" x14ac:dyDescent="0.3">
      <c r="F3388" s="124">
        <v>3382</v>
      </c>
      <c r="G3388" s="33">
        <f t="shared" ca="1" si="65"/>
        <v>-2.1147145920431605E-2</v>
      </c>
    </row>
    <row r="3389" spans="6:7" x14ac:dyDescent="0.3">
      <c r="F3389" s="124">
        <v>3383</v>
      </c>
      <c r="G3389" s="33">
        <f t="shared" ca="1" si="65"/>
        <v>-4.653913746990973E-2</v>
      </c>
    </row>
    <row r="3390" spans="6:7" x14ac:dyDescent="0.3">
      <c r="F3390" s="124">
        <v>3384</v>
      </c>
      <c r="G3390" s="33">
        <f t="shared" ca="1" si="65"/>
        <v>2.0517644231471614E-2</v>
      </c>
    </row>
    <row r="3391" spans="6:7" x14ac:dyDescent="0.3">
      <c r="F3391" s="124">
        <v>3385</v>
      </c>
      <c r="G3391" s="33">
        <f t="shared" ca="1" si="65"/>
        <v>-4.4821291306373001E-3</v>
      </c>
    </row>
    <row r="3392" spans="6:7" x14ac:dyDescent="0.3">
      <c r="F3392" s="124">
        <v>3386</v>
      </c>
      <c r="G3392" s="33">
        <f t="shared" ca="1" si="65"/>
        <v>-1.5285173109305925E-2</v>
      </c>
    </row>
    <row r="3393" spans="6:7" x14ac:dyDescent="0.3">
      <c r="F3393" s="124">
        <v>3387</v>
      </c>
      <c r="G3393" s="33">
        <f t="shared" ca="1" si="65"/>
        <v>-2.7877086149109286E-2</v>
      </c>
    </row>
    <row r="3394" spans="6:7" x14ac:dyDescent="0.3">
      <c r="F3394" s="124">
        <v>3388</v>
      </c>
      <c r="G3394" s="33">
        <f t="shared" ca="1" si="65"/>
        <v>-2.1062990744100049E-3</v>
      </c>
    </row>
    <row r="3395" spans="6:7" x14ac:dyDescent="0.3">
      <c r="F3395" s="124">
        <v>3389</v>
      </c>
      <c r="G3395" s="33">
        <f t="shared" ca="1" si="65"/>
        <v>5.7427248215041166E-2</v>
      </c>
    </row>
    <row r="3396" spans="6:7" x14ac:dyDescent="0.3">
      <c r="F3396" s="124">
        <v>3390</v>
      </c>
      <c r="G3396" s="33">
        <f t="shared" ca="1" si="65"/>
        <v>-3.1846800699189978E-2</v>
      </c>
    </row>
    <row r="3397" spans="6:7" x14ac:dyDescent="0.3">
      <c r="F3397" s="124">
        <v>3391</v>
      </c>
      <c r="G3397" s="33">
        <f t="shared" ca="1" si="65"/>
        <v>4.5490663270580871E-2</v>
      </c>
    </row>
    <row r="3398" spans="6:7" x14ac:dyDescent="0.3">
      <c r="F3398" s="124">
        <v>3392</v>
      </c>
      <c r="G3398" s="33">
        <f t="shared" ca="1" si="65"/>
        <v>1.6598610873753004E-2</v>
      </c>
    </row>
    <row r="3399" spans="6:7" x14ac:dyDescent="0.3">
      <c r="F3399" s="124">
        <v>3393</v>
      </c>
      <c r="G3399" s="33">
        <f t="shared" ca="1" si="65"/>
        <v>-1.8626251115312433E-2</v>
      </c>
    </row>
    <row r="3400" spans="6:7" x14ac:dyDescent="0.3">
      <c r="F3400" s="124">
        <v>3394</v>
      </c>
      <c r="G3400" s="33">
        <f t="shared" ref="G3400:G3463" ca="1" si="66">_xlfn.NORM.INV(RAND(),$M$9,$M$10)</f>
        <v>3.9279097161366128E-2</v>
      </c>
    </row>
    <row r="3401" spans="6:7" x14ac:dyDescent="0.3">
      <c r="F3401" s="124">
        <v>3395</v>
      </c>
      <c r="G3401" s="33">
        <f t="shared" ca="1" si="66"/>
        <v>3.2587027547735424E-2</v>
      </c>
    </row>
    <row r="3402" spans="6:7" x14ac:dyDescent="0.3">
      <c r="F3402" s="124">
        <v>3396</v>
      </c>
      <c r="G3402" s="33">
        <f t="shared" ca="1" si="66"/>
        <v>-1.8997925249442275E-2</v>
      </c>
    </row>
    <row r="3403" spans="6:7" x14ac:dyDescent="0.3">
      <c r="F3403" s="124">
        <v>3397</v>
      </c>
      <c r="G3403" s="33">
        <f t="shared" ca="1" si="66"/>
        <v>-5.1698387985775016E-2</v>
      </c>
    </row>
    <row r="3404" spans="6:7" x14ac:dyDescent="0.3">
      <c r="F3404" s="124">
        <v>3398</v>
      </c>
      <c r="G3404" s="33">
        <f t="shared" ca="1" si="66"/>
        <v>-1.1044861845254093E-3</v>
      </c>
    </row>
    <row r="3405" spans="6:7" x14ac:dyDescent="0.3">
      <c r="F3405" s="124">
        <v>3399</v>
      </c>
      <c r="G3405" s="33">
        <f t="shared" ca="1" si="66"/>
        <v>-2.9362922421119153E-2</v>
      </c>
    </row>
    <row r="3406" spans="6:7" x14ac:dyDescent="0.3">
      <c r="F3406" s="124">
        <v>3400</v>
      </c>
      <c r="G3406" s="33">
        <f t="shared" ca="1" si="66"/>
        <v>6.1562920819894307E-3</v>
      </c>
    </row>
    <row r="3407" spans="6:7" x14ac:dyDescent="0.3">
      <c r="F3407" s="124">
        <v>3401</v>
      </c>
      <c r="G3407" s="33">
        <f t="shared" ca="1" si="66"/>
        <v>3.290373250516989E-2</v>
      </c>
    </row>
    <row r="3408" spans="6:7" x14ac:dyDescent="0.3">
      <c r="F3408" s="124">
        <v>3402</v>
      </c>
      <c r="G3408" s="33">
        <f t="shared" ca="1" si="66"/>
        <v>-7.8318300365455257E-2</v>
      </c>
    </row>
    <row r="3409" spans="6:7" x14ac:dyDescent="0.3">
      <c r="F3409" s="124">
        <v>3403</v>
      </c>
      <c r="G3409" s="33">
        <f t="shared" ca="1" si="66"/>
        <v>-3.6024001551446388E-3</v>
      </c>
    </row>
    <row r="3410" spans="6:7" x14ac:dyDescent="0.3">
      <c r="F3410" s="124">
        <v>3404</v>
      </c>
      <c r="G3410" s="33">
        <f t="shared" ca="1" si="66"/>
        <v>-4.94778336188808E-2</v>
      </c>
    </row>
    <row r="3411" spans="6:7" x14ac:dyDescent="0.3">
      <c r="F3411" s="124">
        <v>3405</v>
      </c>
      <c r="G3411" s="33">
        <f t="shared" ca="1" si="66"/>
        <v>1.2656579774480127E-2</v>
      </c>
    </row>
    <row r="3412" spans="6:7" x14ac:dyDescent="0.3">
      <c r="F3412" s="124">
        <v>3406</v>
      </c>
      <c r="G3412" s="33">
        <f t="shared" ca="1" si="66"/>
        <v>3.8766380526264028E-2</v>
      </c>
    </row>
    <row r="3413" spans="6:7" x14ac:dyDescent="0.3">
      <c r="F3413" s="124">
        <v>3407</v>
      </c>
      <c r="G3413" s="33">
        <f t="shared" ca="1" si="66"/>
        <v>-2.5764704037385192E-2</v>
      </c>
    </row>
    <row r="3414" spans="6:7" x14ac:dyDescent="0.3">
      <c r="F3414" s="124">
        <v>3408</v>
      </c>
      <c r="G3414" s="33">
        <f t="shared" ca="1" si="66"/>
        <v>-1.8440866704420671E-2</v>
      </c>
    </row>
    <row r="3415" spans="6:7" x14ac:dyDescent="0.3">
      <c r="F3415" s="124">
        <v>3409</v>
      </c>
      <c r="G3415" s="33">
        <f t="shared" ca="1" si="66"/>
        <v>1.2757323117650106E-3</v>
      </c>
    </row>
    <row r="3416" spans="6:7" x14ac:dyDescent="0.3">
      <c r="F3416" s="124">
        <v>3410</v>
      </c>
      <c r="G3416" s="33">
        <f t="shared" ca="1" si="66"/>
        <v>7.256948355293313E-5</v>
      </c>
    </row>
    <row r="3417" spans="6:7" x14ac:dyDescent="0.3">
      <c r="F3417" s="124">
        <v>3411</v>
      </c>
      <c r="G3417" s="33">
        <f t="shared" ca="1" si="66"/>
        <v>-1.862956860358024E-2</v>
      </c>
    </row>
    <row r="3418" spans="6:7" x14ac:dyDescent="0.3">
      <c r="F3418" s="124">
        <v>3412</v>
      </c>
      <c r="G3418" s="33">
        <f t="shared" ca="1" si="66"/>
        <v>-4.8925691164262E-2</v>
      </c>
    </row>
    <row r="3419" spans="6:7" x14ac:dyDescent="0.3">
      <c r="F3419" s="124">
        <v>3413</v>
      </c>
      <c r="G3419" s="33">
        <f t="shared" ca="1" si="66"/>
        <v>-1.7694470213498407E-2</v>
      </c>
    </row>
    <row r="3420" spans="6:7" x14ac:dyDescent="0.3">
      <c r="F3420" s="124">
        <v>3414</v>
      </c>
      <c r="G3420" s="33">
        <f t="shared" ca="1" si="66"/>
        <v>4.0593718296620077E-2</v>
      </c>
    </row>
    <row r="3421" spans="6:7" x14ac:dyDescent="0.3">
      <c r="F3421" s="124">
        <v>3415</v>
      </c>
      <c r="G3421" s="33">
        <f t="shared" ca="1" si="66"/>
        <v>4.3879990748611958E-2</v>
      </c>
    </row>
    <row r="3422" spans="6:7" x14ac:dyDescent="0.3">
      <c r="F3422" s="124">
        <v>3416</v>
      </c>
      <c r="G3422" s="33">
        <f t="shared" ca="1" si="66"/>
        <v>-5.9314292812431779E-2</v>
      </c>
    </row>
    <row r="3423" spans="6:7" x14ac:dyDescent="0.3">
      <c r="F3423" s="124">
        <v>3417</v>
      </c>
      <c r="G3423" s="33">
        <f t="shared" ca="1" si="66"/>
        <v>1.1387167068199339E-2</v>
      </c>
    </row>
    <row r="3424" spans="6:7" x14ac:dyDescent="0.3">
      <c r="F3424" s="124">
        <v>3418</v>
      </c>
      <c r="G3424" s="33">
        <f t="shared" ca="1" si="66"/>
        <v>5.9946187404853593E-2</v>
      </c>
    </row>
    <row r="3425" spans="6:7" x14ac:dyDescent="0.3">
      <c r="F3425" s="124">
        <v>3419</v>
      </c>
      <c r="G3425" s="33">
        <f t="shared" ca="1" si="66"/>
        <v>-6.5663530318862767E-2</v>
      </c>
    </row>
    <row r="3426" spans="6:7" x14ac:dyDescent="0.3">
      <c r="F3426" s="124">
        <v>3420</v>
      </c>
      <c r="G3426" s="33">
        <f t="shared" ca="1" si="66"/>
        <v>-3.9428580378659844E-2</v>
      </c>
    </row>
    <row r="3427" spans="6:7" x14ac:dyDescent="0.3">
      <c r="F3427" s="124">
        <v>3421</v>
      </c>
      <c r="G3427" s="33">
        <f t="shared" ca="1" si="66"/>
        <v>2.1055518835561299E-2</v>
      </c>
    </row>
    <row r="3428" spans="6:7" x14ac:dyDescent="0.3">
      <c r="F3428" s="124">
        <v>3422</v>
      </c>
      <c r="G3428" s="33">
        <f t="shared" ca="1" si="66"/>
        <v>1.922500538220008E-2</v>
      </c>
    </row>
    <row r="3429" spans="6:7" x14ac:dyDescent="0.3">
      <c r="F3429" s="124">
        <v>3423</v>
      </c>
      <c r="G3429" s="33">
        <f t="shared" ca="1" si="66"/>
        <v>-3.9469342616568828E-2</v>
      </c>
    </row>
    <row r="3430" spans="6:7" x14ac:dyDescent="0.3">
      <c r="F3430" s="124">
        <v>3424</v>
      </c>
      <c r="G3430" s="33">
        <f t="shared" ca="1" si="66"/>
        <v>1.3589772442079841E-2</v>
      </c>
    </row>
    <row r="3431" spans="6:7" x14ac:dyDescent="0.3">
      <c r="F3431" s="124">
        <v>3425</v>
      </c>
      <c r="G3431" s="33">
        <f t="shared" ca="1" si="66"/>
        <v>-3.6014804662022323E-2</v>
      </c>
    </row>
    <row r="3432" spans="6:7" x14ac:dyDescent="0.3">
      <c r="F3432" s="124">
        <v>3426</v>
      </c>
      <c r="G3432" s="33">
        <f t="shared" ca="1" si="66"/>
        <v>9.792844185177698E-3</v>
      </c>
    </row>
    <row r="3433" spans="6:7" x14ac:dyDescent="0.3">
      <c r="F3433" s="124">
        <v>3427</v>
      </c>
      <c r="G3433" s="33">
        <f t="shared" ca="1" si="66"/>
        <v>1.7385040406553108E-2</v>
      </c>
    </row>
    <row r="3434" spans="6:7" x14ac:dyDescent="0.3">
      <c r="F3434" s="124">
        <v>3428</v>
      </c>
      <c r="G3434" s="33">
        <f t="shared" ca="1" si="66"/>
        <v>-6.1893082664349194E-3</v>
      </c>
    </row>
    <row r="3435" spans="6:7" x14ac:dyDescent="0.3">
      <c r="F3435" s="124">
        <v>3429</v>
      </c>
      <c r="G3435" s="33">
        <f t="shared" ca="1" si="66"/>
        <v>1.7690639316824217E-2</v>
      </c>
    </row>
    <row r="3436" spans="6:7" x14ac:dyDescent="0.3">
      <c r="F3436" s="124">
        <v>3430</v>
      </c>
      <c r="G3436" s="33">
        <f t="shared" ca="1" si="66"/>
        <v>4.7016596991824165E-2</v>
      </c>
    </row>
    <row r="3437" spans="6:7" x14ac:dyDescent="0.3">
      <c r="F3437" s="124">
        <v>3431</v>
      </c>
      <c r="G3437" s="33">
        <f t="shared" ca="1" si="66"/>
        <v>-7.660691060601423E-3</v>
      </c>
    </row>
    <row r="3438" spans="6:7" x14ac:dyDescent="0.3">
      <c r="F3438" s="124">
        <v>3432</v>
      </c>
      <c r="G3438" s="33">
        <f t="shared" ca="1" si="66"/>
        <v>2.0642280329912471E-2</v>
      </c>
    </row>
    <row r="3439" spans="6:7" x14ac:dyDescent="0.3">
      <c r="F3439" s="124">
        <v>3433</v>
      </c>
      <c r="G3439" s="33">
        <f t="shared" ca="1" si="66"/>
        <v>4.0977636996740868E-2</v>
      </c>
    </row>
    <row r="3440" spans="6:7" x14ac:dyDescent="0.3">
      <c r="F3440" s="124">
        <v>3434</v>
      </c>
      <c r="G3440" s="33">
        <f t="shared" ca="1" si="66"/>
        <v>4.0362733349449675E-2</v>
      </c>
    </row>
    <row r="3441" spans="6:7" x14ac:dyDescent="0.3">
      <c r="F3441" s="124">
        <v>3435</v>
      </c>
      <c r="G3441" s="33">
        <f t="shared" ca="1" si="66"/>
        <v>-2.9617505848939848E-2</v>
      </c>
    </row>
    <row r="3442" spans="6:7" x14ac:dyDescent="0.3">
      <c r="F3442" s="124">
        <v>3436</v>
      </c>
      <c r="G3442" s="33">
        <f t="shared" ca="1" si="66"/>
        <v>6.9744326947079336E-3</v>
      </c>
    </row>
    <row r="3443" spans="6:7" x14ac:dyDescent="0.3">
      <c r="F3443" s="124">
        <v>3437</v>
      </c>
      <c r="G3443" s="33">
        <f t="shared" ca="1" si="66"/>
        <v>-7.2828170472681156E-2</v>
      </c>
    </row>
    <row r="3444" spans="6:7" x14ac:dyDescent="0.3">
      <c r="F3444" s="124">
        <v>3438</v>
      </c>
      <c r="G3444" s="33">
        <f t="shared" ca="1" si="66"/>
        <v>2.2770807275775819E-2</v>
      </c>
    </row>
    <row r="3445" spans="6:7" x14ac:dyDescent="0.3">
      <c r="F3445" s="124">
        <v>3439</v>
      </c>
      <c r="G3445" s="33">
        <f t="shared" ca="1" si="66"/>
        <v>-1.7170521775048103E-2</v>
      </c>
    </row>
    <row r="3446" spans="6:7" x14ac:dyDescent="0.3">
      <c r="F3446" s="124">
        <v>3440</v>
      </c>
      <c r="G3446" s="33">
        <f t="shared" ca="1" si="66"/>
        <v>2.8200483135543887E-2</v>
      </c>
    </row>
    <row r="3447" spans="6:7" x14ac:dyDescent="0.3">
      <c r="F3447" s="124">
        <v>3441</v>
      </c>
      <c r="G3447" s="33">
        <f t="shared" ca="1" si="66"/>
        <v>-3.3201098200065317E-2</v>
      </c>
    </row>
    <row r="3448" spans="6:7" x14ac:dyDescent="0.3">
      <c r="F3448" s="124">
        <v>3442</v>
      </c>
      <c r="G3448" s="33">
        <f t="shared" ca="1" si="66"/>
        <v>-3.385663914036529E-2</v>
      </c>
    </row>
    <row r="3449" spans="6:7" x14ac:dyDescent="0.3">
      <c r="F3449" s="124">
        <v>3443</v>
      </c>
      <c r="G3449" s="33">
        <f t="shared" ca="1" si="66"/>
        <v>-4.5844238856723764E-3</v>
      </c>
    </row>
    <row r="3450" spans="6:7" x14ac:dyDescent="0.3">
      <c r="F3450" s="124">
        <v>3444</v>
      </c>
      <c r="G3450" s="33">
        <f t="shared" ca="1" si="66"/>
        <v>9.1366889957347798E-3</v>
      </c>
    </row>
    <row r="3451" spans="6:7" x14ac:dyDescent="0.3">
      <c r="F3451" s="124">
        <v>3445</v>
      </c>
      <c r="G3451" s="33">
        <f t="shared" ca="1" si="66"/>
        <v>1.4023602852433183E-2</v>
      </c>
    </row>
    <row r="3452" spans="6:7" x14ac:dyDescent="0.3">
      <c r="F3452" s="124">
        <v>3446</v>
      </c>
      <c r="G3452" s="33">
        <f t="shared" ca="1" si="66"/>
        <v>7.305851478771648E-2</v>
      </c>
    </row>
    <row r="3453" spans="6:7" x14ac:dyDescent="0.3">
      <c r="F3453" s="124">
        <v>3447</v>
      </c>
      <c r="G3453" s="33">
        <f t="shared" ca="1" si="66"/>
        <v>-2.5902663031810255E-2</v>
      </c>
    </row>
    <row r="3454" spans="6:7" x14ac:dyDescent="0.3">
      <c r="F3454" s="124">
        <v>3448</v>
      </c>
      <c r="G3454" s="33">
        <f t="shared" ca="1" si="66"/>
        <v>7.8009892067134488E-3</v>
      </c>
    </row>
    <row r="3455" spans="6:7" x14ac:dyDescent="0.3">
      <c r="F3455" s="124">
        <v>3449</v>
      </c>
      <c r="G3455" s="33">
        <f t="shared" ca="1" si="66"/>
        <v>6.1090574791630839E-2</v>
      </c>
    </row>
    <row r="3456" spans="6:7" x14ac:dyDescent="0.3">
      <c r="F3456" s="124">
        <v>3450</v>
      </c>
      <c r="G3456" s="33">
        <f t="shared" ca="1" si="66"/>
        <v>7.2866772641461131E-2</v>
      </c>
    </row>
    <row r="3457" spans="6:7" x14ac:dyDescent="0.3">
      <c r="F3457" s="124">
        <v>3451</v>
      </c>
      <c r="G3457" s="33">
        <f t="shared" ca="1" si="66"/>
        <v>3.0271602498801623E-2</v>
      </c>
    </row>
    <row r="3458" spans="6:7" x14ac:dyDescent="0.3">
      <c r="F3458" s="124">
        <v>3452</v>
      </c>
      <c r="G3458" s="33">
        <f t="shared" ca="1" si="66"/>
        <v>1.7522683317876386E-2</v>
      </c>
    </row>
    <row r="3459" spans="6:7" x14ac:dyDescent="0.3">
      <c r="F3459" s="124">
        <v>3453</v>
      </c>
      <c r="G3459" s="33">
        <f t="shared" ca="1" si="66"/>
        <v>2.1242995995730391E-2</v>
      </c>
    </row>
    <row r="3460" spans="6:7" x14ac:dyDescent="0.3">
      <c r="F3460" s="124">
        <v>3454</v>
      </c>
      <c r="G3460" s="33">
        <f t="shared" ca="1" si="66"/>
        <v>-3.4195149135761646E-2</v>
      </c>
    </row>
    <row r="3461" spans="6:7" x14ac:dyDescent="0.3">
      <c r="F3461" s="124">
        <v>3455</v>
      </c>
      <c r="G3461" s="33">
        <f t="shared" ca="1" si="66"/>
        <v>4.5666694051264278E-3</v>
      </c>
    </row>
    <row r="3462" spans="6:7" x14ac:dyDescent="0.3">
      <c r="F3462" s="124">
        <v>3456</v>
      </c>
      <c r="G3462" s="33">
        <f t="shared" ca="1" si="66"/>
        <v>-2.4249479183334331E-2</v>
      </c>
    </row>
    <row r="3463" spans="6:7" x14ac:dyDescent="0.3">
      <c r="F3463" s="124">
        <v>3457</v>
      </c>
      <c r="G3463" s="33">
        <f t="shared" ca="1" si="66"/>
        <v>-1.0157742895156342E-2</v>
      </c>
    </row>
    <row r="3464" spans="6:7" x14ac:dyDescent="0.3">
      <c r="F3464" s="124">
        <v>3458</v>
      </c>
      <c r="G3464" s="33">
        <f t="shared" ref="G3464:G3527" ca="1" si="67">_xlfn.NORM.INV(RAND(),$M$9,$M$10)</f>
        <v>7.5289434634547752E-4</v>
      </c>
    </row>
    <row r="3465" spans="6:7" x14ac:dyDescent="0.3">
      <c r="F3465" s="124">
        <v>3459</v>
      </c>
      <c r="G3465" s="33">
        <f t="shared" ca="1" si="67"/>
        <v>2.5902700018634626E-2</v>
      </c>
    </row>
    <row r="3466" spans="6:7" x14ac:dyDescent="0.3">
      <c r="F3466" s="124">
        <v>3460</v>
      </c>
      <c r="G3466" s="33">
        <f t="shared" ca="1" si="67"/>
        <v>-2.6633339652535556E-2</v>
      </c>
    </row>
    <row r="3467" spans="6:7" x14ac:dyDescent="0.3">
      <c r="F3467" s="124">
        <v>3461</v>
      </c>
      <c r="G3467" s="33">
        <f t="shared" ca="1" si="67"/>
        <v>-2.6193860131884905E-2</v>
      </c>
    </row>
    <row r="3468" spans="6:7" x14ac:dyDescent="0.3">
      <c r="F3468" s="124">
        <v>3462</v>
      </c>
      <c r="G3468" s="33">
        <f t="shared" ca="1" si="67"/>
        <v>2.0829452784877377E-2</v>
      </c>
    </row>
    <row r="3469" spans="6:7" x14ac:dyDescent="0.3">
      <c r="F3469" s="124">
        <v>3463</v>
      </c>
      <c r="G3469" s="33">
        <f t="shared" ca="1" si="67"/>
        <v>-4.6554542909655952E-2</v>
      </c>
    </row>
    <row r="3470" spans="6:7" x14ac:dyDescent="0.3">
      <c r="F3470" s="124">
        <v>3464</v>
      </c>
      <c r="G3470" s="33">
        <f t="shared" ca="1" si="67"/>
        <v>5.5850325004986261E-2</v>
      </c>
    </row>
    <row r="3471" spans="6:7" x14ac:dyDescent="0.3">
      <c r="F3471" s="124">
        <v>3465</v>
      </c>
      <c r="G3471" s="33">
        <f t="shared" ca="1" si="67"/>
        <v>3.2465544837344512E-2</v>
      </c>
    </row>
    <row r="3472" spans="6:7" x14ac:dyDescent="0.3">
      <c r="F3472" s="124">
        <v>3466</v>
      </c>
      <c r="G3472" s="33">
        <f t="shared" ca="1" si="67"/>
        <v>3.912803043892437E-2</v>
      </c>
    </row>
    <row r="3473" spans="6:7" x14ac:dyDescent="0.3">
      <c r="F3473" s="124">
        <v>3467</v>
      </c>
      <c r="G3473" s="33">
        <f t="shared" ca="1" si="67"/>
        <v>1.0829351281407367E-2</v>
      </c>
    </row>
    <row r="3474" spans="6:7" x14ac:dyDescent="0.3">
      <c r="F3474" s="124">
        <v>3468</v>
      </c>
      <c r="G3474" s="33">
        <f t="shared" ca="1" si="67"/>
        <v>1.2700191913104359E-2</v>
      </c>
    </row>
    <row r="3475" spans="6:7" x14ac:dyDescent="0.3">
      <c r="F3475" s="124">
        <v>3469</v>
      </c>
      <c r="G3475" s="33">
        <f t="shared" ca="1" si="67"/>
        <v>6.0589077340291548E-3</v>
      </c>
    </row>
    <row r="3476" spans="6:7" x14ac:dyDescent="0.3">
      <c r="F3476" s="124">
        <v>3470</v>
      </c>
      <c r="G3476" s="33">
        <f t="shared" ca="1" si="67"/>
        <v>-1.3895432499435416E-3</v>
      </c>
    </row>
    <row r="3477" spans="6:7" x14ac:dyDescent="0.3">
      <c r="F3477" s="124">
        <v>3471</v>
      </c>
      <c r="G3477" s="33">
        <f t="shared" ca="1" si="67"/>
        <v>4.4791677787419412E-4</v>
      </c>
    </row>
    <row r="3478" spans="6:7" x14ac:dyDescent="0.3">
      <c r="F3478" s="124">
        <v>3472</v>
      </c>
      <c r="G3478" s="33">
        <f t="shared" ca="1" si="67"/>
        <v>-2.112084211839144E-2</v>
      </c>
    </row>
    <row r="3479" spans="6:7" x14ac:dyDescent="0.3">
      <c r="F3479" s="124">
        <v>3473</v>
      </c>
      <c r="G3479" s="33">
        <f t="shared" ca="1" si="67"/>
        <v>1.550785192015439E-2</v>
      </c>
    </row>
    <row r="3480" spans="6:7" x14ac:dyDescent="0.3">
      <c r="F3480" s="124">
        <v>3474</v>
      </c>
      <c r="G3480" s="33">
        <f t="shared" ca="1" si="67"/>
        <v>-2.1005377257874627E-2</v>
      </c>
    </row>
    <row r="3481" spans="6:7" x14ac:dyDescent="0.3">
      <c r="F3481" s="124">
        <v>3475</v>
      </c>
      <c r="G3481" s="33">
        <f t="shared" ca="1" si="67"/>
        <v>-2.1390634691210768E-2</v>
      </c>
    </row>
    <row r="3482" spans="6:7" x14ac:dyDescent="0.3">
      <c r="F3482" s="124">
        <v>3476</v>
      </c>
      <c r="G3482" s="33">
        <f t="shared" ca="1" si="67"/>
        <v>-3.3612786801382535E-2</v>
      </c>
    </row>
    <row r="3483" spans="6:7" x14ac:dyDescent="0.3">
      <c r="F3483" s="124">
        <v>3477</v>
      </c>
      <c r="G3483" s="33">
        <f t="shared" ca="1" si="67"/>
        <v>-2.6342596728048815E-2</v>
      </c>
    </row>
    <row r="3484" spans="6:7" x14ac:dyDescent="0.3">
      <c r="F3484" s="124">
        <v>3478</v>
      </c>
      <c r="G3484" s="33">
        <f t="shared" ca="1" si="67"/>
        <v>5.5439930341860018E-3</v>
      </c>
    </row>
    <row r="3485" spans="6:7" x14ac:dyDescent="0.3">
      <c r="F3485" s="124">
        <v>3479</v>
      </c>
      <c r="G3485" s="33">
        <f t="shared" ca="1" si="67"/>
        <v>9.4501545637459827E-3</v>
      </c>
    </row>
    <row r="3486" spans="6:7" x14ac:dyDescent="0.3">
      <c r="F3486" s="124">
        <v>3480</v>
      </c>
      <c r="G3486" s="33">
        <f t="shared" ca="1" si="67"/>
        <v>1.5710291522902115E-2</v>
      </c>
    </row>
    <row r="3487" spans="6:7" x14ac:dyDescent="0.3">
      <c r="F3487" s="124">
        <v>3481</v>
      </c>
      <c r="G3487" s="33">
        <f t="shared" ca="1" si="67"/>
        <v>2.6330692959513884E-2</v>
      </c>
    </row>
    <row r="3488" spans="6:7" x14ac:dyDescent="0.3">
      <c r="F3488" s="124">
        <v>3482</v>
      </c>
      <c r="G3488" s="33">
        <f t="shared" ca="1" si="67"/>
        <v>-2.7675256024572537E-2</v>
      </c>
    </row>
    <row r="3489" spans="6:7" x14ac:dyDescent="0.3">
      <c r="F3489" s="124">
        <v>3483</v>
      </c>
      <c r="G3489" s="33">
        <f t="shared" ca="1" si="67"/>
        <v>2.4621087948924914E-2</v>
      </c>
    </row>
    <row r="3490" spans="6:7" x14ac:dyDescent="0.3">
      <c r="F3490" s="124">
        <v>3484</v>
      </c>
      <c r="G3490" s="33">
        <f t="shared" ca="1" si="67"/>
        <v>-9.3257778990219918E-4</v>
      </c>
    </row>
    <row r="3491" spans="6:7" x14ac:dyDescent="0.3">
      <c r="F3491" s="124">
        <v>3485</v>
      </c>
      <c r="G3491" s="33">
        <f t="shared" ca="1" si="67"/>
        <v>-8.3420531865156022E-2</v>
      </c>
    </row>
    <row r="3492" spans="6:7" x14ac:dyDescent="0.3">
      <c r="F3492" s="124">
        <v>3486</v>
      </c>
      <c r="G3492" s="33">
        <f t="shared" ca="1" si="67"/>
        <v>3.1702904586473214E-2</v>
      </c>
    </row>
    <row r="3493" spans="6:7" x14ac:dyDescent="0.3">
      <c r="F3493" s="124">
        <v>3487</v>
      </c>
      <c r="G3493" s="33">
        <f t="shared" ca="1" si="67"/>
        <v>-5.7274872492406821E-2</v>
      </c>
    </row>
    <row r="3494" spans="6:7" x14ac:dyDescent="0.3">
      <c r="F3494" s="124">
        <v>3488</v>
      </c>
      <c r="G3494" s="33">
        <f t="shared" ca="1" si="67"/>
        <v>-2.6376667205957792E-2</v>
      </c>
    </row>
    <row r="3495" spans="6:7" x14ac:dyDescent="0.3">
      <c r="F3495" s="124">
        <v>3489</v>
      </c>
      <c r="G3495" s="33">
        <f t="shared" ca="1" si="67"/>
        <v>-1.9367050523116398E-3</v>
      </c>
    </row>
    <row r="3496" spans="6:7" x14ac:dyDescent="0.3">
      <c r="F3496" s="124">
        <v>3490</v>
      </c>
      <c r="G3496" s="33">
        <f t="shared" ca="1" si="67"/>
        <v>-3.7966293169830745E-2</v>
      </c>
    </row>
    <row r="3497" spans="6:7" x14ac:dyDescent="0.3">
      <c r="F3497" s="124">
        <v>3491</v>
      </c>
      <c r="G3497" s="33">
        <f t="shared" ca="1" si="67"/>
        <v>1.2713873736847094E-2</v>
      </c>
    </row>
    <row r="3498" spans="6:7" x14ac:dyDescent="0.3">
      <c r="F3498" s="124">
        <v>3492</v>
      </c>
      <c r="G3498" s="33">
        <f t="shared" ca="1" si="67"/>
        <v>-1.4639175902548599E-2</v>
      </c>
    </row>
    <row r="3499" spans="6:7" x14ac:dyDescent="0.3">
      <c r="F3499" s="124">
        <v>3493</v>
      </c>
      <c r="G3499" s="33">
        <f t="shared" ca="1" si="67"/>
        <v>-1.5403667052448413E-2</v>
      </c>
    </row>
    <row r="3500" spans="6:7" x14ac:dyDescent="0.3">
      <c r="F3500" s="124">
        <v>3494</v>
      </c>
      <c r="G3500" s="33">
        <f t="shared" ca="1" si="67"/>
        <v>2.5141709423919519E-2</v>
      </c>
    </row>
    <row r="3501" spans="6:7" x14ac:dyDescent="0.3">
      <c r="F3501" s="124">
        <v>3495</v>
      </c>
      <c r="G3501" s="33">
        <f t="shared" ca="1" si="67"/>
        <v>5.412125009431254E-2</v>
      </c>
    </row>
    <row r="3502" spans="6:7" x14ac:dyDescent="0.3">
      <c r="F3502" s="124">
        <v>3496</v>
      </c>
      <c r="G3502" s="33">
        <f t="shared" ca="1" si="67"/>
        <v>-2.3028563115467537E-2</v>
      </c>
    </row>
    <row r="3503" spans="6:7" x14ac:dyDescent="0.3">
      <c r="F3503" s="124">
        <v>3497</v>
      </c>
      <c r="G3503" s="33">
        <f t="shared" ca="1" si="67"/>
        <v>-5.3668724783993565E-2</v>
      </c>
    </row>
    <row r="3504" spans="6:7" x14ac:dyDescent="0.3">
      <c r="F3504" s="124">
        <v>3498</v>
      </c>
      <c r="G3504" s="33">
        <f t="shared" ca="1" si="67"/>
        <v>-4.0193803155721471E-2</v>
      </c>
    </row>
    <row r="3505" spans="6:7" x14ac:dyDescent="0.3">
      <c r="F3505" s="124">
        <v>3499</v>
      </c>
      <c r="G3505" s="33">
        <f t="shared" ca="1" si="67"/>
        <v>1.3161373670577459E-2</v>
      </c>
    </row>
    <row r="3506" spans="6:7" x14ac:dyDescent="0.3">
      <c r="F3506" s="124">
        <v>3500</v>
      </c>
      <c r="G3506" s="33">
        <f t="shared" ca="1" si="67"/>
        <v>-9.2839403785224504E-3</v>
      </c>
    </row>
    <row r="3507" spans="6:7" x14ac:dyDescent="0.3">
      <c r="F3507" s="124">
        <v>3501</v>
      </c>
      <c r="G3507" s="33">
        <f t="shared" ca="1" si="67"/>
        <v>1.9234506703197689E-2</v>
      </c>
    </row>
    <row r="3508" spans="6:7" x14ac:dyDescent="0.3">
      <c r="F3508" s="124">
        <v>3502</v>
      </c>
      <c r="G3508" s="33">
        <f t="shared" ca="1" si="67"/>
        <v>1.9489194906700442E-2</v>
      </c>
    </row>
    <row r="3509" spans="6:7" x14ac:dyDescent="0.3">
      <c r="F3509" s="124">
        <v>3503</v>
      </c>
      <c r="G3509" s="33">
        <f t="shared" ca="1" si="67"/>
        <v>6.0363623815939883E-2</v>
      </c>
    </row>
    <row r="3510" spans="6:7" x14ac:dyDescent="0.3">
      <c r="F3510" s="124">
        <v>3504</v>
      </c>
      <c r="G3510" s="33">
        <f t="shared" ca="1" si="67"/>
        <v>1.2716736562683434E-2</v>
      </c>
    </row>
    <row r="3511" spans="6:7" x14ac:dyDescent="0.3">
      <c r="F3511" s="124">
        <v>3505</v>
      </c>
      <c r="G3511" s="33">
        <f t="shared" ca="1" si="67"/>
        <v>-2.2404295027319894E-2</v>
      </c>
    </row>
    <row r="3512" spans="6:7" x14ac:dyDescent="0.3">
      <c r="F3512" s="124">
        <v>3506</v>
      </c>
      <c r="G3512" s="33">
        <f t="shared" ca="1" si="67"/>
        <v>2.4281295234439341E-2</v>
      </c>
    </row>
    <row r="3513" spans="6:7" x14ac:dyDescent="0.3">
      <c r="F3513" s="124">
        <v>3507</v>
      </c>
      <c r="G3513" s="33">
        <f t="shared" ca="1" si="67"/>
        <v>-2.5582039126136862E-2</v>
      </c>
    </row>
    <row r="3514" spans="6:7" x14ac:dyDescent="0.3">
      <c r="F3514" s="124">
        <v>3508</v>
      </c>
      <c r="G3514" s="33">
        <f t="shared" ca="1" si="67"/>
        <v>-5.4023854760832041E-5</v>
      </c>
    </row>
    <row r="3515" spans="6:7" x14ac:dyDescent="0.3">
      <c r="F3515" s="124">
        <v>3509</v>
      </c>
      <c r="G3515" s="33">
        <f t="shared" ca="1" si="67"/>
        <v>4.8053960664666143E-3</v>
      </c>
    </row>
    <row r="3516" spans="6:7" x14ac:dyDescent="0.3">
      <c r="F3516" s="124">
        <v>3510</v>
      </c>
      <c r="G3516" s="33">
        <f t="shared" ca="1" si="67"/>
        <v>1.5775261939656757E-2</v>
      </c>
    </row>
    <row r="3517" spans="6:7" x14ac:dyDescent="0.3">
      <c r="F3517" s="124">
        <v>3511</v>
      </c>
      <c r="G3517" s="33">
        <f t="shared" ca="1" si="67"/>
        <v>1.5062999105198344E-2</v>
      </c>
    </row>
    <row r="3518" spans="6:7" x14ac:dyDescent="0.3">
      <c r="F3518" s="124">
        <v>3512</v>
      </c>
      <c r="G3518" s="33">
        <f t="shared" ca="1" si="67"/>
        <v>-1.9858425577725037E-2</v>
      </c>
    </row>
    <row r="3519" spans="6:7" x14ac:dyDescent="0.3">
      <c r="F3519" s="124">
        <v>3513</v>
      </c>
      <c r="G3519" s="33">
        <f t="shared" ca="1" si="67"/>
        <v>1.9030131120057289E-2</v>
      </c>
    </row>
    <row r="3520" spans="6:7" x14ac:dyDescent="0.3">
      <c r="F3520" s="124">
        <v>3514</v>
      </c>
      <c r="G3520" s="33">
        <f t="shared" ca="1" si="67"/>
        <v>9.3903853644702034E-3</v>
      </c>
    </row>
    <row r="3521" spans="6:7" x14ac:dyDescent="0.3">
      <c r="F3521" s="124">
        <v>3515</v>
      </c>
      <c r="G3521" s="33">
        <f t="shared" ca="1" si="67"/>
        <v>2.3444595153028967E-2</v>
      </c>
    </row>
    <row r="3522" spans="6:7" x14ac:dyDescent="0.3">
      <c r="F3522" s="124">
        <v>3516</v>
      </c>
      <c r="G3522" s="33">
        <f t="shared" ca="1" si="67"/>
        <v>4.5880847638383362E-2</v>
      </c>
    </row>
    <row r="3523" spans="6:7" x14ac:dyDescent="0.3">
      <c r="F3523" s="124">
        <v>3517</v>
      </c>
      <c r="G3523" s="33">
        <f t="shared" ca="1" si="67"/>
        <v>1.1300614284337412E-2</v>
      </c>
    </row>
    <row r="3524" spans="6:7" x14ac:dyDescent="0.3">
      <c r="F3524" s="124">
        <v>3518</v>
      </c>
      <c r="G3524" s="33">
        <f t="shared" ca="1" si="67"/>
        <v>-2.2495837201815343E-2</v>
      </c>
    </row>
    <row r="3525" spans="6:7" x14ac:dyDescent="0.3">
      <c r="F3525" s="124">
        <v>3519</v>
      </c>
      <c r="G3525" s="33">
        <f t="shared" ca="1" si="67"/>
        <v>-5.365667722831753E-3</v>
      </c>
    </row>
    <row r="3526" spans="6:7" x14ac:dyDescent="0.3">
      <c r="F3526" s="124">
        <v>3520</v>
      </c>
      <c r="G3526" s="33">
        <f t="shared" ca="1" si="67"/>
        <v>-1.076272730282293E-2</v>
      </c>
    </row>
    <row r="3527" spans="6:7" x14ac:dyDescent="0.3">
      <c r="F3527" s="124">
        <v>3521</v>
      </c>
      <c r="G3527" s="33">
        <f t="shared" ca="1" si="67"/>
        <v>-2.885372851505693E-2</v>
      </c>
    </row>
    <row r="3528" spans="6:7" x14ac:dyDescent="0.3">
      <c r="F3528" s="124">
        <v>3522</v>
      </c>
      <c r="G3528" s="33">
        <f t="shared" ref="G3528:G3591" ca="1" si="68">_xlfn.NORM.INV(RAND(),$M$9,$M$10)</f>
        <v>8.4350443816840707E-3</v>
      </c>
    </row>
    <row r="3529" spans="6:7" x14ac:dyDescent="0.3">
      <c r="F3529" s="124">
        <v>3523</v>
      </c>
      <c r="G3529" s="33">
        <f t="shared" ca="1" si="68"/>
        <v>2.4780254326880451E-2</v>
      </c>
    </row>
    <row r="3530" spans="6:7" x14ac:dyDescent="0.3">
      <c r="F3530" s="124">
        <v>3524</v>
      </c>
      <c r="G3530" s="33">
        <f t="shared" ca="1" si="68"/>
        <v>-1.9387640694324474E-2</v>
      </c>
    </row>
    <row r="3531" spans="6:7" x14ac:dyDescent="0.3">
      <c r="F3531" s="124">
        <v>3525</v>
      </c>
      <c r="G3531" s="33">
        <f t="shared" ca="1" si="68"/>
        <v>1.8794113488695828E-2</v>
      </c>
    </row>
    <row r="3532" spans="6:7" x14ac:dyDescent="0.3">
      <c r="F3532" s="124">
        <v>3526</v>
      </c>
      <c r="G3532" s="33">
        <f t="shared" ca="1" si="68"/>
        <v>-1.2850148523420781E-2</v>
      </c>
    </row>
    <row r="3533" spans="6:7" x14ac:dyDescent="0.3">
      <c r="F3533" s="124">
        <v>3527</v>
      </c>
      <c r="G3533" s="33">
        <f t="shared" ca="1" si="68"/>
        <v>2.9185530870234934E-2</v>
      </c>
    </row>
    <row r="3534" spans="6:7" x14ac:dyDescent="0.3">
      <c r="F3534" s="124">
        <v>3528</v>
      </c>
      <c r="G3534" s="33">
        <f t="shared" ca="1" si="68"/>
        <v>4.9356726153455432E-2</v>
      </c>
    </row>
    <row r="3535" spans="6:7" x14ac:dyDescent="0.3">
      <c r="F3535" s="124">
        <v>3529</v>
      </c>
      <c r="G3535" s="33">
        <f t="shared" ca="1" si="68"/>
        <v>4.9970675413608286E-3</v>
      </c>
    </row>
    <row r="3536" spans="6:7" x14ac:dyDescent="0.3">
      <c r="F3536" s="124">
        <v>3530</v>
      </c>
      <c r="G3536" s="33">
        <f t="shared" ca="1" si="68"/>
        <v>-2.5361847192448387E-2</v>
      </c>
    </row>
    <row r="3537" spans="6:7" x14ac:dyDescent="0.3">
      <c r="F3537" s="124">
        <v>3531</v>
      </c>
      <c r="G3537" s="33">
        <f t="shared" ca="1" si="68"/>
        <v>-6.8257184624646366E-3</v>
      </c>
    </row>
    <row r="3538" spans="6:7" x14ac:dyDescent="0.3">
      <c r="F3538" s="124">
        <v>3532</v>
      </c>
      <c r="G3538" s="33">
        <f t="shared" ca="1" si="68"/>
        <v>-3.187689809857485E-2</v>
      </c>
    </row>
    <row r="3539" spans="6:7" x14ac:dyDescent="0.3">
      <c r="F3539" s="124">
        <v>3533</v>
      </c>
      <c r="G3539" s="33">
        <f t="shared" ca="1" si="68"/>
        <v>1.5084223256805047E-2</v>
      </c>
    </row>
    <row r="3540" spans="6:7" x14ac:dyDescent="0.3">
      <c r="F3540" s="124">
        <v>3534</v>
      </c>
      <c r="G3540" s="33">
        <f t="shared" ca="1" si="68"/>
        <v>-5.7257095149307463E-2</v>
      </c>
    </row>
    <row r="3541" spans="6:7" x14ac:dyDescent="0.3">
      <c r="F3541" s="124">
        <v>3535</v>
      </c>
      <c r="G3541" s="33">
        <f t="shared" ca="1" si="68"/>
        <v>1.1605181481105648E-2</v>
      </c>
    </row>
    <row r="3542" spans="6:7" x14ac:dyDescent="0.3">
      <c r="F3542" s="124">
        <v>3536</v>
      </c>
      <c r="G3542" s="33">
        <f t="shared" ca="1" si="68"/>
        <v>-1.6137088235399001E-3</v>
      </c>
    </row>
    <row r="3543" spans="6:7" x14ac:dyDescent="0.3">
      <c r="F3543" s="124">
        <v>3537</v>
      </c>
      <c r="G3543" s="33">
        <f t="shared" ca="1" si="68"/>
        <v>1.2415591940049618E-2</v>
      </c>
    </row>
    <row r="3544" spans="6:7" x14ac:dyDescent="0.3">
      <c r="F3544" s="124">
        <v>3538</v>
      </c>
      <c r="G3544" s="33">
        <f t="shared" ca="1" si="68"/>
        <v>8.4101877567770676E-3</v>
      </c>
    </row>
    <row r="3545" spans="6:7" x14ac:dyDescent="0.3">
      <c r="F3545" s="124">
        <v>3539</v>
      </c>
      <c r="G3545" s="33">
        <f t="shared" ca="1" si="68"/>
        <v>6.1436606289865948E-2</v>
      </c>
    </row>
    <row r="3546" spans="6:7" x14ac:dyDescent="0.3">
      <c r="F3546" s="124">
        <v>3540</v>
      </c>
      <c r="G3546" s="33">
        <f t="shared" ca="1" si="68"/>
        <v>2.2097527046879131E-2</v>
      </c>
    </row>
    <row r="3547" spans="6:7" x14ac:dyDescent="0.3">
      <c r="F3547" s="124">
        <v>3541</v>
      </c>
      <c r="G3547" s="33">
        <f t="shared" ca="1" si="68"/>
        <v>-2.134990094132188E-2</v>
      </c>
    </row>
    <row r="3548" spans="6:7" x14ac:dyDescent="0.3">
      <c r="F3548" s="124">
        <v>3542</v>
      </c>
      <c r="G3548" s="33">
        <f t="shared" ca="1" si="68"/>
        <v>-3.8578684883206578E-3</v>
      </c>
    </row>
    <row r="3549" spans="6:7" x14ac:dyDescent="0.3">
      <c r="F3549" s="124">
        <v>3543</v>
      </c>
      <c r="G3549" s="33">
        <f t="shared" ca="1" si="68"/>
        <v>2.9530821019979576E-2</v>
      </c>
    </row>
    <row r="3550" spans="6:7" x14ac:dyDescent="0.3">
      <c r="F3550" s="124">
        <v>3544</v>
      </c>
      <c r="G3550" s="33">
        <f t="shared" ca="1" si="68"/>
        <v>-5.4204027688628045E-2</v>
      </c>
    </row>
    <row r="3551" spans="6:7" x14ac:dyDescent="0.3">
      <c r="F3551" s="124">
        <v>3545</v>
      </c>
      <c r="G3551" s="33">
        <f t="shared" ca="1" si="68"/>
        <v>9.4046676830324182E-5</v>
      </c>
    </row>
    <row r="3552" spans="6:7" x14ac:dyDescent="0.3">
      <c r="F3552" s="124">
        <v>3546</v>
      </c>
      <c r="G3552" s="33">
        <f t="shared" ca="1" si="68"/>
        <v>2.1956579973415078E-2</v>
      </c>
    </row>
    <row r="3553" spans="6:7" x14ac:dyDescent="0.3">
      <c r="F3553" s="124">
        <v>3547</v>
      </c>
      <c r="G3553" s="33">
        <f t="shared" ca="1" si="68"/>
        <v>4.4192383323701193E-2</v>
      </c>
    </row>
    <row r="3554" spans="6:7" x14ac:dyDescent="0.3">
      <c r="F3554" s="124">
        <v>3548</v>
      </c>
      <c r="G3554" s="33">
        <f t="shared" ca="1" si="68"/>
        <v>4.5482860306989725E-2</v>
      </c>
    </row>
    <row r="3555" spans="6:7" x14ac:dyDescent="0.3">
      <c r="F3555" s="124">
        <v>3549</v>
      </c>
      <c r="G3555" s="33">
        <f t="shared" ca="1" si="68"/>
        <v>3.4262459014443719E-2</v>
      </c>
    </row>
    <row r="3556" spans="6:7" x14ac:dyDescent="0.3">
      <c r="F3556" s="124">
        <v>3550</v>
      </c>
      <c r="G3556" s="33">
        <f t="shared" ca="1" si="68"/>
        <v>-1.0078010037392147E-2</v>
      </c>
    </row>
    <row r="3557" spans="6:7" x14ac:dyDescent="0.3">
      <c r="F3557" s="124">
        <v>3551</v>
      </c>
      <c r="G3557" s="33">
        <f t="shared" ca="1" si="68"/>
        <v>-4.4648374639844933E-3</v>
      </c>
    </row>
    <row r="3558" spans="6:7" x14ac:dyDescent="0.3">
      <c r="F3558" s="124">
        <v>3552</v>
      </c>
      <c r="G3558" s="33">
        <f t="shared" ca="1" si="68"/>
        <v>2.8697506915181174E-3</v>
      </c>
    </row>
    <row r="3559" spans="6:7" x14ac:dyDescent="0.3">
      <c r="F3559" s="124">
        <v>3553</v>
      </c>
      <c r="G3559" s="33">
        <f t="shared" ca="1" si="68"/>
        <v>3.6773236480718237E-2</v>
      </c>
    </row>
    <row r="3560" spans="6:7" x14ac:dyDescent="0.3">
      <c r="F3560" s="124">
        <v>3554</v>
      </c>
      <c r="G3560" s="33">
        <f t="shared" ca="1" si="68"/>
        <v>-6.1415345910182688E-3</v>
      </c>
    </row>
    <row r="3561" spans="6:7" x14ac:dyDescent="0.3">
      <c r="F3561" s="124">
        <v>3555</v>
      </c>
      <c r="G3561" s="33">
        <f t="shared" ca="1" si="68"/>
        <v>-3.0627874339297919E-2</v>
      </c>
    </row>
    <row r="3562" spans="6:7" x14ac:dyDescent="0.3">
      <c r="F3562" s="124">
        <v>3556</v>
      </c>
      <c r="G3562" s="33">
        <f t="shared" ca="1" si="68"/>
        <v>2.2578416403372558E-2</v>
      </c>
    </row>
    <row r="3563" spans="6:7" x14ac:dyDescent="0.3">
      <c r="F3563" s="124">
        <v>3557</v>
      </c>
      <c r="G3563" s="33">
        <f t="shared" ca="1" si="68"/>
        <v>4.4336046337572169E-2</v>
      </c>
    </row>
    <row r="3564" spans="6:7" x14ac:dyDescent="0.3">
      <c r="F3564" s="124">
        <v>3558</v>
      </c>
      <c r="G3564" s="33">
        <f t="shared" ca="1" si="68"/>
        <v>4.0579985143623159E-3</v>
      </c>
    </row>
    <row r="3565" spans="6:7" x14ac:dyDescent="0.3">
      <c r="F3565" s="124">
        <v>3559</v>
      </c>
      <c r="G3565" s="33">
        <f t="shared" ca="1" si="68"/>
        <v>-3.9020423589186837E-2</v>
      </c>
    </row>
    <row r="3566" spans="6:7" x14ac:dyDescent="0.3">
      <c r="F3566" s="124">
        <v>3560</v>
      </c>
      <c r="G3566" s="33">
        <f t="shared" ca="1" si="68"/>
        <v>-6.7331206503135593E-2</v>
      </c>
    </row>
    <row r="3567" spans="6:7" x14ac:dyDescent="0.3">
      <c r="F3567" s="124">
        <v>3561</v>
      </c>
      <c r="G3567" s="33">
        <f t="shared" ca="1" si="68"/>
        <v>-7.9115085399759193E-3</v>
      </c>
    </row>
    <row r="3568" spans="6:7" x14ac:dyDescent="0.3">
      <c r="F3568" s="124">
        <v>3562</v>
      </c>
      <c r="G3568" s="33">
        <f t="shared" ca="1" si="68"/>
        <v>1.0463669992614956E-3</v>
      </c>
    </row>
    <row r="3569" spans="6:7" x14ac:dyDescent="0.3">
      <c r="F3569" s="124">
        <v>3563</v>
      </c>
      <c r="G3569" s="33">
        <f t="shared" ca="1" si="68"/>
        <v>2.6780804831173476E-2</v>
      </c>
    </row>
    <row r="3570" spans="6:7" x14ac:dyDescent="0.3">
      <c r="F3570" s="124">
        <v>3564</v>
      </c>
      <c r="G3570" s="33">
        <f t="shared" ca="1" si="68"/>
        <v>3.9374310149811048E-2</v>
      </c>
    </row>
    <row r="3571" spans="6:7" x14ac:dyDescent="0.3">
      <c r="F3571" s="124">
        <v>3565</v>
      </c>
      <c r="G3571" s="33">
        <f t="shared" ca="1" si="68"/>
        <v>1.6099916567357528E-2</v>
      </c>
    </row>
    <row r="3572" spans="6:7" x14ac:dyDescent="0.3">
      <c r="F3572" s="124">
        <v>3566</v>
      </c>
      <c r="G3572" s="33">
        <f t="shared" ca="1" si="68"/>
        <v>9.0792191229679981E-3</v>
      </c>
    </row>
    <row r="3573" spans="6:7" x14ac:dyDescent="0.3">
      <c r="F3573" s="124">
        <v>3567</v>
      </c>
      <c r="G3573" s="33">
        <f t="shared" ca="1" si="68"/>
        <v>-4.9909954614207733E-2</v>
      </c>
    </row>
    <row r="3574" spans="6:7" x14ac:dyDescent="0.3">
      <c r="F3574" s="124">
        <v>3568</v>
      </c>
      <c r="G3574" s="33">
        <f t="shared" ca="1" si="68"/>
        <v>-1.668440968373994E-4</v>
      </c>
    </row>
    <row r="3575" spans="6:7" x14ac:dyDescent="0.3">
      <c r="F3575" s="124">
        <v>3569</v>
      </c>
      <c r="G3575" s="33">
        <f t="shared" ca="1" si="68"/>
        <v>4.3615966144226817E-3</v>
      </c>
    </row>
    <row r="3576" spans="6:7" x14ac:dyDescent="0.3">
      <c r="F3576" s="124">
        <v>3570</v>
      </c>
      <c r="G3576" s="33">
        <f t="shared" ca="1" si="68"/>
        <v>4.2337724982754697E-2</v>
      </c>
    </row>
    <row r="3577" spans="6:7" x14ac:dyDescent="0.3">
      <c r="F3577" s="124">
        <v>3571</v>
      </c>
      <c r="G3577" s="33">
        <f t="shared" ca="1" si="68"/>
        <v>-6.6231974822415773E-2</v>
      </c>
    </row>
    <row r="3578" spans="6:7" x14ac:dyDescent="0.3">
      <c r="F3578" s="124">
        <v>3572</v>
      </c>
      <c r="G3578" s="33">
        <f t="shared" ca="1" si="68"/>
        <v>-1.2452150038663734E-4</v>
      </c>
    </row>
    <row r="3579" spans="6:7" x14ac:dyDescent="0.3">
      <c r="F3579" s="124">
        <v>3573</v>
      </c>
      <c r="G3579" s="33">
        <f t="shared" ca="1" si="68"/>
        <v>4.7435796799565021E-2</v>
      </c>
    </row>
    <row r="3580" spans="6:7" x14ac:dyDescent="0.3">
      <c r="F3580" s="124">
        <v>3574</v>
      </c>
      <c r="G3580" s="33">
        <f t="shared" ca="1" si="68"/>
        <v>-1.3279013211737134E-2</v>
      </c>
    </row>
    <row r="3581" spans="6:7" x14ac:dyDescent="0.3">
      <c r="F3581" s="124">
        <v>3575</v>
      </c>
      <c r="G3581" s="33">
        <f t="shared" ca="1" si="68"/>
        <v>3.637195301382122E-2</v>
      </c>
    </row>
    <row r="3582" spans="6:7" x14ac:dyDescent="0.3">
      <c r="F3582" s="124">
        <v>3576</v>
      </c>
      <c r="G3582" s="33">
        <f t="shared" ca="1" si="68"/>
        <v>1.1089150019002228E-3</v>
      </c>
    </row>
    <row r="3583" spans="6:7" x14ac:dyDescent="0.3">
      <c r="F3583" s="124">
        <v>3577</v>
      </c>
      <c r="G3583" s="33">
        <f t="shared" ca="1" si="68"/>
        <v>-1.5128128024519613E-2</v>
      </c>
    </row>
    <row r="3584" spans="6:7" x14ac:dyDescent="0.3">
      <c r="F3584" s="124">
        <v>3578</v>
      </c>
      <c r="G3584" s="33">
        <f t="shared" ca="1" si="68"/>
        <v>-4.1724800716560234E-2</v>
      </c>
    </row>
    <row r="3585" spans="6:7" x14ac:dyDescent="0.3">
      <c r="F3585" s="124">
        <v>3579</v>
      </c>
      <c r="G3585" s="33">
        <f t="shared" ca="1" si="68"/>
        <v>2.6941031957951E-2</v>
      </c>
    </row>
    <row r="3586" spans="6:7" x14ac:dyDescent="0.3">
      <c r="F3586" s="124">
        <v>3580</v>
      </c>
      <c r="G3586" s="33">
        <f t="shared" ca="1" si="68"/>
        <v>-5.5249192684308689E-2</v>
      </c>
    </row>
    <row r="3587" spans="6:7" x14ac:dyDescent="0.3">
      <c r="F3587" s="124">
        <v>3581</v>
      </c>
      <c r="G3587" s="33">
        <f t="shared" ca="1" si="68"/>
        <v>3.0340342063572513E-3</v>
      </c>
    </row>
    <row r="3588" spans="6:7" x14ac:dyDescent="0.3">
      <c r="F3588" s="124">
        <v>3582</v>
      </c>
      <c r="G3588" s="33">
        <f t="shared" ca="1" si="68"/>
        <v>-3.2822415949994091E-2</v>
      </c>
    </row>
    <row r="3589" spans="6:7" x14ac:dyDescent="0.3">
      <c r="F3589" s="124">
        <v>3583</v>
      </c>
      <c r="G3589" s="33">
        <f t="shared" ca="1" si="68"/>
        <v>1.8350368885466293E-2</v>
      </c>
    </row>
    <row r="3590" spans="6:7" x14ac:dyDescent="0.3">
      <c r="F3590" s="124">
        <v>3584</v>
      </c>
      <c r="G3590" s="33">
        <f t="shared" ca="1" si="68"/>
        <v>-1.1824402276255346E-2</v>
      </c>
    </row>
    <row r="3591" spans="6:7" x14ac:dyDescent="0.3">
      <c r="F3591" s="124">
        <v>3585</v>
      </c>
      <c r="G3591" s="33">
        <f t="shared" ca="1" si="68"/>
        <v>2.6092698601988134E-2</v>
      </c>
    </row>
    <row r="3592" spans="6:7" x14ac:dyDescent="0.3">
      <c r="F3592" s="124">
        <v>3586</v>
      </c>
      <c r="G3592" s="33">
        <f t="shared" ref="G3592:G3655" ca="1" si="69">_xlfn.NORM.INV(RAND(),$M$9,$M$10)</f>
        <v>3.9443031528995122E-2</v>
      </c>
    </row>
    <row r="3593" spans="6:7" x14ac:dyDescent="0.3">
      <c r="F3593" s="124">
        <v>3587</v>
      </c>
      <c r="G3593" s="33">
        <f t="shared" ca="1" si="69"/>
        <v>8.8880523208323819E-3</v>
      </c>
    </row>
    <row r="3594" spans="6:7" x14ac:dyDescent="0.3">
      <c r="F3594" s="124">
        <v>3588</v>
      </c>
      <c r="G3594" s="33">
        <f t="shared" ca="1" si="69"/>
        <v>2.3136394686792509E-2</v>
      </c>
    </row>
    <row r="3595" spans="6:7" x14ac:dyDescent="0.3">
      <c r="F3595" s="124">
        <v>3589</v>
      </c>
      <c r="G3595" s="33">
        <f t="shared" ca="1" si="69"/>
        <v>1.1761863103963488E-2</v>
      </c>
    </row>
    <row r="3596" spans="6:7" x14ac:dyDescent="0.3">
      <c r="F3596" s="124">
        <v>3590</v>
      </c>
      <c r="G3596" s="33">
        <f t="shared" ca="1" si="69"/>
        <v>1.6814027751221844E-2</v>
      </c>
    </row>
    <row r="3597" spans="6:7" x14ac:dyDescent="0.3">
      <c r="F3597" s="124">
        <v>3591</v>
      </c>
      <c r="G3597" s="33">
        <f t="shared" ca="1" si="69"/>
        <v>-1.1498537247353769E-2</v>
      </c>
    </row>
    <row r="3598" spans="6:7" x14ac:dyDescent="0.3">
      <c r="F3598" s="124">
        <v>3592</v>
      </c>
      <c r="G3598" s="33">
        <f t="shared" ca="1" si="69"/>
        <v>4.5698918472110855E-2</v>
      </c>
    </row>
    <row r="3599" spans="6:7" x14ac:dyDescent="0.3">
      <c r="F3599" s="124">
        <v>3593</v>
      </c>
      <c r="G3599" s="33">
        <f t="shared" ca="1" si="69"/>
        <v>3.9388889604290371E-2</v>
      </c>
    </row>
    <row r="3600" spans="6:7" x14ac:dyDescent="0.3">
      <c r="F3600" s="124">
        <v>3594</v>
      </c>
      <c r="G3600" s="33">
        <f t="shared" ca="1" si="69"/>
        <v>1.1234334190361666E-2</v>
      </c>
    </row>
    <row r="3601" spans="6:7" x14ac:dyDescent="0.3">
      <c r="F3601" s="124">
        <v>3595</v>
      </c>
      <c r="G3601" s="33">
        <f t="shared" ca="1" si="69"/>
        <v>-5.7601228001178256E-3</v>
      </c>
    </row>
    <row r="3602" spans="6:7" x14ac:dyDescent="0.3">
      <c r="F3602" s="124">
        <v>3596</v>
      </c>
      <c r="G3602" s="33">
        <f t="shared" ca="1" si="69"/>
        <v>-3.1518547312818279E-2</v>
      </c>
    </row>
    <row r="3603" spans="6:7" x14ac:dyDescent="0.3">
      <c r="F3603" s="124">
        <v>3597</v>
      </c>
      <c r="G3603" s="33">
        <f t="shared" ca="1" si="69"/>
        <v>-3.961566944233795E-2</v>
      </c>
    </row>
    <row r="3604" spans="6:7" x14ac:dyDescent="0.3">
      <c r="F3604" s="124">
        <v>3598</v>
      </c>
      <c r="G3604" s="33">
        <f t="shared" ca="1" si="69"/>
        <v>-1.4186094971136275E-2</v>
      </c>
    </row>
    <row r="3605" spans="6:7" x14ac:dyDescent="0.3">
      <c r="F3605" s="124">
        <v>3599</v>
      </c>
      <c r="G3605" s="33">
        <f t="shared" ca="1" si="69"/>
        <v>-4.9870583527898632E-3</v>
      </c>
    </row>
    <row r="3606" spans="6:7" x14ac:dyDescent="0.3">
      <c r="F3606" s="124">
        <v>3600</v>
      </c>
      <c r="G3606" s="33">
        <f t="shared" ca="1" si="69"/>
        <v>-1.2745452134626866E-2</v>
      </c>
    </row>
    <row r="3607" spans="6:7" x14ac:dyDescent="0.3">
      <c r="F3607" s="124">
        <v>3601</v>
      </c>
      <c r="G3607" s="33">
        <f t="shared" ca="1" si="69"/>
        <v>-4.6686460072372295E-2</v>
      </c>
    </row>
    <row r="3608" spans="6:7" x14ac:dyDescent="0.3">
      <c r="F3608" s="124">
        <v>3602</v>
      </c>
      <c r="G3608" s="33">
        <f t="shared" ca="1" si="69"/>
        <v>8.2373067682212434E-3</v>
      </c>
    </row>
    <row r="3609" spans="6:7" x14ac:dyDescent="0.3">
      <c r="F3609" s="124">
        <v>3603</v>
      </c>
      <c r="G3609" s="33">
        <f t="shared" ca="1" si="69"/>
        <v>-1.6574474722398209E-2</v>
      </c>
    </row>
    <row r="3610" spans="6:7" x14ac:dyDescent="0.3">
      <c r="F3610" s="124">
        <v>3604</v>
      </c>
      <c r="G3610" s="33">
        <f t="shared" ca="1" si="69"/>
        <v>8.0316204376011929E-3</v>
      </c>
    </row>
    <row r="3611" spans="6:7" x14ac:dyDescent="0.3">
      <c r="F3611" s="124">
        <v>3605</v>
      </c>
      <c r="G3611" s="33">
        <f t="shared" ca="1" si="69"/>
        <v>-1.2737960472843837E-2</v>
      </c>
    </row>
    <row r="3612" spans="6:7" x14ac:dyDescent="0.3">
      <c r="F3612" s="124">
        <v>3606</v>
      </c>
      <c r="G3612" s="33">
        <f t="shared" ca="1" si="69"/>
        <v>1.0521350490395764E-2</v>
      </c>
    </row>
    <row r="3613" spans="6:7" x14ac:dyDescent="0.3">
      <c r="F3613" s="124">
        <v>3607</v>
      </c>
      <c r="G3613" s="33">
        <f t="shared" ca="1" si="69"/>
        <v>4.9874760792133765E-2</v>
      </c>
    </row>
    <row r="3614" spans="6:7" x14ac:dyDescent="0.3">
      <c r="F3614" s="124">
        <v>3608</v>
      </c>
      <c r="G3614" s="33">
        <f t="shared" ca="1" si="69"/>
        <v>5.6510799283177267E-2</v>
      </c>
    </row>
    <row r="3615" spans="6:7" x14ac:dyDescent="0.3">
      <c r="F3615" s="124">
        <v>3609</v>
      </c>
      <c r="G3615" s="33">
        <f t="shared" ca="1" si="69"/>
        <v>-2.9613397837649925E-2</v>
      </c>
    </row>
    <row r="3616" spans="6:7" x14ac:dyDescent="0.3">
      <c r="F3616" s="124">
        <v>3610</v>
      </c>
      <c r="G3616" s="33">
        <f t="shared" ca="1" si="69"/>
        <v>6.2079418092962167E-3</v>
      </c>
    </row>
    <row r="3617" spans="6:7" x14ac:dyDescent="0.3">
      <c r="F3617" s="124">
        <v>3611</v>
      </c>
      <c r="G3617" s="33">
        <f t="shared" ca="1" si="69"/>
        <v>3.3752193266676368E-2</v>
      </c>
    </row>
    <row r="3618" spans="6:7" x14ac:dyDescent="0.3">
      <c r="F3618" s="124">
        <v>3612</v>
      </c>
      <c r="G3618" s="33">
        <f t="shared" ca="1" si="69"/>
        <v>-2.7436110957606851E-2</v>
      </c>
    </row>
    <row r="3619" spans="6:7" x14ac:dyDescent="0.3">
      <c r="F3619" s="124">
        <v>3613</v>
      </c>
      <c r="G3619" s="33">
        <f t="shared" ca="1" si="69"/>
        <v>7.3663303465852467E-2</v>
      </c>
    </row>
    <row r="3620" spans="6:7" x14ac:dyDescent="0.3">
      <c r="F3620" s="124">
        <v>3614</v>
      </c>
      <c r="G3620" s="33">
        <f t="shared" ca="1" si="69"/>
        <v>-2.1998392995165303E-2</v>
      </c>
    </row>
    <row r="3621" spans="6:7" x14ac:dyDescent="0.3">
      <c r="F3621" s="124">
        <v>3615</v>
      </c>
      <c r="G3621" s="33">
        <f t="shared" ca="1" si="69"/>
        <v>-3.2416284862274346E-2</v>
      </c>
    </row>
    <row r="3622" spans="6:7" x14ac:dyDescent="0.3">
      <c r="F3622" s="124">
        <v>3616</v>
      </c>
      <c r="G3622" s="33">
        <f t="shared" ca="1" si="69"/>
        <v>-1.5532627603507647E-2</v>
      </c>
    </row>
    <row r="3623" spans="6:7" x14ac:dyDescent="0.3">
      <c r="F3623" s="124">
        <v>3617</v>
      </c>
      <c r="G3623" s="33">
        <f t="shared" ca="1" si="69"/>
        <v>9.9773113002745335E-3</v>
      </c>
    </row>
    <row r="3624" spans="6:7" x14ac:dyDescent="0.3">
      <c r="F3624" s="124">
        <v>3618</v>
      </c>
      <c r="G3624" s="33">
        <f t="shared" ca="1" si="69"/>
        <v>1.8404507907315331E-2</v>
      </c>
    </row>
    <row r="3625" spans="6:7" x14ac:dyDescent="0.3">
      <c r="F3625" s="124">
        <v>3619</v>
      </c>
      <c r="G3625" s="33">
        <f t="shared" ca="1" si="69"/>
        <v>-4.3462402889987616E-2</v>
      </c>
    </row>
    <row r="3626" spans="6:7" x14ac:dyDescent="0.3">
      <c r="F3626" s="124">
        <v>3620</v>
      </c>
      <c r="G3626" s="33">
        <f t="shared" ca="1" si="69"/>
        <v>-2.4765498272013454E-2</v>
      </c>
    </row>
    <row r="3627" spans="6:7" x14ac:dyDescent="0.3">
      <c r="F3627" s="124">
        <v>3621</v>
      </c>
      <c r="G3627" s="33">
        <f t="shared" ca="1" si="69"/>
        <v>1.4653005131703336E-2</v>
      </c>
    </row>
    <row r="3628" spans="6:7" x14ac:dyDescent="0.3">
      <c r="F3628" s="124">
        <v>3622</v>
      </c>
      <c r="G3628" s="33">
        <f t="shared" ca="1" si="69"/>
        <v>-1.4513426593023071E-2</v>
      </c>
    </row>
    <row r="3629" spans="6:7" x14ac:dyDescent="0.3">
      <c r="F3629" s="124">
        <v>3623</v>
      </c>
      <c r="G3629" s="33">
        <f t="shared" ca="1" si="69"/>
        <v>1.2954450620254979E-2</v>
      </c>
    </row>
    <row r="3630" spans="6:7" x14ac:dyDescent="0.3">
      <c r="F3630" s="124">
        <v>3624</v>
      </c>
      <c r="G3630" s="33">
        <f t="shared" ca="1" si="69"/>
        <v>-6.1944417874350004E-2</v>
      </c>
    </row>
    <row r="3631" spans="6:7" x14ac:dyDescent="0.3">
      <c r="F3631" s="124">
        <v>3625</v>
      </c>
      <c r="G3631" s="33">
        <f t="shared" ca="1" si="69"/>
        <v>-2.6943093254225968E-2</v>
      </c>
    </row>
    <row r="3632" spans="6:7" x14ac:dyDescent="0.3">
      <c r="F3632" s="124">
        <v>3626</v>
      </c>
      <c r="G3632" s="33">
        <f t="shared" ca="1" si="69"/>
        <v>1.3279912192038199E-2</v>
      </c>
    </row>
    <row r="3633" spans="6:7" x14ac:dyDescent="0.3">
      <c r="F3633" s="124">
        <v>3627</v>
      </c>
      <c r="G3633" s="33">
        <f t="shared" ca="1" si="69"/>
        <v>-1.3355862490623299E-2</v>
      </c>
    </row>
    <row r="3634" spans="6:7" x14ac:dyDescent="0.3">
      <c r="F3634" s="124">
        <v>3628</v>
      </c>
      <c r="G3634" s="33">
        <f t="shared" ca="1" si="69"/>
        <v>-1.9493540546812776E-2</v>
      </c>
    </row>
    <row r="3635" spans="6:7" x14ac:dyDescent="0.3">
      <c r="F3635" s="124">
        <v>3629</v>
      </c>
      <c r="G3635" s="33">
        <f t="shared" ca="1" si="69"/>
        <v>1.9625168121452957E-2</v>
      </c>
    </row>
    <row r="3636" spans="6:7" x14ac:dyDescent="0.3">
      <c r="F3636" s="124">
        <v>3630</v>
      </c>
      <c r="G3636" s="33">
        <f t="shared" ca="1" si="69"/>
        <v>-3.4730052780910195E-2</v>
      </c>
    </row>
    <row r="3637" spans="6:7" x14ac:dyDescent="0.3">
      <c r="F3637" s="124">
        <v>3631</v>
      </c>
      <c r="G3637" s="33">
        <f t="shared" ca="1" si="69"/>
        <v>-1.49609797282345E-2</v>
      </c>
    </row>
    <row r="3638" spans="6:7" x14ac:dyDescent="0.3">
      <c r="F3638" s="124">
        <v>3632</v>
      </c>
      <c r="G3638" s="33">
        <f t="shared" ca="1" si="69"/>
        <v>-3.3319184804473038E-2</v>
      </c>
    </row>
    <row r="3639" spans="6:7" x14ac:dyDescent="0.3">
      <c r="F3639" s="124">
        <v>3633</v>
      </c>
      <c r="G3639" s="33">
        <f t="shared" ca="1" si="69"/>
        <v>2.6518685674954186E-2</v>
      </c>
    </row>
    <row r="3640" spans="6:7" x14ac:dyDescent="0.3">
      <c r="F3640" s="124">
        <v>3634</v>
      </c>
      <c r="G3640" s="33">
        <f t="shared" ca="1" si="69"/>
        <v>1.4105372209527046E-2</v>
      </c>
    </row>
    <row r="3641" spans="6:7" x14ac:dyDescent="0.3">
      <c r="F3641" s="124">
        <v>3635</v>
      </c>
      <c r="G3641" s="33">
        <f t="shared" ca="1" si="69"/>
        <v>3.6989506986259899E-2</v>
      </c>
    </row>
    <row r="3642" spans="6:7" x14ac:dyDescent="0.3">
      <c r="F3642" s="124">
        <v>3636</v>
      </c>
      <c r="G3642" s="33">
        <f t="shared" ca="1" si="69"/>
        <v>-7.8965301309318614E-2</v>
      </c>
    </row>
    <row r="3643" spans="6:7" x14ac:dyDescent="0.3">
      <c r="F3643" s="124">
        <v>3637</v>
      </c>
      <c r="G3643" s="33">
        <f t="shared" ca="1" si="69"/>
        <v>1.0260262642051855E-2</v>
      </c>
    </row>
    <row r="3644" spans="6:7" x14ac:dyDescent="0.3">
      <c r="F3644" s="124">
        <v>3638</v>
      </c>
      <c r="G3644" s="33">
        <f t="shared" ca="1" si="69"/>
        <v>-2.761615461827702E-2</v>
      </c>
    </row>
    <row r="3645" spans="6:7" x14ac:dyDescent="0.3">
      <c r="F3645" s="124">
        <v>3639</v>
      </c>
      <c r="G3645" s="33">
        <f t="shared" ca="1" si="69"/>
        <v>-6.0711740069059562E-3</v>
      </c>
    </row>
    <row r="3646" spans="6:7" x14ac:dyDescent="0.3">
      <c r="F3646" s="124">
        <v>3640</v>
      </c>
      <c r="G3646" s="33">
        <f t="shared" ca="1" si="69"/>
        <v>-1.1800361156928847E-2</v>
      </c>
    </row>
    <row r="3647" spans="6:7" x14ac:dyDescent="0.3">
      <c r="F3647" s="124">
        <v>3641</v>
      </c>
      <c r="G3647" s="33">
        <f t="shared" ca="1" si="69"/>
        <v>6.5692707574434824E-3</v>
      </c>
    </row>
    <row r="3648" spans="6:7" x14ac:dyDescent="0.3">
      <c r="F3648" s="124">
        <v>3642</v>
      </c>
      <c r="G3648" s="33">
        <f t="shared" ca="1" si="69"/>
        <v>-7.3644265977954393E-3</v>
      </c>
    </row>
    <row r="3649" spans="6:7" x14ac:dyDescent="0.3">
      <c r="F3649" s="124">
        <v>3643</v>
      </c>
      <c r="G3649" s="33">
        <f t="shared" ca="1" si="69"/>
        <v>3.6056681339922708E-2</v>
      </c>
    </row>
    <row r="3650" spans="6:7" x14ac:dyDescent="0.3">
      <c r="F3650" s="124">
        <v>3644</v>
      </c>
      <c r="G3650" s="33">
        <f t="shared" ca="1" si="69"/>
        <v>4.0599940231896711E-2</v>
      </c>
    </row>
    <row r="3651" spans="6:7" x14ac:dyDescent="0.3">
      <c r="F3651" s="124">
        <v>3645</v>
      </c>
      <c r="G3651" s="33">
        <f t="shared" ca="1" si="69"/>
        <v>3.0943614150842801E-2</v>
      </c>
    </row>
    <row r="3652" spans="6:7" x14ac:dyDescent="0.3">
      <c r="F3652" s="124">
        <v>3646</v>
      </c>
      <c r="G3652" s="33">
        <f t="shared" ca="1" si="69"/>
        <v>4.2287792972107836E-2</v>
      </c>
    </row>
    <row r="3653" spans="6:7" x14ac:dyDescent="0.3">
      <c r="F3653" s="124">
        <v>3647</v>
      </c>
      <c r="G3653" s="33">
        <f t="shared" ca="1" si="69"/>
        <v>4.1700267380371785E-3</v>
      </c>
    </row>
    <row r="3654" spans="6:7" x14ac:dyDescent="0.3">
      <c r="F3654" s="124">
        <v>3648</v>
      </c>
      <c r="G3654" s="33">
        <f t="shared" ca="1" si="69"/>
        <v>3.8623715266330107E-2</v>
      </c>
    </row>
    <row r="3655" spans="6:7" x14ac:dyDescent="0.3">
      <c r="F3655" s="124">
        <v>3649</v>
      </c>
      <c r="G3655" s="33">
        <f t="shared" ca="1" si="69"/>
        <v>4.5540690429811695E-2</v>
      </c>
    </row>
    <row r="3656" spans="6:7" x14ac:dyDescent="0.3">
      <c r="F3656" s="124">
        <v>3650</v>
      </c>
      <c r="G3656" s="33">
        <f t="shared" ref="G3656:G3719" ca="1" si="70">_xlfn.NORM.INV(RAND(),$M$9,$M$10)</f>
        <v>3.507103281709896E-3</v>
      </c>
    </row>
    <row r="3657" spans="6:7" x14ac:dyDescent="0.3">
      <c r="F3657" s="124">
        <v>3651</v>
      </c>
      <c r="G3657" s="33">
        <f t="shared" ca="1" si="70"/>
        <v>-2.4792208151655476E-2</v>
      </c>
    </row>
    <row r="3658" spans="6:7" x14ac:dyDescent="0.3">
      <c r="F3658" s="124">
        <v>3652</v>
      </c>
      <c r="G3658" s="33">
        <f t="shared" ca="1" si="70"/>
        <v>-1.523731221112783E-2</v>
      </c>
    </row>
    <row r="3659" spans="6:7" x14ac:dyDescent="0.3">
      <c r="F3659" s="124">
        <v>3653</v>
      </c>
      <c r="G3659" s="33">
        <f t="shared" ca="1" si="70"/>
        <v>2.746754920368601E-2</v>
      </c>
    </row>
    <row r="3660" spans="6:7" x14ac:dyDescent="0.3">
      <c r="F3660" s="124">
        <v>3654</v>
      </c>
      <c r="G3660" s="33">
        <f t="shared" ca="1" si="70"/>
        <v>1.2482170365117082E-3</v>
      </c>
    </row>
    <row r="3661" spans="6:7" x14ac:dyDescent="0.3">
      <c r="F3661" s="124">
        <v>3655</v>
      </c>
      <c r="G3661" s="33">
        <f t="shared" ca="1" si="70"/>
        <v>1.2896407141122633E-2</v>
      </c>
    </row>
    <row r="3662" spans="6:7" x14ac:dyDescent="0.3">
      <c r="F3662" s="124">
        <v>3656</v>
      </c>
      <c r="G3662" s="33">
        <f t="shared" ca="1" si="70"/>
        <v>9.5223012089749818E-3</v>
      </c>
    </row>
    <row r="3663" spans="6:7" x14ac:dyDescent="0.3">
      <c r="F3663" s="124">
        <v>3657</v>
      </c>
      <c r="G3663" s="33">
        <f t="shared" ca="1" si="70"/>
        <v>2.3440636107386031E-2</v>
      </c>
    </row>
    <row r="3664" spans="6:7" x14ac:dyDescent="0.3">
      <c r="F3664" s="124">
        <v>3658</v>
      </c>
      <c r="G3664" s="33">
        <f t="shared" ca="1" si="70"/>
        <v>-1.1944348851445322E-3</v>
      </c>
    </row>
    <row r="3665" spans="6:7" x14ac:dyDescent="0.3">
      <c r="F3665" s="124">
        <v>3659</v>
      </c>
      <c r="G3665" s="33">
        <f t="shared" ca="1" si="70"/>
        <v>-6.9594682167719704E-2</v>
      </c>
    </row>
    <row r="3666" spans="6:7" x14ac:dyDescent="0.3">
      <c r="F3666" s="124">
        <v>3660</v>
      </c>
      <c r="G3666" s="33">
        <f t="shared" ca="1" si="70"/>
        <v>5.0817756004987412E-2</v>
      </c>
    </row>
    <row r="3667" spans="6:7" x14ac:dyDescent="0.3">
      <c r="F3667" s="124">
        <v>3661</v>
      </c>
      <c r="G3667" s="33">
        <f t="shared" ca="1" si="70"/>
        <v>3.4420394717484037E-2</v>
      </c>
    </row>
    <row r="3668" spans="6:7" x14ac:dyDescent="0.3">
      <c r="F3668" s="124">
        <v>3662</v>
      </c>
      <c r="G3668" s="33">
        <f t="shared" ca="1" si="70"/>
        <v>6.3110279841574529E-3</v>
      </c>
    </row>
    <row r="3669" spans="6:7" x14ac:dyDescent="0.3">
      <c r="F3669" s="124">
        <v>3663</v>
      </c>
      <c r="G3669" s="33">
        <f t="shared" ca="1" si="70"/>
        <v>-2.3103524276009361E-2</v>
      </c>
    </row>
    <row r="3670" spans="6:7" x14ac:dyDescent="0.3">
      <c r="F3670" s="124">
        <v>3664</v>
      </c>
      <c r="G3670" s="33">
        <f t="shared" ca="1" si="70"/>
        <v>1.0138129939843726E-2</v>
      </c>
    </row>
    <row r="3671" spans="6:7" x14ac:dyDescent="0.3">
      <c r="F3671" s="124">
        <v>3665</v>
      </c>
      <c r="G3671" s="33">
        <f t="shared" ca="1" si="70"/>
        <v>2.4052659277482298E-2</v>
      </c>
    </row>
    <row r="3672" spans="6:7" x14ac:dyDescent="0.3">
      <c r="F3672" s="124">
        <v>3666</v>
      </c>
      <c r="G3672" s="33">
        <f t="shared" ca="1" si="70"/>
        <v>-1.1139206129811733E-2</v>
      </c>
    </row>
    <row r="3673" spans="6:7" x14ac:dyDescent="0.3">
      <c r="F3673" s="124">
        <v>3667</v>
      </c>
      <c r="G3673" s="33">
        <f t="shared" ca="1" si="70"/>
        <v>1.4895574736588084E-2</v>
      </c>
    </row>
    <row r="3674" spans="6:7" x14ac:dyDescent="0.3">
      <c r="F3674" s="124">
        <v>3668</v>
      </c>
      <c r="G3674" s="33">
        <f t="shared" ca="1" si="70"/>
        <v>-3.1601734433814886E-2</v>
      </c>
    </row>
    <row r="3675" spans="6:7" x14ac:dyDescent="0.3">
      <c r="F3675" s="124">
        <v>3669</v>
      </c>
      <c r="G3675" s="33">
        <f t="shared" ca="1" si="70"/>
        <v>1.7928184130247837E-2</v>
      </c>
    </row>
    <row r="3676" spans="6:7" x14ac:dyDescent="0.3">
      <c r="F3676" s="124">
        <v>3670</v>
      </c>
      <c r="G3676" s="33">
        <f t="shared" ca="1" si="70"/>
        <v>-2.0517415559408936E-2</v>
      </c>
    </row>
    <row r="3677" spans="6:7" x14ac:dyDescent="0.3">
      <c r="F3677" s="124">
        <v>3671</v>
      </c>
      <c r="G3677" s="33">
        <f t="shared" ca="1" si="70"/>
        <v>4.5208950483066855E-3</v>
      </c>
    </row>
    <row r="3678" spans="6:7" x14ac:dyDescent="0.3">
      <c r="F3678" s="124">
        <v>3672</v>
      </c>
      <c r="G3678" s="33">
        <f t="shared" ca="1" si="70"/>
        <v>1.5051479530928114E-2</v>
      </c>
    </row>
    <row r="3679" spans="6:7" x14ac:dyDescent="0.3">
      <c r="F3679" s="124">
        <v>3673</v>
      </c>
      <c r="G3679" s="33">
        <f t="shared" ca="1" si="70"/>
        <v>-4.5243935490781047E-2</v>
      </c>
    </row>
    <row r="3680" spans="6:7" x14ac:dyDescent="0.3">
      <c r="F3680" s="124">
        <v>3674</v>
      </c>
      <c r="G3680" s="33">
        <f t="shared" ca="1" si="70"/>
        <v>7.7396201153470109E-2</v>
      </c>
    </row>
    <row r="3681" spans="6:7" x14ac:dyDescent="0.3">
      <c r="F3681" s="124">
        <v>3675</v>
      </c>
      <c r="G3681" s="33">
        <f t="shared" ca="1" si="70"/>
        <v>1.7671164895564296E-2</v>
      </c>
    </row>
    <row r="3682" spans="6:7" x14ac:dyDescent="0.3">
      <c r="F3682" s="124">
        <v>3676</v>
      </c>
      <c r="G3682" s="33">
        <f t="shared" ca="1" si="70"/>
        <v>2.9518852568290881E-2</v>
      </c>
    </row>
    <row r="3683" spans="6:7" x14ac:dyDescent="0.3">
      <c r="F3683" s="124">
        <v>3677</v>
      </c>
      <c r="G3683" s="33">
        <f t="shared" ca="1" si="70"/>
        <v>9.7711059024021309E-3</v>
      </c>
    </row>
    <row r="3684" spans="6:7" x14ac:dyDescent="0.3">
      <c r="F3684" s="124">
        <v>3678</v>
      </c>
      <c r="G3684" s="33">
        <f t="shared" ca="1" si="70"/>
        <v>1.7638338722889241E-2</v>
      </c>
    </row>
    <row r="3685" spans="6:7" x14ac:dyDescent="0.3">
      <c r="F3685" s="124">
        <v>3679</v>
      </c>
      <c r="G3685" s="33">
        <f t="shared" ca="1" si="70"/>
        <v>1.4145606600494509E-3</v>
      </c>
    </row>
    <row r="3686" spans="6:7" x14ac:dyDescent="0.3">
      <c r="F3686" s="124">
        <v>3680</v>
      </c>
      <c r="G3686" s="33">
        <f t="shared" ca="1" si="70"/>
        <v>-1.4419524100844155E-2</v>
      </c>
    </row>
    <row r="3687" spans="6:7" x14ac:dyDescent="0.3">
      <c r="F3687" s="124">
        <v>3681</v>
      </c>
      <c r="G3687" s="33">
        <f t="shared" ca="1" si="70"/>
        <v>1.2385370353101818E-2</v>
      </c>
    </row>
    <row r="3688" spans="6:7" x14ac:dyDescent="0.3">
      <c r="F3688" s="124">
        <v>3682</v>
      </c>
      <c r="G3688" s="33">
        <f t="shared" ca="1" si="70"/>
        <v>6.202923782576873E-3</v>
      </c>
    </row>
    <row r="3689" spans="6:7" x14ac:dyDescent="0.3">
      <c r="F3689" s="124">
        <v>3683</v>
      </c>
      <c r="G3689" s="33">
        <f t="shared" ca="1" si="70"/>
        <v>1.0685495980595837E-2</v>
      </c>
    </row>
    <row r="3690" spans="6:7" x14ac:dyDescent="0.3">
      <c r="F3690" s="124">
        <v>3684</v>
      </c>
      <c r="G3690" s="33">
        <f t="shared" ca="1" si="70"/>
        <v>-3.1264203674738048E-2</v>
      </c>
    </row>
    <row r="3691" spans="6:7" x14ac:dyDescent="0.3">
      <c r="F3691" s="124">
        <v>3685</v>
      </c>
      <c r="G3691" s="33">
        <f t="shared" ca="1" si="70"/>
        <v>2.7825788798093082E-2</v>
      </c>
    </row>
    <row r="3692" spans="6:7" x14ac:dyDescent="0.3">
      <c r="F3692" s="124">
        <v>3686</v>
      </c>
      <c r="G3692" s="33">
        <f t="shared" ca="1" si="70"/>
        <v>-5.2414341964739847E-2</v>
      </c>
    </row>
    <row r="3693" spans="6:7" x14ac:dyDescent="0.3">
      <c r="F3693" s="124">
        <v>3687</v>
      </c>
      <c r="G3693" s="33">
        <f t="shared" ca="1" si="70"/>
        <v>-5.381081330415761E-3</v>
      </c>
    </row>
    <row r="3694" spans="6:7" x14ac:dyDescent="0.3">
      <c r="F3694" s="124">
        <v>3688</v>
      </c>
      <c r="G3694" s="33">
        <f t="shared" ca="1" si="70"/>
        <v>2.4025063038649395E-2</v>
      </c>
    </row>
    <row r="3695" spans="6:7" x14ac:dyDescent="0.3">
      <c r="F3695" s="124">
        <v>3689</v>
      </c>
      <c r="G3695" s="33">
        <f t="shared" ca="1" si="70"/>
        <v>-5.8116843339605286E-3</v>
      </c>
    </row>
    <row r="3696" spans="6:7" x14ac:dyDescent="0.3">
      <c r="F3696" s="124">
        <v>3690</v>
      </c>
      <c r="G3696" s="33">
        <f t="shared" ca="1" si="70"/>
        <v>-6.5122450931706613E-2</v>
      </c>
    </row>
    <row r="3697" spans="6:7" x14ac:dyDescent="0.3">
      <c r="F3697" s="124">
        <v>3691</v>
      </c>
      <c r="G3697" s="33">
        <f t="shared" ca="1" si="70"/>
        <v>3.2355283016380749E-2</v>
      </c>
    </row>
    <row r="3698" spans="6:7" x14ac:dyDescent="0.3">
      <c r="F3698" s="124">
        <v>3692</v>
      </c>
      <c r="G3698" s="33">
        <f t="shared" ca="1" si="70"/>
        <v>1.9142839056661115E-2</v>
      </c>
    </row>
    <row r="3699" spans="6:7" x14ac:dyDescent="0.3">
      <c r="F3699" s="124">
        <v>3693</v>
      </c>
      <c r="G3699" s="33">
        <f t="shared" ca="1" si="70"/>
        <v>-6.7937362799277362E-3</v>
      </c>
    </row>
    <row r="3700" spans="6:7" x14ac:dyDescent="0.3">
      <c r="F3700" s="124">
        <v>3694</v>
      </c>
      <c r="G3700" s="33">
        <f t="shared" ca="1" si="70"/>
        <v>7.0471341829244265E-3</v>
      </c>
    </row>
    <row r="3701" spans="6:7" x14ac:dyDescent="0.3">
      <c r="F3701" s="124">
        <v>3695</v>
      </c>
      <c r="G3701" s="33">
        <f t="shared" ca="1" si="70"/>
        <v>1.1393729227308406E-2</v>
      </c>
    </row>
    <row r="3702" spans="6:7" x14ac:dyDescent="0.3">
      <c r="F3702" s="124">
        <v>3696</v>
      </c>
      <c r="G3702" s="33">
        <f t="shared" ca="1" si="70"/>
        <v>3.4768969665171054E-2</v>
      </c>
    </row>
    <row r="3703" spans="6:7" x14ac:dyDescent="0.3">
      <c r="F3703" s="124">
        <v>3697</v>
      </c>
      <c r="G3703" s="33">
        <f t="shared" ca="1" si="70"/>
        <v>1.5644626049682201E-2</v>
      </c>
    </row>
    <row r="3704" spans="6:7" x14ac:dyDescent="0.3">
      <c r="F3704" s="124">
        <v>3698</v>
      </c>
      <c r="G3704" s="33">
        <f t="shared" ca="1" si="70"/>
        <v>2.3247736679876951E-3</v>
      </c>
    </row>
    <row r="3705" spans="6:7" x14ac:dyDescent="0.3">
      <c r="F3705" s="124">
        <v>3699</v>
      </c>
      <c r="G3705" s="33">
        <f t="shared" ca="1" si="70"/>
        <v>6.5696055963584521E-2</v>
      </c>
    </row>
    <row r="3706" spans="6:7" x14ac:dyDescent="0.3">
      <c r="F3706" s="124">
        <v>3700</v>
      </c>
      <c r="G3706" s="33">
        <f t="shared" ca="1" si="70"/>
        <v>1.0327471797059687E-2</v>
      </c>
    </row>
    <row r="3707" spans="6:7" x14ac:dyDescent="0.3">
      <c r="F3707" s="124">
        <v>3701</v>
      </c>
      <c r="G3707" s="33">
        <f t="shared" ca="1" si="70"/>
        <v>3.7498060778143751E-2</v>
      </c>
    </row>
    <row r="3708" spans="6:7" x14ac:dyDescent="0.3">
      <c r="F3708" s="124">
        <v>3702</v>
      </c>
      <c r="G3708" s="33">
        <f t="shared" ca="1" si="70"/>
        <v>-4.3822773609298073E-2</v>
      </c>
    </row>
    <row r="3709" spans="6:7" x14ac:dyDescent="0.3">
      <c r="F3709" s="124">
        <v>3703</v>
      </c>
      <c r="G3709" s="33">
        <f t="shared" ca="1" si="70"/>
        <v>-3.2513660113536839E-3</v>
      </c>
    </row>
    <row r="3710" spans="6:7" x14ac:dyDescent="0.3">
      <c r="F3710" s="124">
        <v>3704</v>
      </c>
      <c r="G3710" s="33">
        <f t="shared" ca="1" si="70"/>
        <v>-4.8193652357852411E-2</v>
      </c>
    </row>
    <row r="3711" spans="6:7" x14ac:dyDescent="0.3">
      <c r="F3711" s="124">
        <v>3705</v>
      </c>
      <c r="G3711" s="33">
        <f t="shared" ca="1" si="70"/>
        <v>4.1877234966482355E-4</v>
      </c>
    </row>
    <row r="3712" spans="6:7" x14ac:dyDescent="0.3">
      <c r="F3712" s="124">
        <v>3706</v>
      </c>
      <c r="G3712" s="33">
        <f t="shared" ca="1" si="70"/>
        <v>-4.089947092273389E-2</v>
      </c>
    </row>
    <row r="3713" spans="6:7" x14ac:dyDescent="0.3">
      <c r="F3713" s="124">
        <v>3707</v>
      </c>
      <c r="G3713" s="33">
        <f t="shared" ca="1" si="70"/>
        <v>-3.0730312053572333E-2</v>
      </c>
    </row>
    <row r="3714" spans="6:7" x14ac:dyDescent="0.3">
      <c r="F3714" s="124">
        <v>3708</v>
      </c>
      <c r="G3714" s="33">
        <f t="shared" ca="1" si="70"/>
        <v>2.7501951464909063E-2</v>
      </c>
    </row>
    <row r="3715" spans="6:7" x14ac:dyDescent="0.3">
      <c r="F3715" s="124">
        <v>3709</v>
      </c>
      <c r="G3715" s="33">
        <f t="shared" ca="1" si="70"/>
        <v>2.282064792648009E-2</v>
      </c>
    </row>
    <row r="3716" spans="6:7" x14ac:dyDescent="0.3">
      <c r="F3716" s="124">
        <v>3710</v>
      </c>
      <c r="G3716" s="33">
        <f t="shared" ca="1" si="70"/>
        <v>-4.1261751200073492E-2</v>
      </c>
    </row>
    <row r="3717" spans="6:7" x14ac:dyDescent="0.3">
      <c r="F3717" s="124">
        <v>3711</v>
      </c>
      <c r="G3717" s="33">
        <f t="shared" ca="1" si="70"/>
        <v>1.3368996064537425E-2</v>
      </c>
    </row>
    <row r="3718" spans="6:7" x14ac:dyDescent="0.3">
      <c r="F3718" s="124">
        <v>3712</v>
      </c>
      <c r="G3718" s="33">
        <f t="shared" ca="1" si="70"/>
        <v>2.6121782886492262E-3</v>
      </c>
    </row>
    <row r="3719" spans="6:7" x14ac:dyDescent="0.3">
      <c r="F3719" s="124">
        <v>3713</v>
      </c>
      <c r="G3719" s="33">
        <f t="shared" ca="1" si="70"/>
        <v>-5.3477929410866397E-3</v>
      </c>
    </row>
    <row r="3720" spans="6:7" x14ac:dyDescent="0.3">
      <c r="F3720" s="124">
        <v>3714</v>
      </c>
      <c r="G3720" s="33">
        <f t="shared" ref="G3720:G3783" ca="1" si="71">_xlfn.NORM.INV(RAND(),$M$9,$M$10)</f>
        <v>7.060478495312128E-2</v>
      </c>
    </row>
    <row r="3721" spans="6:7" x14ac:dyDescent="0.3">
      <c r="F3721" s="124">
        <v>3715</v>
      </c>
      <c r="G3721" s="33">
        <f t="shared" ca="1" si="71"/>
        <v>1.8174134257592536E-2</v>
      </c>
    </row>
    <row r="3722" spans="6:7" x14ac:dyDescent="0.3">
      <c r="F3722" s="124">
        <v>3716</v>
      </c>
      <c r="G3722" s="33">
        <f t="shared" ca="1" si="71"/>
        <v>-3.8816871899216721E-3</v>
      </c>
    </row>
    <row r="3723" spans="6:7" x14ac:dyDescent="0.3">
      <c r="F3723" s="124">
        <v>3717</v>
      </c>
      <c r="G3723" s="33">
        <f t="shared" ca="1" si="71"/>
        <v>-0.10880051295348771</v>
      </c>
    </row>
    <row r="3724" spans="6:7" x14ac:dyDescent="0.3">
      <c r="F3724" s="124">
        <v>3718</v>
      </c>
      <c r="G3724" s="33">
        <f t="shared" ca="1" si="71"/>
        <v>-3.5038985246731269E-2</v>
      </c>
    </row>
    <row r="3725" spans="6:7" x14ac:dyDescent="0.3">
      <c r="F3725" s="124">
        <v>3719</v>
      </c>
      <c r="G3725" s="33">
        <f t="shared" ca="1" si="71"/>
        <v>2.6337539565792874E-2</v>
      </c>
    </row>
    <row r="3726" spans="6:7" x14ac:dyDescent="0.3">
      <c r="F3726" s="124">
        <v>3720</v>
      </c>
      <c r="G3726" s="33">
        <f t="shared" ca="1" si="71"/>
        <v>2.3362274847248725E-2</v>
      </c>
    </row>
    <row r="3727" spans="6:7" x14ac:dyDescent="0.3">
      <c r="F3727" s="124">
        <v>3721</v>
      </c>
      <c r="G3727" s="33">
        <f t="shared" ca="1" si="71"/>
        <v>-2.5364451636573321E-2</v>
      </c>
    </row>
    <row r="3728" spans="6:7" x14ac:dyDescent="0.3">
      <c r="F3728" s="124">
        <v>3722</v>
      </c>
      <c r="G3728" s="33">
        <f t="shared" ca="1" si="71"/>
        <v>-2.7697643903299559E-3</v>
      </c>
    </row>
    <row r="3729" spans="6:7" x14ac:dyDescent="0.3">
      <c r="F3729" s="124">
        <v>3723</v>
      </c>
      <c r="G3729" s="33">
        <f t="shared" ca="1" si="71"/>
        <v>-1.2409691994436933E-2</v>
      </c>
    </row>
    <row r="3730" spans="6:7" x14ac:dyDescent="0.3">
      <c r="F3730" s="124">
        <v>3724</v>
      </c>
      <c r="G3730" s="33">
        <f t="shared" ca="1" si="71"/>
        <v>2.7911642427369564E-2</v>
      </c>
    </row>
    <row r="3731" spans="6:7" x14ac:dyDescent="0.3">
      <c r="F3731" s="124">
        <v>3725</v>
      </c>
      <c r="G3731" s="33">
        <f t="shared" ca="1" si="71"/>
        <v>1.5468110215480762E-2</v>
      </c>
    </row>
    <row r="3732" spans="6:7" x14ac:dyDescent="0.3">
      <c r="F3732" s="124">
        <v>3726</v>
      </c>
      <c r="G3732" s="33">
        <f t="shared" ca="1" si="71"/>
        <v>-1.1508758587149212E-2</v>
      </c>
    </row>
    <row r="3733" spans="6:7" x14ac:dyDescent="0.3">
      <c r="F3733" s="124">
        <v>3727</v>
      </c>
      <c r="G3733" s="33">
        <f t="shared" ca="1" si="71"/>
        <v>-1.9101837749198068E-2</v>
      </c>
    </row>
    <row r="3734" spans="6:7" x14ac:dyDescent="0.3">
      <c r="F3734" s="124">
        <v>3728</v>
      </c>
      <c r="G3734" s="33">
        <f t="shared" ca="1" si="71"/>
        <v>4.0062369399809024E-4</v>
      </c>
    </row>
    <row r="3735" spans="6:7" x14ac:dyDescent="0.3">
      <c r="F3735" s="124">
        <v>3729</v>
      </c>
      <c r="G3735" s="33">
        <f t="shared" ca="1" si="71"/>
        <v>1.4487261093031036E-2</v>
      </c>
    </row>
    <row r="3736" spans="6:7" x14ac:dyDescent="0.3">
      <c r="F3736" s="124">
        <v>3730</v>
      </c>
      <c r="G3736" s="33">
        <f t="shared" ca="1" si="71"/>
        <v>-2.331700613227068E-3</v>
      </c>
    </row>
    <row r="3737" spans="6:7" x14ac:dyDescent="0.3">
      <c r="F3737" s="124">
        <v>3731</v>
      </c>
      <c r="G3737" s="33">
        <f t="shared" ca="1" si="71"/>
        <v>-8.2356124589318992E-3</v>
      </c>
    </row>
    <row r="3738" spans="6:7" x14ac:dyDescent="0.3">
      <c r="F3738" s="124">
        <v>3732</v>
      </c>
      <c r="G3738" s="33">
        <f t="shared" ca="1" si="71"/>
        <v>5.6346259425393199E-3</v>
      </c>
    </row>
    <row r="3739" spans="6:7" x14ac:dyDescent="0.3">
      <c r="F3739" s="124">
        <v>3733</v>
      </c>
      <c r="G3739" s="33">
        <f t="shared" ca="1" si="71"/>
        <v>-1.2658699507270162E-2</v>
      </c>
    </row>
    <row r="3740" spans="6:7" x14ac:dyDescent="0.3">
      <c r="F3740" s="124">
        <v>3734</v>
      </c>
      <c r="G3740" s="33">
        <f t="shared" ca="1" si="71"/>
        <v>-1.9858735108974807E-2</v>
      </c>
    </row>
    <row r="3741" spans="6:7" x14ac:dyDescent="0.3">
      <c r="F3741" s="124">
        <v>3735</v>
      </c>
      <c r="G3741" s="33">
        <f t="shared" ca="1" si="71"/>
        <v>1.5667541234158401E-2</v>
      </c>
    </row>
    <row r="3742" spans="6:7" x14ac:dyDescent="0.3">
      <c r="F3742" s="124">
        <v>3736</v>
      </c>
      <c r="G3742" s="33">
        <f t="shared" ca="1" si="71"/>
        <v>-1.5653701382743471E-2</v>
      </c>
    </row>
    <row r="3743" spans="6:7" x14ac:dyDescent="0.3">
      <c r="F3743" s="124">
        <v>3737</v>
      </c>
      <c r="G3743" s="33">
        <f t="shared" ca="1" si="71"/>
        <v>1.552018429105044E-2</v>
      </c>
    </row>
    <row r="3744" spans="6:7" x14ac:dyDescent="0.3">
      <c r="F3744" s="124">
        <v>3738</v>
      </c>
      <c r="G3744" s="33">
        <f t="shared" ca="1" si="71"/>
        <v>-2.8780394909103068E-2</v>
      </c>
    </row>
    <row r="3745" spans="6:7" x14ac:dyDescent="0.3">
      <c r="F3745" s="124">
        <v>3739</v>
      </c>
      <c r="G3745" s="33">
        <f t="shared" ca="1" si="71"/>
        <v>-2.5256871604148814E-4</v>
      </c>
    </row>
    <row r="3746" spans="6:7" x14ac:dyDescent="0.3">
      <c r="F3746" s="124">
        <v>3740</v>
      </c>
      <c r="G3746" s="33">
        <f t="shared" ca="1" si="71"/>
        <v>-1.6409492881423932E-2</v>
      </c>
    </row>
    <row r="3747" spans="6:7" x14ac:dyDescent="0.3">
      <c r="F3747" s="124">
        <v>3741</v>
      </c>
      <c r="G3747" s="33">
        <f t="shared" ca="1" si="71"/>
        <v>3.6508043985235328E-2</v>
      </c>
    </row>
    <row r="3748" spans="6:7" x14ac:dyDescent="0.3">
      <c r="F3748" s="124">
        <v>3742</v>
      </c>
      <c r="G3748" s="33">
        <f t="shared" ca="1" si="71"/>
        <v>1.5527442771499804E-2</v>
      </c>
    </row>
    <row r="3749" spans="6:7" x14ac:dyDescent="0.3">
      <c r="F3749" s="124">
        <v>3743</v>
      </c>
      <c r="G3749" s="33">
        <f t="shared" ca="1" si="71"/>
        <v>-2.9573652545405022E-2</v>
      </c>
    </row>
    <row r="3750" spans="6:7" x14ac:dyDescent="0.3">
      <c r="F3750" s="124">
        <v>3744</v>
      </c>
      <c r="G3750" s="33">
        <f t="shared" ca="1" si="71"/>
        <v>6.2612480400195585E-3</v>
      </c>
    </row>
    <row r="3751" spans="6:7" x14ac:dyDescent="0.3">
      <c r="F3751" s="124">
        <v>3745</v>
      </c>
      <c r="G3751" s="33">
        <f t="shared" ca="1" si="71"/>
        <v>-9.8572998838990858E-3</v>
      </c>
    </row>
    <row r="3752" spans="6:7" x14ac:dyDescent="0.3">
      <c r="F3752" s="124">
        <v>3746</v>
      </c>
      <c r="G3752" s="33">
        <f t="shared" ca="1" si="71"/>
        <v>1.3686802425256623E-2</v>
      </c>
    </row>
    <row r="3753" spans="6:7" x14ac:dyDescent="0.3">
      <c r="F3753" s="124">
        <v>3747</v>
      </c>
      <c r="G3753" s="33">
        <f t="shared" ca="1" si="71"/>
        <v>-2.9844583603335275E-2</v>
      </c>
    </row>
    <row r="3754" spans="6:7" x14ac:dyDescent="0.3">
      <c r="F3754" s="124">
        <v>3748</v>
      </c>
      <c r="G3754" s="33">
        <f t="shared" ca="1" si="71"/>
        <v>5.4048852090215087E-2</v>
      </c>
    </row>
    <row r="3755" spans="6:7" x14ac:dyDescent="0.3">
      <c r="F3755" s="124">
        <v>3749</v>
      </c>
      <c r="G3755" s="33">
        <f t="shared" ca="1" si="71"/>
        <v>1.0345817314229233E-2</v>
      </c>
    </row>
    <row r="3756" spans="6:7" x14ac:dyDescent="0.3">
      <c r="F3756" s="124">
        <v>3750</v>
      </c>
      <c r="G3756" s="33">
        <f t="shared" ca="1" si="71"/>
        <v>2.2405742224345743E-2</v>
      </c>
    </row>
    <row r="3757" spans="6:7" x14ac:dyDescent="0.3">
      <c r="F3757" s="124">
        <v>3751</v>
      </c>
      <c r="G3757" s="33">
        <f t="shared" ca="1" si="71"/>
        <v>1.2518963804891373E-2</v>
      </c>
    </row>
    <row r="3758" spans="6:7" x14ac:dyDescent="0.3">
      <c r="F3758" s="124">
        <v>3752</v>
      </c>
      <c r="G3758" s="33">
        <f t="shared" ca="1" si="71"/>
        <v>-3.1721524342616575E-2</v>
      </c>
    </row>
    <row r="3759" spans="6:7" x14ac:dyDescent="0.3">
      <c r="F3759" s="124">
        <v>3753</v>
      </c>
      <c r="G3759" s="33">
        <f t="shared" ca="1" si="71"/>
        <v>-1.4771007132221934E-2</v>
      </c>
    </row>
    <row r="3760" spans="6:7" x14ac:dyDescent="0.3">
      <c r="F3760" s="124">
        <v>3754</v>
      </c>
      <c r="G3760" s="33">
        <f t="shared" ca="1" si="71"/>
        <v>2.3280199024737654E-2</v>
      </c>
    </row>
    <row r="3761" spans="6:7" x14ac:dyDescent="0.3">
      <c r="F3761" s="124">
        <v>3755</v>
      </c>
      <c r="G3761" s="33">
        <f t="shared" ca="1" si="71"/>
        <v>-2.4786260856969118E-2</v>
      </c>
    </row>
    <row r="3762" spans="6:7" x14ac:dyDescent="0.3">
      <c r="F3762" s="124">
        <v>3756</v>
      </c>
      <c r="G3762" s="33">
        <f t="shared" ca="1" si="71"/>
        <v>-1.9159918306095702E-2</v>
      </c>
    </row>
    <row r="3763" spans="6:7" x14ac:dyDescent="0.3">
      <c r="F3763" s="124">
        <v>3757</v>
      </c>
      <c r="G3763" s="33">
        <f t="shared" ca="1" si="71"/>
        <v>-2.0788609392736364E-2</v>
      </c>
    </row>
    <row r="3764" spans="6:7" x14ac:dyDescent="0.3">
      <c r="F3764" s="124">
        <v>3758</v>
      </c>
      <c r="G3764" s="33">
        <f t="shared" ca="1" si="71"/>
        <v>-1.7151472221333997E-2</v>
      </c>
    </row>
    <row r="3765" spans="6:7" x14ac:dyDescent="0.3">
      <c r="F3765" s="124">
        <v>3759</v>
      </c>
      <c r="G3765" s="33">
        <f t="shared" ca="1" si="71"/>
        <v>1.421282630427948E-3</v>
      </c>
    </row>
    <row r="3766" spans="6:7" x14ac:dyDescent="0.3">
      <c r="F3766" s="124">
        <v>3760</v>
      </c>
      <c r="G3766" s="33">
        <f t="shared" ca="1" si="71"/>
        <v>3.2071868266613561E-2</v>
      </c>
    </row>
    <row r="3767" spans="6:7" x14ac:dyDescent="0.3">
      <c r="F3767" s="124">
        <v>3761</v>
      </c>
      <c r="G3767" s="33">
        <f t="shared" ca="1" si="71"/>
        <v>1.8547489688683274E-2</v>
      </c>
    </row>
    <row r="3768" spans="6:7" x14ac:dyDescent="0.3">
      <c r="F3768" s="124">
        <v>3762</v>
      </c>
      <c r="G3768" s="33">
        <f t="shared" ca="1" si="71"/>
        <v>2.5807054849141552E-2</v>
      </c>
    </row>
    <row r="3769" spans="6:7" x14ac:dyDescent="0.3">
      <c r="F3769" s="124">
        <v>3763</v>
      </c>
      <c r="G3769" s="33">
        <f t="shared" ca="1" si="71"/>
        <v>5.1555391108641629E-2</v>
      </c>
    </row>
    <row r="3770" spans="6:7" x14ac:dyDescent="0.3">
      <c r="F3770" s="124">
        <v>3764</v>
      </c>
      <c r="G3770" s="33">
        <f t="shared" ca="1" si="71"/>
        <v>1.2517494731381341E-2</v>
      </c>
    </row>
    <row r="3771" spans="6:7" x14ac:dyDescent="0.3">
      <c r="F3771" s="124">
        <v>3765</v>
      </c>
      <c r="G3771" s="33">
        <f t="shared" ca="1" si="71"/>
        <v>2.6551991843184245E-2</v>
      </c>
    </row>
    <row r="3772" spans="6:7" x14ac:dyDescent="0.3">
      <c r="F3772" s="124">
        <v>3766</v>
      </c>
      <c r="G3772" s="33">
        <f t="shared" ca="1" si="71"/>
        <v>-2.4981077118367851E-2</v>
      </c>
    </row>
    <row r="3773" spans="6:7" x14ac:dyDescent="0.3">
      <c r="F3773" s="124">
        <v>3767</v>
      </c>
      <c r="G3773" s="33">
        <f t="shared" ca="1" si="71"/>
        <v>-1.1486811633209009E-2</v>
      </c>
    </row>
    <row r="3774" spans="6:7" x14ac:dyDescent="0.3">
      <c r="F3774" s="124">
        <v>3768</v>
      </c>
      <c r="G3774" s="33">
        <f t="shared" ca="1" si="71"/>
        <v>-6.1945341040947337E-2</v>
      </c>
    </row>
    <row r="3775" spans="6:7" x14ac:dyDescent="0.3">
      <c r="F3775" s="124">
        <v>3769</v>
      </c>
      <c r="G3775" s="33">
        <f t="shared" ca="1" si="71"/>
        <v>6.3423159734012627E-3</v>
      </c>
    </row>
    <row r="3776" spans="6:7" x14ac:dyDescent="0.3">
      <c r="F3776" s="124">
        <v>3770</v>
      </c>
      <c r="G3776" s="33">
        <f t="shared" ca="1" si="71"/>
        <v>-9.7270399767914011E-3</v>
      </c>
    </row>
    <row r="3777" spans="6:7" x14ac:dyDescent="0.3">
      <c r="F3777" s="124">
        <v>3771</v>
      </c>
      <c r="G3777" s="33">
        <f t="shared" ca="1" si="71"/>
        <v>2.7929993754822049E-2</v>
      </c>
    </row>
    <row r="3778" spans="6:7" x14ac:dyDescent="0.3">
      <c r="F3778" s="124">
        <v>3772</v>
      </c>
      <c r="G3778" s="33">
        <f t="shared" ca="1" si="71"/>
        <v>-1.2530577610993447E-3</v>
      </c>
    </row>
    <row r="3779" spans="6:7" x14ac:dyDescent="0.3">
      <c r="F3779" s="124">
        <v>3773</v>
      </c>
      <c r="G3779" s="33">
        <f t="shared" ca="1" si="71"/>
        <v>-6.4539117843700117E-2</v>
      </c>
    </row>
    <row r="3780" spans="6:7" x14ac:dyDescent="0.3">
      <c r="F3780" s="124">
        <v>3774</v>
      </c>
      <c r="G3780" s="33">
        <f t="shared" ca="1" si="71"/>
        <v>2.6960716589245665E-2</v>
      </c>
    </row>
    <row r="3781" spans="6:7" x14ac:dyDescent="0.3">
      <c r="F3781" s="124">
        <v>3775</v>
      </c>
      <c r="G3781" s="33">
        <f t="shared" ca="1" si="71"/>
        <v>6.2153318877468298E-2</v>
      </c>
    </row>
    <row r="3782" spans="6:7" x14ac:dyDescent="0.3">
      <c r="F3782" s="124">
        <v>3776</v>
      </c>
      <c r="G3782" s="33">
        <f t="shared" ca="1" si="71"/>
        <v>1.6443559093220243E-3</v>
      </c>
    </row>
    <row r="3783" spans="6:7" x14ac:dyDescent="0.3">
      <c r="F3783" s="124">
        <v>3777</v>
      </c>
      <c r="G3783" s="33">
        <f t="shared" ca="1" si="71"/>
        <v>2.7614623980118311E-2</v>
      </c>
    </row>
    <row r="3784" spans="6:7" x14ac:dyDescent="0.3">
      <c r="F3784" s="124">
        <v>3778</v>
      </c>
      <c r="G3784" s="33">
        <f t="shared" ref="G3784:G3847" ca="1" si="72">_xlfn.NORM.INV(RAND(),$M$9,$M$10)</f>
        <v>4.920271864545013E-2</v>
      </c>
    </row>
    <row r="3785" spans="6:7" x14ac:dyDescent="0.3">
      <c r="F3785" s="124">
        <v>3779</v>
      </c>
      <c r="G3785" s="33">
        <f t="shared" ca="1" si="72"/>
        <v>-3.8502058658220623E-3</v>
      </c>
    </row>
    <row r="3786" spans="6:7" x14ac:dyDescent="0.3">
      <c r="F3786" s="124">
        <v>3780</v>
      </c>
      <c r="G3786" s="33">
        <f t="shared" ca="1" si="72"/>
        <v>6.8838164315306455E-2</v>
      </c>
    </row>
    <row r="3787" spans="6:7" x14ac:dyDescent="0.3">
      <c r="F3787" s="124">
        <v>3781</v>
      </c>
      <c r="G3787" s="33">
        <f t="shared" ca="1" si="72"/>
        <v>-9.5870074953359301E-3</v>
      </c>
    </row>
    <row r="3788" spans="6:7" x14ac:dyDescent="0.3">
      <c r="F3788" s="124">
        <v>3782</v>
      </c>
      <c r="G3788" s="33">
        <f t="shared" ca="1" si="72"/>
        <v>1.4347857961127742E-2</v>
      </c>
    </row>
    <row r="3789" spans="6:7" x14ac:dyDescent="0.3">
      <c r="F3789" s="124">
        <v>3783</v>
      </c>
      <c r="G3789" s="33">
        <f t="shared" ca="1" si="72"/>
        <v>2.8753374641660643E-2</v>
      </c>
    </row>
    <row r="3790" spans="6:7" x14ac:dyDescent="0.3">
      <c r="F3790" s="124">
        <v>3784</v>
      </c>
      <c r="G3790" s="33">
        <f t="shared" ca="1" si="72"/>
        <v>-1.3200816696225803E-2</v>
      </c>
    </row>
    <row r="3791" spans="6:7" x14ac:dyDescent="0.3">
      <c r="F3791" s="124">
        <v>3785</v>
      </c>
      <c r="G3791" s="33">
        <f t="shared" ca="1" si="72"/>
        <v>-2.4555076228156412E-2</v>
      </c>
    </row>
    <row r="3792" spans="6:7" x14ac:dyDescent="0.3">
      <c r="F3792" s="124">
        <v>3786</v>
      </c>
      <c r="G3792" s="33">
        <f t="shared" ca="1" si="72"/>
        <v>-3.0463155711980047E-2</v>
      </c>
    </row>
    <row r="3793" spans="6:7" x14ac:dyDescent="0.3">
      <c r="F3793" s="124">
        <v>3787</v>
      </c>
      <c r="G3793" s="33">
        <f t="shared" ca="1" si="72"/>
        <v>5.57562000053494E-3</v>
      </c>
    </row>
    <row r="3794" spans="6:7" x14ac:dyDescent="0.3">
      <c r="F3794" s="124">
        <v>3788</v>
      </c>
      <c r="G3794" s="33">
        <f t="shared" ca="1" si="72"/>
        <v>-9.8556673143077589E-3</v>
      </c>
    </row>
    <row r="3795" spans="6:7" x14ac:dyDescent="0.3">
      <c r="F3795" s="124">
        <v>3789</v>
      </c>
      <c r="G3795" s="33">
        <f t="shared" ca="1" si="72"/>
        <v>-2.8491004956525554E-2</v>
      </c>
    </row>
    <row r="3796" spans="6:7" x14ac:dyDescent="0.3">
      <c r="F3796" s="124">
        <v>3790</v>
      </c>
      <c r="G3796" s="33">
        <f t="shared" ca="1" si="72"/>
        <v>5.8437938874562681E-2</v>
      </c>
    </row>
    <row r="3797" spans="6:7" x14ac:dyDescent="0.3">
      <c r="F3797" s="124">
        <v>3791</v>
      </c>
      <c r="G3797" s="33">
        <f t="shared" ca="1" si="72"/>
        <v>-3.2115109317196414E-3</v>
      </c>
    </row>
    <row r="3798" spans="6:7" x14ac:dyDescent="0.3">
      <c r="F3798" s="124">
        <v>3792</v>
      </c>
      <c r="G3798" s="33">
        <f t="shared" ca="1" si="72"/>
        <v>-6.7340048932272273E-2</v>
      </c>
    </row>
    <row r="3799" spans="6:7" x14ac:dyDescent="0.3">
      <c r="F3799" s="124">
        <v>3793</v>
      </c>
      <c r="G3799" s="33">
        <f t="shared" ca="1" si="72"/>
        <v>-2.668042093645798E-2</v>
      </c>
    </row>
    <row r="3800" spans="6:7" x14ac:dyDescent="0.3">
      <c r="F3800" s="124">
        <v>3794</v>
      </c>
      <c r="G3800" s="33">
        <f t="shared" ca="1" si="72"/>
        <v>3.7778698378156804E-2</v>
      </c>
    </row>
    <row r="3801" spans="6:7" x14ac:dyDescent="0.3">
      <c r="F3801" s="124">
        <v>3795</v>
      </c>
      <c r="G3801" s="33">
        <f t="shared" ca="1" si="72"/>
        <v>3.4599463374549561E-3</v>
      </c>
    </row>
    <row r="3802" spans="6:7" x14ac:dyDescent="0.3">
      <c r="F3802" s="124">
        <v>3796</v>
      </c>
      <c r="G3802" s="33">
        <f t="shared" ca="1" si="72"/>
        <v>3.3862098197858286E-2</v>
      </c>
    </row>
    <row r="3803" spans="6:7" x14ac:dyDescent="0.3">
      <c r="F3803" s="124">
        <v>3797</v>
      </c>
      <c r="G3803" s="33">
        <f t="shared" ca="1" si="72"/>
        <v>-2.0574592615342879E-3</v>
      </c>
    </row>
    <row r="3804" spans="6:7" x14ac:dyDescent="0.3">
      <c r="F3804" s="124">
        <v>3798</v>
      </c>
      <c r="G3804" s="33">
        <f t="shared" ca="1" si="72"/>
        <v>-2.321312549993294E-2</v>
      </c>
    </row>
    <row r="3805" spans="6:7" x14ac:dyDescent="0.3">
      <c r="F3805" s="124">
        <v>3799</v>
      </c>
      <c r="G3805" s="33">
        <f t="shared" ca="1" si="72"/>
        <v>9.6022853037915704E-3</v>
      </c>
    </row>
    <row r="3806" spans="6:7" x14ac:dyDescent="0.3">
      <c r="F3806" s="124">
        <v>3800</v>
      </c>
      <c r="G3806" s="33">
        <f t="shared" ca="1" si="72"/>
        <v>-2.3383258163783546E-2</v>
      </c>
    </row>
    <row r="3807" spans="6:7" x14ac:dyDescent="0.3">
      <c r="F3807" s="124">
        <v>3801</v>
      </c>
      <c r="G3807" s="33">
        <f t="shared" ca="1" si="72"/>
        <v>-1.8549371411278003E-2</v>
      </c>
    </row>
    <row r="3808" spans="6:7" x14ac:dyDescent="0.3">
      <c r="F3808" s="124">
        <v>3802</v>
      </c>
      <c r="G3808" s="33">
        <f t="shared" ca="1" si="72"/>
        <v>-5.5362494679990527E-2</v>
      </c>
    </row>
    <row r="3809" spans="6:7" x14ac:dyDescent="0.3">
      <c r="F3809" s="124">
        <v>3803</v>
      </c>
      <c r="G3809" s="33">
        <f t="shared" ca="1" si="72"/>
        <v>-1.2837396014097922E-2</v>
      </c>
    </row>
    <row r="3810" spans="6:7" x14ac:dyDescent="0.3">
      <c r="F3810" s="124">
        <v>3804</v>
      </c>
      <c r="G3810" s="33">
        <f t="shared" ca="1" si="72"/>
        <v>-2.3433544734981052E-2</v>
      </c>
    </row>
    <row r="3811" spans="6:7" x14ac:dyDescent="0.3">
      <c r="F3811" s="124">
        <v>3805</v>
      </c>
      <c r="G3811" s="33">
        <f t="shared" ca="1" si="72"/>
        <v>3.395002662686375E-2</v>
      </c>
    </row>
    <row r="3812" spans="6:7" x14ac:dyDescent="0.3">
      <c r="F3812" s="124">
        <v>3806</v>
      </c>
      <c r="G3812" s="33">
        <f t="shared" ca="1" si="72"/>
        <v>7.9795572458541426E-3</v>
      </c>
    </row>
    <row r="3813" spans="6:7" x14ac:dyDescent="0.3">
      <c r="F3813" s="124">
        <v>3807</v>
      </c>
      <c r="G3813" s="33">
        <f t="shared" ca="1" si="72"/>
        <v>3.6473054693156863E-2</v>
      </c>
    </row>
    <row r="3814" spans="6:7" x14ac:dyDescent="0.3">
      <c r="F3814" s="124">
        <v>3808</v>
      </c>
      <c r="G3814" s="33">
        <f t="shared" ca="1" si="72"/>
        <v>1.7660868698776245E-2</v>
      </c>
    </row>
    <row r="3815" spans="6:7" x14ac:dyDescent="0.3">
      <c r="F3815" s="124">
        <v>3809</v>
      </c>
      <c r="G3815" s="33">
        <f t="shared" ca="1" si="72"/>
        <v>-1.0643571478974288E-2</v>
      </c>
    </row>
    <row r="3816" spans="6:7" x14ac:dyDescent="0.3">
      <c r="F3816" s="124">
        <v>3810</v>
      </c>
      <c r="G3816" s="33">
        <f t="shared" ca="1" si="72"/>
        <v>7.1843931198367697E-3</v>
      </c>
    </row>
    <row r="3817" spans="6:7" x14ac:dyDescent="0.3">
      <c r="F3817" s="124">
        <v>3811</v>
      </c>
      <c r="G3817" s="33">
        <f t="shared" ca="1" si="72"/>
        <v>7.0843005594389127E-3</v>
      </c>
    </row>
    <row r="3818" spans="6:7" x14ac:dyDescent="0.3">
      <c r="F3818" s="124">
        <v>3812</v>
      </c>
      <c r="G3818" s="33">
        <f t="shared" ca="1" si="72"/>
        <v>-5.8765629701127253E-2</v>
      </c>
    </row>
    <row r="3819" spans="6:7" x14ac:dyDescent="0.3">
      <c r="F3819" s="124">
        <v>3813</v>
      </c>
      <c r="G3819" s="33">
        <f t="shared" ca="1" si="72"/>
        <v>-1.5046341080026473E-2</v>
      </c>
    </row>
    <row r="3820" spans="6:7" x14ac:dyDescent="0.3">
      <c r="F3820" s="124">
        <v>3814</v>
      </c>
      <c r="G3820" s="33">
        <f t="shared" ca="1" si="72"/>
        <v>5.9346958428401618E-2</v>
      </c>
    </row>
    <row r="3821" spans="6:7" x14ac:dyDescent="0.3">
      <c r="F3821" s="124">
        <v>3815</v>
      </c>
      <c r="G3821" s="33">
        <f t="shared" ca="1" si="72"/>
        <v>-7.2796362093974177E-3</v>
      </c>
    </row>
    <row r="3822" spans="6:7" x14ac:dyDescent="0.3">
      <c r="F3822" s="124">
        <v>3816</v>
      </c>
      <c r="G3822" s="33">
        <f t="shared" ca="1" si="72"/>
        <v>3.0302285722243031E-2</v>
      </c>
    </row>
    <row r="3823" spans="6:7" x14ac:dyDescent="0.3">
      <c r="F3823" s="124">
        <v>3817</v>
      </c>
      <c r="G3823" s="33">
        <f t="shared" ca="1" si="72"/>
        <v>-2.6626437867308568E-2</v>
      </c>
    </row>
    <row r="3824" spans="6:7" x14ac:dyDescent="0.3">
      <c r="F3824" s="124">
        <v>3818</v>
      </c>
      <c r="G3824" s="33">
        <f t="shared" ca="1" si="72"/>
        <v>1.1775349831148318E-2</v>
      </c>
    </row>
    <row r="3825" spans="6:7" x14ac:dyDescent="0.3">
      <c r="F3825" s="124">
        <v>3819</v>
      </c>
      <c r="G3825" s="33">
        <f t="shared" ca="1" si="72"/>
        <v>4.9181917503301253E-2</v>
      </c>
    </row>
    <row r="3826" spans="6:7" x14ac:dyDescent="0.3">
      <c r="F3826" s="124">
        <v>3820</v>
      </c>
      <c r="G3826" s="33">
        <f t="shared" ca="1" si="72"/>
        <v>-4.1043664791418147E-2</v>
      </c>
    </row>
    <row r="3827" spans="6:7" x14ac:dyDescent="0.3">
      <c r="F3827" s="124">
        <v>3821</v>
      </c>
      <c r="G3827" s="33">
        <f t="shared" ca="1" si="72"/>
        <v>-2.0312838640419439E-2</v>
      </c>
    </row>
    <row r="3828" spans="6:7" x14ac:dyDescent="0.3">
      <c r="F3828" s="124">
        <v>3822</v>
      </c>
      <c r="G3828" s="33">
        <f t="shared" ca="1" si="72"/>
        <v>1.5767918162111836E-3</v>
      </c>
    </row>
    <row r="3829" spans="6:7" x14ac:dyDescent="0.3">
      <c r="F3829" s="124">
        <v>3823</v>
      </c>
      <c r="G3829" s="33">
        <f t="shared" ca="1" si="72"/>
        <v>4.7997734061425282E-2</v>
      </c>
    </row>
    <row r="3830" spans="6:7" x14ac:dyDescent="0.3">
      <c r="F3830" s="124">
        <v>3824</v>
      </c>
      <c r="G3830" s="33">
        <f t="shared" ca="1" si="72"/>
        <v>-2.4685274087577723E-2</v>
      </c>
    </row>
    <row r="3831" spans="6:7" x14ac:dyDescent="0.3">
      <c r="F3831" s="124">
        <v>3825</v>
      </c>
      <c r="G3831" s="33">
        <f t="shared" ca="1" si="72"/>
        <v>-1.5602738897517763E-2</v>
      </c>
    </row>
    <row r="3832" spans="6:7" x14ac:dyDescent="0.3">
      <c r="F3832" s="124">
        <v>3826</v>
      </c>
      <c r="G3832" s="33">
        <f t="shared" ca="1" si="72"/>
        <v>-9.3116090925654676E-3</v>
      </c>
    </row>
    <row r="3833" spans="6:7" x14ac:dyDescent="0.3">
      <c r="F3833" s="124">
        <v>3827</v>
      </c>
      <c r="G3833" s="33">
        <f t="shared" ca="1" si="72"/>
        <v>3.395800536672422E-2</v>
      </c>
    </row>
    <row r="3834" spans="6:7" x14ac:dyDescent="0.3">
      <c r="F3834" s="124">
        <v>3828</v>
      </c>
      <c r="G3834" s="33">
        <f t="shared" ca="1" si="72"/>
        <v>-1.3528593451194025E-2</v>
      </c>
    </row>
    <row r="3835" spans="6:7" x14ac:dyDescent="0.3">
      <c r="F3835" s="124">
        <v>3829</v>
      </c>
      <c r="G3835" s="33">
        <f t="shared" ca="1" si="72"/>
        <v>4.7105013989793686E-2</v>
      </c>
    </row>
    <row r="3836" spans="6:7" x14ac:dyDescent="0.3">
      <c r="F3836" s="124">
        <v>3830</v>
      </c>
      <c r="G3836" s="33">
        <f t="shared" ca="1" si="72"/>
        <v>-2.1843413848623136E-2</v>
      </c>
    </row>
    <row r="3837" spans="6:7" x14ac:dyDescent="0.3">
      <c r="F3837" s="124">
        <v>3831</v>
      </c>
      <c r="G3837" s="33">
        <f t="shared" ca="1" si="72"/>
        <v>3.764731243426702E-2</v>
      </c>
    </row>
    <row r="3838" spans="6:7" x14ac:dyDescent="0.3">
      <c r="F3838" s="124">
        <v>3832</v>
      </c>
      <c r="G3838" s="33">
        <f t="shared" ca="1" si="72"/>
        <v>1.4087939640182377E-2</v>
      </c>
    </row>
    <row r="3839" spans="6:7" x14ac:dyDescent="0.3">
      <c r="F3839" s="124">
        <v>3833</v>
      </c>
      <c r="G3839" s="33">
        <f t="shared" ca="1" si="72"/>
        <v>-3.4156303026945341E-2</v>
      </c>
    </row>
    <row r="3840" spans="6:7" x14ac:dyDescent="0.3">
      <c r="F3840" s="124">
        <v>3834</v>
      </c>
      <c r="G3840" s="33">
        <f t="shared" ca="1" si="72"/>
        <v>4.5811174593960911E-2</v>
      </c>
    </row>
    <row r="3841" spans="6:7" x14ac:dyDescent="0.3">
      <c r="F3841" s="124">
        <v>3835</v>
      </c>
      <c r="G3841" s="33">
        <f t="shared" ca="1" si="72"/>
        <v>-3.088997435389915E-2</v>
      </c>
    </row>
    <row r="3842" spans="6:7" x14ac:dyDescent="0.3">
      <c r="F3842" s="124">
        <v>3836</v>
      </c>
      <c r="G3842" s="33">
        <f t="shared" ca="1" si="72"/>
        <v>-5.8307093403744429E-3</v>
      </c>
    </row>
    <row r="3843" spans="6:7" x14ac:dyDescent="0.3">
      <c r="F3843" s="124">
        <v>3837</v>
      </c>
      <c r="G3843" s="33">
        <f t="shared" ca="1" si="72"/>
        <v>2.9076732301170374E-2</v>
      </c>
    </row>
    <row r="3844" spans="6:7" x14ac:dyDescent="0.3">
      <c r="F3844" s="124">
        <v>3838</v>
      </c>
      <c r="G3844" s="33">
        <f t="shared" ca="1" si="72"/>
        <v>1.3107984400330071E-2</v>
      </c>
    </row>
    <row r="3845" spans="6:7" x14ac:dyDescent="0.3">
      <c r="F3845" s="124">
        <v>3839</v>
      </c>
      <c r="G3845" s="33">
        <f t="shared" ca="1" si="72"/>
        <v>-8.1898882663104314E-3</v>
      </c>
    </row>
    <row r="3846" spans="6:7" x14ac:dyDescent="0.3">
      <c r="F3846" s="124">
        <v>3840</v>
      </c>
      <c r="G3846" s="33">
        <f t="shared" ca="1" si="72"/>
        <v>-1.238682400624461E-2</v>
      </c>
    </row>
    <row r="3847" spans="6:7" x14ac:dyDescent="0.3">
      <c r="F3847" s="124">
        <v>3841</v>
      </c>
      <c r="G3847" s="33">
        <f t="shared" ca="1" si="72"/>
        <v>-2.4891476907107236E-2</v>
      </c>
    </row>
    <row r="3848" spans="6:7" x14ac:dyDescent="0.3">
      <c r="F3848" s="124">
        <v>3842</v>
      </c>
      <c r="G3848" s="33">
        <f t="shared" ref="G3848:G3911" ca="1" si="73">_xlfn.NORM.INV(RAND(),$M$9,$M$10)</f>
        <v>-3.2470401148919442E-2</v>
      </c>
    </row>
    <row r="3849" spans="6:7" x14ac:dyDescent="0.3">
      <c r="F3849" s="124">
        <v>3843</v>
      </c>
      <c r="G3849" s="33">
        <f t="shared" ca="1" si="73"/>
        <v>-3.4373641850775211E-3</v>
      </c>
    </row>
    <row r="3850" spans="6:7" x14ac:dyDescent="0.3">
      <c r="F3850" s="124">
        <v>3844</v>
      </c>
      <c r="G3850" s="33">
        <f t="shared" ca="1" si="73"/>
        <v>-4.5733605506557445E-2</v>
      </c>
    </row>
    <row r="3851" spans="6:7" x14ac:dyDescent="0.3">
      <c r="F3851" s="124">
        <v>3845</v>
      </c>
      <c r="G3851" s="33">
        <f t="shared" ca="1" si="73"/>
        <v>-2.8568369434123695E-2</v>
      </c>
    </row>
    <row r="3852" spans="6:7" x14ac:dyDescent="0.3">
      <c r="F3852" s="124">
        <v>3846</v>
      </c>
      <c r="G3852" s="33">
        <f t="shared" ca="1" si="73"/>
        <v>-7.8835753782421046E-3</v>
      </c>
    </row>
    <row r="3853" spans="6:7" x14ac:dyDescent="0.3">
      <c r="F3853" s="124">
        <v>3847</v>
      </c>
      <c r="G3853" s="33">
        <f t="shared" ca="1" si="73"/>
        <v>-8.588392445117058E-3</v>
      </c>
    </row>
    <row r="3854" spans="6:7" x14ac:dyDescent="0.3">
      <c r="F3854" s="124">
        <v>3848</v>
      </c>
      <c r="G3854" s="33">
        <f t="shared" ca="1" si="73"/>
        <v>-2.3352027136280821E-2</v>
      </c>
    </row>
    <row r="3855" spans="6:7" x14ac:dyDescent="0.3">
      <c r="F3855" s="124">
        <v>3849</v>
      </c>
      <c r="G3855" s="33">
        <f t="shared" ca="1" si="73"/>
        <v>-6.1519902326558164E-2</v>
      </c>
    </row>
    <row r="3856" spans="6:7" x14ac:dyDescent="0.3">
      <c r="F3856" s="124">
        <v>3850</v>
      </c>
      <c r="G3856" s="33">
        <f t="shared" ca="1" si="73"/>
        <v>1.3061497039198195E-3</v>
      </c>
    </row>
    <row r="3857" spans="6:7" x14ac:dyDescent="0.3">
      <c r="F3857" s="124">
        <v>3851</v>
      </c>
      <c r="G3857" s="33">
        <f t="shared" ca="1" si="73"/>
        <v>1.1337218059566414E-2</v>
      </c>
    </row>
    <row r="3858" spans="6:7" x14ac:dyDescent="0.3">
      <c r="F3858" s="124">
        <v>3852</v>
      </c>
      <c r="G3858" s="33">
        <f t="shared" ca="1" si="73"/>
        <v>-9.8882167340998695E-3</v>
      </c>
    </row>
    <row r="3859" spans="6:7" x14ac:dyDescent="0.3">
      <c r="F3859" s="124">
        <v>3853</v>
      </c>
      <c r="G3859" s="33">
        <f t="shared" ca="1" si="73"/>
        <v>-2.5790196225030339E-2</v>
      </c>
    </row>
    <row r="3860" spans="6:7" x14ac:dyDescent="0.3">
      <c r="F3860" s="124">
        <v>3854</v>
      </c>
      <c r="G3860" s="33">
        <f t="shared" ca="1" si="73"/>
        <v>-5.0851022024315386E-2</v>
      </c>
    </row>
    <row r="3861" spans="6:7" x14ac:dyDescent="0.3">
      <c r="F3861" s="124">
        <v>3855</v>
      </c>
      <c r="G3861" s="33">
        <f t="shared" ca="1" si="73"/>
        <v>1.4810692723843173E-2</v>
      </c>
    </row>
    <row r="3862" spans="6:7" x14ac:dyDescent="0.3">
      <c r="F3862" s="124">
        <v>3856</v>
      </c>
      <c r="G3862" s="33">
        <f t="shared" ca="1" si="73"/>
        <v>-7.6882574530707124E-3</v>
      </c>
    </row>
    <row r="3863" spans="6:7" x14ac:dyDescent="0.3">
      <c r="F3863" s="124">
        <v>3857</v>
      </c>
      <c r="G3863" s="33">
        <f t="shared" ca="1" si="73"/>
        <v>4.7965681594497683E-2</v>
      </c>
    </row>
    <row r="3864" spans="6:7" x14ac:dyDescent="0.3">
      <c r="F3864" s="124">
        <v>3858</v>
      </c>
      <c r="G3864" s="33">
        <f t="shared" ca="1" si="73"/>
        <v>-4.2577666146060497E-3</v>
      </c>
    </row>
    <row r="3865" spans="6:7" x14ac:dyDescent="0.3">
      <c r="F3865" s="124">
        <v>3859</v>
      </c>
      <c r="G3865" s="33">
        <f t="shared" ca="1" si="73"/>
        <v>-7.5482183312683181E-3</v>
      </c>
    </row>
    <row r="3866" spans="6:7" x14ac:dyDescent="0.3">
      <c r="F3866" s="124">
        <v>3860</v>
      </c>
      <c r="G3866" s="33">
        <f t="shared" ca="1" si="73"/>
        <v>2.1576021901131195E-2</v>
      </c>
    </row>
    <row r="3867" spans="6:7" x14ac:dyDescent="0.3">
      <c r="F3867" s="124">
        <v>3861</v>
      </c>
      <c r="G3867" s="33">
        <f t="shared" ca="1" si="73"/>
        <v>-1.0495950637689423E-2</v>
      </c>
    </row>
    <row r="3868" spans="6:7" x14ac:dyDescent="0.3">
      <c r="F3868" s="124">
        <v>3862</v>
      </c>
      <c r="G3868" s="33">
        <f t="shared" ca="1" si="73"/>
        <v>2.7574995828783401E-2</v>
      </c>
    </row>
    <row r="3869" spans="6:7" x14ac:dyDescent="0.3">
      <c r="F3869" s="124">
        <v>3863</v>
      </c>
      <c r="G3869" s="33">
        <f t="shared" ca="1" si="73"/>
        <v>-3.4449657553993256E-2</v>
      </c>
    </row>
    <row r="3870" spans="6:7" x14ac:dyDescent="0.3">
      <c r="F3870" s="124">
        <v>3864</v>
      </c>
      <c r="G3870" s="33">
        <f t="shared" ca="1" si="73"/>
        <v>-1.2523383540585659E-2</v>
      </c>
    </row>
    <row r="3871" spans="6:7" x14ac:dyDescent="0.3">
      <c r="F3871" s="124">
        <v>3865</v>
      </c>
      <c r="G3871" s="33">
        <f t="shared" ca="1" si="73"/>
        <v>9.1683028381821816E-4</v>
      </c>
    </row>
    <row r="3872" spans="6:7" x14ac:dyDescent="0.3">
      <c r="F3872" s="124">
        <v>3866</v>
      </c>
      <c r="G3872" s="33">
        <f t="shared" ca="1" si="73"/>
        <v>-3.6089368128511866E-3</v>
      </c>
    </row>
    <row r="3873" spans="6:7" x14ac:dyDescent="0.3">
      <c r="F3873" s="124">
        <v>3867</v>
      </c>
      <c r="G3873" s="33">
        <f t="shared" ca="1" si="73"/>
        <v>1.5313938957497521E-2</v>
      </c>
    </row>
    <row r="3874" spans="6:7" x14ac:dyDescent="0.3">
      <c r="F3874" s="124">
        <v>3868</v>
      </c>
      <c r="G3874" s="33">
        <f t="shared" ca="1" si="73"/>
        <v>3.624694516754666E-2</v>
      </c>
    </row>
    <row r="3875" spans="6:7" x14ac:dyDescent="0.3">
      <c r="F3875" s="124">
        <v>3869</v>
      </c>
      <c r="G3875" s="33">
        <f t="shared" ca="1" si="73"/>
        <v>-1.8759912225144101E-2</v>
      </c>
    </row>
    <row r="3876" spans="6:7" x14ac:dyDescent="0.3">
      <c r="F3876" s="124">
        <v>3870</v>
      </c>
      <c r="G3876" s="33">
        <f t="shared" ca="1" si="73"/>
        <v>3.3731472943433712E-2</v>
      </c>
    </row>
    <row r="3877" spans="6:7" x14ac:dyDescent="0.3">
      <c r="F3877" s="124">
        <v>3871</v>
      </c>
      <c r="G3877" s="33">
        <f t="shared" ca="1" si="73"/>
        <v>3.1040029549763724E-2</v>
      </c>
    </row>
    <row r="3878" spans="6:7" x14ac:dyDescent="0.3">
      <c r="F3878" s="124">
        <v>3872</v>
      </c>
      <c r="G3878" s="33">
        <f t="shared" ca="1" si="73"/>
        <v>-2.0421421603352034E-2</v>
      </c>
    </row>
    <row r="3879" spans="6:7" x14ac:dyDescent="0.3">
      <c r="F3879" s="124">
        <v>3873</v>
      </c>
      <c r="G3879" s="33">
        <f t="shared" ca="1" si="73"/>
        <v>2.7687016900510411E-2</v>
      </c>
    </row>
    <row r="3880" spans="6:7" x14ac:dyDescent="0.3">
      <c r="F3880" s="124">
        <v>3874</v>
      </c>
      <c r="G3880" s="33">
        <f t="shared" ca="1" si="73"/>
        <v>5.2827398207782192E-2</v>
      </c>
    </row>
    <row r="3881" spans="6:7" x14ac:dyDescent="0.3">
      <c r="F3881" s="124">
        <v>3875</v>
      </c>
      <c r="G3881" s="33">
        <f t="shared" ca="1" si="73"/>
        <v>2.0773967504317391E-2</v>
      </c>
    </row>
    <row r="3882" spans="6:7" x14ac:dyDescent="0.3">
      <c r="F3882" s="124">
        <v>3876</v>
      </c>
      <c r="G3882" s="33">
        <f t="shared" ca="1" si="73"/>
        <v>4.3878967057725156E-2</v>
      </c>
    </row>
    <row r="3883" spans="6:7" x14ac:dyDescent="0.3">
      <c r="F3883" s="124">
        <v>3877</v>
      </c>
      <c r="G3883" s="33">
        <f t="shared" ca="1" si="73"/>
        <v>5.0152937655993511E-2</v>
      </c>
    </row>
    <row r="3884" spans="6:7" x14ac:dyDescent="0.3">
      <c r="F3884" s="124">
        <v>3878</v>
      </c>
      <c r="G3884" s="33">
        <f t="shared" ca="1" si="73"/>
        <v>-4.1307287807042382E-2</v>
      </c>
    </row>
    <row r="3885" spans="6:7" x14ac:dyDescent="0.3">
      <c r="F3885" s="124">
        <v>3879</v>
      </c>
      <c r="G3885" s="33">
        <f t="shared" ca="1" si="73"/>
        <v>-2.9108014461808975E-2</v>
      </c>
    </row>
    <row r="3886" spans="6:7" x14ac:dyDescent="0.3">
      <c r="F3886" s="124">
        <v>3880</v>
      </c>
      <c r="G3886" s="33">
        <f t="shared" ca="1" si="73"/>
        <v>3.9284026739262595E-2</v>
      </c>
    </row>
    <row r="3887" spans="6:7" x14ac:dyDescent="0.3">
      <c r="F3887" s="124">
        <v>3881</v>
      </c>
      <c r="G3887" s="33">
        <f t="shared" ca="1" si="73"/>
        <v>4.4127420162319818E-2</v>
      </c>
    </row>
    <row r="3888" spans="6:7" x14ac:dyDescent="0.3">
      <c r="F3888" s="124">
        <v>3882</v>
      </c>
      <c r="G3888" s="33">
        <f t="shared" ca="1" si="73"/>
        <v>2.9515984288010402E-2</v>
      </c>
    </row>
    <row r="3889" spans="6:7" x14ac:dyDescent="0.3">
      <c r="F3889" s="124">
        <v>3883</v>
      </c>
      <c r="G3889" s="33">
        <f t="shared" ca="1" si="73"/>
        <v>-2.7476826562162663E-2</v>
      </c>
    </row>
    <row r="3890" spans="6:7" x14ac:dyDescent="0.3">
      <c r="F3890" s="124">
        <v>3884</v>
      </c>
      <c r="G3890" s="33">
        <f t="shared" ca="1" si="73"/>
        <v>1.3313178259042435E-2</v>
      </c>
    </row>
    <row r="3891" spans="6:7" x14ac:dyDescent="0.3">
      <c r="F3891" s="124">
        <v>3885</v>
      </c>
      <c r="G3891" s="33">
        <f t="shared" ca="1" si="73"/>
        <v>-2.5642066158218631E-2</v>
      </c>
    </row>
    <row r="3892" spans="6:7" x14ac:dyDescent="0.3">
      <c r="F3892" s="124">
        <v>3886</v>
      </c>
      <c r="G3892" s="33">
        <f t="shared" ca="1" si="73"/>
        <v>1.1448774901944396E-2</v>
      </c>
    </row>
    <row r="3893" spans="6:7" x14ac:dyDescent="0.3">
      <c r="F3893" s="124">
        <v>3887</v>
      </c>
      <c r="G3893" s="33">
        <f t="shared" ca="1" si="73"/>
        <v>-4.6207746144223041E-3</v>
      </c>
    </row>
    <row r="3894" spans="6:7" x14ac:dyDescent="0.3">
      <c r="F3894" s="124">
        <v>3888</v>
      </c>
      <c r="G3894" s="33">
        <f t="shared" ca="1" si="73"/>
        <v>8.0199120040391949E-3</v>
      </c>
    </row>
    <row r="3895" spans="6:7" x14ac:dyDescent="0.3">
      <c r="F3895" s="124">
        <v>3889</v>
      </c>
      <c r="G3895" s="33">
        <f t="shared" ca="1" si="73"/>
        <v>-5.2845350594370261E-2</v>
      </c>
    </row>
    <row r="3896" spans="6:7" x14ac:dyDescent="0.3">
      <c r="F3896" s="124">
        <v>3890</v>
      </c>
      <c r="G3896" s="33">
        <f t="shared" ca="1" si="73"/>
        <v>2.8753831323199096E-2</v>
      </c>
    </row>
    <row r="3897" spans="6:7" x14ac:dyDescent="0.3">
      <c r="F3897" s="124">
        <v>3891</v>
      </c>
      <c r="G3897" s="33">
        <f t="shared" ca="1" si="73"/>
        <v>-1.5955412043339751E-2</v>
      </c>
    </row>
    <row r="3898" spans="6:7" x14ac:dyDescent="0.3">
      <c r="F3898" s="124">
        <v>3892</v>
      </c>
      <c r="G3898" s="33">
        <f t="shared" ca="1" si="73"/>
        <v>4.2057805538152894E-2</v>
      </c>
    </row>
    <row r="3899" spans="6:7" x14ac:dyDescent="0.3">
      <c r="F3899" s="124">
        <v>3893</v>
      </c>
      <c r="G3899" s="33">
        <f t="shared" ca="1" si="73"/>
        <v>-3.6496247404136387E-2</v>
      </c>
    </row>
    <row r="3900" spans="6:7" x14ac:dyDescent="0.3">
      <c r="F3900" s="124">
        <v>3894</v>
      </c>
      <c r="G3900" s="33">
        <f t="shared" ca="1" si="73"/>
        <v>-1.2533714950883367E-3</v>
      </c>
    </row>
    <row r="3901" spans="6:7" x14ac:dyDescent="0.3">
      <c r="F3901" s="124">
        <v>3895</v>
      </c>
      <c r="G3901" s="33">
        <f t="shared" ca="1" si="73"/>
        <v>-2.359607708379792E-2</v>
      </c>
    </row>
    <row r="3902" spans="6:7" x14ac:dyDescent="0.3">
      <c r="F3902" s="124">
        <v>3896</v>
      </c>
      <c r="G3902" s="33">
        <f t="shared" ca="1" si="73"/>
        <v>1.7493315125752863E-3</v>
      </c>
    </row>
    <row r="3903" spans="6:7" x14ac:dyDescent="0.3">
      <c r="F3903" s="124">
        <v>3897</v>
      </c>
      <c r="G3903" s="33">
        <f t="shared" ca="1" si="73"/>
        <v>3.2319562023672754E-2</v>
      </c>
    </row>
    <row r="3904" spans="6:7" x14ac:dyDescent="0.3">
      <c r="F3904" s="124">
        <v>3898</v>
      </c>
      <c r="G3904" s="33">
        <f t="shared" ca="1" si="73"/>
        <v>-4.2179555263245565E-2</v>
      </c>
    </row>
    <row r="3905" spans="6:7" x14ac:dyDescent="0.3">
      <c r="F3905" s="124">
        <v>3899</v>
      </c>
      <c r="G3905" s="33">
        <f t="shared" ca="1" si="73"/>
        <v>3.4111088288970555E-3</v>
      </c>
    </row>
    <row r="3906" spans="6:7" x14ac:dyDescent="0.3">
      <c r="F3906" s="124">
        <v>3900</v>
      </c>
      <c r="G3906" s="33">
        <f t="shared" ca="1" si="73"/>
        <v>9.5725486673431306E-3</v>
      </c>
    </row>
    <row r="3907" spans="6:7" x14ac:dyDescent="0.3">
      <c r="F3907" s="124">
        <v>3901</v>
      </c>
      <c r="G3907" s="33">
        <f t="shared" ca="1" si="73"/>
        <v>-6.7904347325388583E-3</v>
      </c>
    </row>
    <row r="3908" spans="6:7" x14ac:dyDescent="0.3">
      <c r="F3908" s="124">
        <v>3902</v>
      </c>
      <c r="G3908" s="33">
        <f t="shared" ca="1" si="73"/>
        <v>2.1260653997084007E-2</v>
      </c>
    </row>
    <row r="3909" spans="6:7" x14ac:dyDescent="0.3">
      <c r="F3909" s="124">
        <v>3903</v>
      </c>
      <c r="G3909" s="33">
        <f t="shared" ca="1" si="73"/>
        <v>-3.4148458751739524E-2</v>
      </c>
    </row>
    <row r="3910" spans="6:7" x14ac:dyDescent="0.3">
      <c r="F3910" s="124">
        <v>3904</v>
      </c>
      <c r="G3910" s="33">
        <f t="shared" ca="1" si="73"/>
        <v>-2.0129490144320503E-2</v>
      </c>
    </row>
    <row r="3911" spans="6:7" x14ac:dyDescent="0.3">
      <c r="F3911" s="124">
        <v>3905</v>
      </c>
      <c r="G3911" s="33">
        <f t="shared" ca="1" si="73"/>
        <v>1.8761347431792773E-2</v>
      </c>
    </row>
    <row r="3912" spans="6:7" x14ac:dyDescent="0.3">
      <c r="F3912" s="124">
        <v>3906</v>
      </c>
      <c r="G3912" s="33">
        <f t="shared" ref="G3912:G3975" ca="1" si="74">_xlfn.NORM.INV(RAND(),$M$9,$M$10)</f>
        <v>-2.7641201280314592E-2</v>
      </c>
    </row>
    <row r="3913" spans="6:7" x14ac:dyDescent="0.3">
      <c r="F3913" s="124">
        <v>3907</v>
      </c>
      <c r="G3913" s="33">
        <f t="shared" ca="1" si="74"/>
        <v>2.631874773219401E-2</v>
      </c>
    </row>
    <row r="3914" spans="6:7" x14ac:dyDescent="0.3">
      <c r="F3914" s="124">
        <v>3908</v>
      </c>
      <c r="G3914" s="33">
        <f t="shared" ca="1" si="74"/>
        <v>3.3068538052175613E-2</v>
      </c>
    </row>
    <row r="3915" spans="6:7" x14ac:dyDescent="0.3">
      <c r="F3915" s="124">
        <v>3909</v>
      </c>
      <c r="G3915" s="33">
        <f t="shared" ca="1" si="74"/>
        <v>8.8411039672437724E-3</v>
      </c>
    </row>
    <row r="3916" spans="6:7" x14ac:dyDescent="0.3">
      <c r="F3916" s="124">
        <v>3910</v>
      </c>
      <c r="G3916" s="33">
        <f t="shared" ca="1" si="74"/>
        <v>-3.5222493267149666E-3</v>
      </c>
    </row>
    <row r="3917" spans="6:7" x14ac:dyDescent="0.3">
      <c r="F3917" s="124">
        <v>3911</v>
      </c>
      <c r="G3917" s="33">
        <f t="shared" ca="1" si="74"/>
        <v>-7.0572957386008772E-2</v>
      </c>
    </row>
    <row r="3918" spans="6:7" x14ac:dyDescent="0.3">
      <c r="F3918" s="124">
        <v>3912</v>
      </c>
      <c r="G3918" s="33">
        <f t="shared" ca="1" si="74"/>
        <v>-2.2679627688797745E-2</v>
      </c>
    </row>
    <row r="3919" spans="6:7" x14ac:dyDescent="0.3">
      <c r="F3919" s="124">
        <v>3913</v>
      </c>
      <c r="G3919" s="33">
        <f t="shared" ca="1" si="74"/>
        <v>-3.0358934300440645E-2</v>
      </c>
    </row>
    <row r="3920" spans="6:7" x14ac:dyDescent="0.3">
      <c r="F3920" s="124">
        <v>3914</v>
      </c>
      <c r="G3920" s="33">
        <f t="shared" ca="1" si="74"/>
        <v>2.0788115482347031E-3</v>
      </c>
    </row>
    <row r="3921" spans="6:7" x14ac:dyDescent="0.3">
      <c r="F3921" s="124">
        <v>3915</v>
      </c>
      <c r="G3921" s="33">
        <f t="shared" ca="1" si="74"/>
        <v>5.2584709957668882E-2</v>
      </c>
    </row>
    <row r="3922" spans="6:7" x14ac:dyDescent="0.3">
      <c r="F3922" s="124">
        <v>3916</v>
      </c>
      <c r="G3922" s="33">
        <f t="shared" ca="1" si="74"/>
        <v>9.8274801480210082E-3</v>
      </c>
    </row>
    <row r="3923" spans="6:7" x14ac:dyDescent="0.3">
      <c r="F3923" s="124">
        <v>3917</v>
      </c>
      <c r="G3923" s="33">
        <f t="shared" ca="1" si="74"/>
        <v>2.5213084981571064E-2</v>
      </c>
    </row>
    <row r="3924" spans="6:7" x14ac:dyDescent="0.3">
      <c r="F3924" s="124">
        <v>3918</v>
      </c>
      <c r="G3924" s="33">
        <f t="shared" ca="1" si="74"/>
        <v>1.4765573135615353E-2</v>
      </c>
    </row>
    <row r="3925" spans="6:7" x14ac:dyDescent="0.3">
      <c r="F3925" s="124">
        <v>3919</v>
      </c>
      <c r="G3925" s="33">
        <f t="shared" ca="1" si="74"/>
        <v>-6.3152305294153386E-3</v>
      </c>
    </row>
    <row r="3926" spans="6:7" x14ac:dyDescent="0.3">
      <c r="F3926" s="124">
        <v>3920</v>
      </c>
      <c r="G3926" s="33">
        <f t="shared" ca="1" si="74"/>
        <v>-2.5694525504630673E-2</v>
      </c>
    </row>
    <row r="3927" spans="6:7" x14ac:dyDescent="0.3">
      <c r="F3927" s="124">
        <v>3921</v>
      </c>
      <c r="G3927" s="33">
        <f t="shared" ca="1" si="74"/>
        <v>8.6996359264806156E-4</v>
      </c>
    </row>
    <row r="3928" spans="6:7" x14ac:dyDescent="0.3">
      <c r="F3928" s="124">
        <v>3922</v>
      </c>
      <c r="G3928" s="33">
        <f t="shared" ca="1" si="74"/>
        <v>-3.5348841552467411E-2</v>
      </c>
    </row>
    <row r="3929" spans="6:7" x14ac:dyDescent="0.3">
      <c r="F3929" s="124">
        <v>3923</v>
      </c>
      <c r="G3929" s="33">
        <f t="shared" ca="1" si="74"/>
        <v>-5.9669267467173243E-3</v>
      </c>
    </row>
    <row r="3930" spans="6:7" x14ac:dyDescent="0.3">
      <c r="F3930" s="124">
        <v>3924</v>
      </c>
      <c r="G3930" s="33">
        <f t="shared" ca="1" si="74"/>
        <v>3.0547049928002341E-2</v>
      </c>
    </row>
    <row r="3931" spans="6:7" x14ac:dyDescent="0.3">
      <c r="F3931" s="124">
        <v>3925</v>
      </c>
      <c r="G3931" s="33">
        <f t="shared" ca="1" si="74"/>
        <v>-3.6672823941825049E-2</v>
      </c>
    </row>
    <row r="3932" spans="6:7" x14ac:dyDescent="0.3">
      <c r="F3932" s="124">
        <v>3926</v>
      </c>
      <c r="G3932" s="33">
        <f t="shared" ca="1" si="74"/>
        <v>-2.3816879628597815E-2</v>
      </c>
    </row>
    <row r="3933" spans="6:7" x14ac:dyDescent="0.3">
      <c r="F3933" s="124">
        <v>3927</v>
      </c>
      <c r="G3933" s="33">
        <f t="shared" ca="1" si="74"/>
        <v>-1.3162489723702195E-2</v>
      </c>
    </row>
    <row r="3934" spans="6:7" x14ac:dyDescent="0.3">
      <c r="F3934" s="124">
        <v>3928</v>
      </c>
      <c r="G3934" s="33">
        <f t="shared" ca="1" si="74"/>
        <v>-1.8320746595189955E-2</v>
      </c>
    </row>
    <row r="3935" spans="6:7" x14ac:dyDescent="0.3">
      <c r="F3935" s="124">
        <v>3929</v>
      </c>
      <c r="G3935" s="33">
        <f t="shared" ca="1" si="74"/>
        <v>1.9876635764098233E-2</v>
      </c>
    </row>
    <row r="3936" spans="6:7" x14ac:dyDescent="0.3">
      <c r="F3936" s="124">
        <v>3930</v>
      </c>
      <c r="G3936" s="33">
        <f t="shared" ca="1" si="74"/>
        <v>-9.7905299732915334E-3</v>
      </c>
    </row>
    <row r="3937" spans="6:7" x14ac:dyDescent="0.3">
      <c r="F3937" s="124">
        <v>3931</v>
      </c>
      <c r="G3937" s="33">
        <f t="shared" ca="1" si="74"/>
        <v>3.5122021358096667E-2</v>
      </c>
    </row>
    <row r="3938" spans="6:7" x14ac:dyDescent="0.3">
      <c r="F3938" s="124">
        <v>3932</v>
      </c>
      <c r="G3938" s="33">
        <f t="shared" ca="1" si="74"/>
        <v>-5.7949502382939732E-3</v>
      </c>
    </row>
    <row r="3939" spans="6:7" x14ac:dyDescent="0.3">
      <c r="F3939" s="124">
        <v>3933</v>
      </c>
      <c r="G3939" s="33">
        <f t="shared" ca="1" si="74"/>
        <v>2.2733436170658278E-2</v>
      </c>
    </row>
    <row r="3940" spans="6:7" x14ac:dyDescent="0.3">
      <c r="F3940" s="124">
        <v>3934</v>
      </c>
      <c r="G3940" s="33">
        <f t="shared" ca="1" si="74"/>
        <v>-3.2984188546711611E-2</v>
      </c>
    </row>
    <row r="3941" spans="6:7" x14ac:dyDescent="0.3">
      <c r="F3941" s="124">
        <v>3935</v>
      </c>
      <c r="G3941" s="33">
        <f t="shared" ca="1" si="74"/>
        <v>3.0365599906698772E-3</v>
      </c>
    </row>
    <row r="3942" spans="6:7" x14ac:dyDescent="0.3">
      <c r="F3942" s="124">
        <v>3936</v>
      </c>
      <c r="G3942" s="33">
        <f t="shared" ca="1" si="74"/>
        <v>3.034561856292757E-3</v>
      </c>
    </row>
    <row r="3943" spans="6:7" x14ac:dyDescent="0.3">
      <c r="F3943" s="124">
        <v>3937</v>
      </c>
      <c r="G3943" s="33">
        <f t="shared" ca="1" si="74"/>
        <v>3.2487758211245728E-2</v>
      </c>
    </row>
    <row r="3944" spans="6:7" x14ac:dyDescent="0.3">
      <c r="F3944" s="124">
        <v>3938</v>
      </c>
      <c r="G3944" s="33">
        <f t="shared" ca="1" si="74"/>
        <v>-3.4733460180423253E-2</v>
      </c>
    </row>
    <row r="3945" spans="6:7" x14ac:dyDescent="0.3">
      <c r="F3945" s="124">
        <v>3939</v>
      </c>
      <c r="G3945" s="33">
        <f t="shared" ca="1" si="74"/>
        <v>-1.6954857131765328E-2</v>
      </c>
    </row>
    <row r="3946" spans="6:7" x14ac:dyDescent="0.3">
      <c r="F3946" s="124">
        <v>3940</v>
      </c>
      <c r="G3946" s="33">
        <f t="shared" ca="1" si="74"/>
        <v>-6.9371535199014109E-2</v>
      </c>
    </row>
    <row r="3947" spans="6:7" x14ac:dyDescent="0.3">
      <c r="F3947" s="124">
        <v>3941</v>
      </c>
      <c r="G3947" s="33">
        <f t="shared" ca="1" si="74"/>
        <v>3.3333327789240044E-2</v>
      </c>
    </row>
    <row r="3948" spans="6:7" x14ac:dyDescent="0.3">
      <c r="F3948" s="124">
        <v>3942</v>
      </c>
      <c r="G3948" s="33">
        <f t="shared" ca="1" si="74"/>
        <v>-8.4017454597750743E-3</v>
      </c>
    </row>
    <row r="3949" spans="6:7" x14ac:dyDescent="0.3">
      <c r="F3949" s="124">
        <v>3943</v>
      </c>
      <c r="G3949" s="33">
        <f t="shared" ca="1" si="74"/>
        <v>3.7196067638491835E-2</v>
      </c>
    </row>
    <row r="3950" spans="6:7" x14ac:dyDescent="0.3">
      <c r="F3950" s="124">
        <v>3944</v>
      </c>
      <c r="G3950" s="33">
        <f t="shared" ca="1" si="74"/>
        <v>-3.4328078462093473E-2</v>
      </c>
    </row>
    <row r="3951" spans="6:7" x14ac:dyDescent="0.3">
      <c r="F3951" s="124">
        <v>3945</v>
      </c>
      <c r="G3951" s="33">
        <f t="shared" ca="1" si="74"/>
        <v>-1.820959763863602E-2</v>
      </c>
    </row>
    <row r="3952" spans="6:7" x14ac:dyDescent="0.3">
      <c r="F3952" s="124">
        <v>3946</v>
      </c>
      <c r="G3952" s="33">
        <f t="shared" ca="1" si="74"/>
        <v>4.7748463640382363E-2</v>
      </c>
    </row>
    <row r="3953" spans="6:7" x14ac:dyDescent="0.3">
      <c r="F3953" s="124">
        <v>3947</v>
      </c>
      <c r="G3953" s="33">
        <f t="shared" ca="1" si="74"/>
        <v>3.8011656656572974E-2</v>
      </c>
    </row>
    <row r="3954" spans="6:7" x14ac:dyDescent="0.3">
      <c r="F3954" s="124">
        <v>3948</v>
      </c>
      <c r="G3954" s="33">
        <f t="shared" ca="1" si="74"/>
        <v>6.9681144289653416E-3</v>
      </c>
    </row>
    <row r="3955" spans="6:7" x14ac:dyDescent="0.3">
      <c r="F3955" s="124">
        <v>3949</v>
      </c>
      <c r="G3955" s="33">
        <f t="shared" ca="1" si="74"/>
        <v>1.5516711188561898E-2</v>
      </c>
    </row>
    <row r="3956" spans="6:7" x14ac:dyDescent="0.3">
      <c r="F3956" s="124">
        <v>3950</v>
      </c>
      <c r="G3956" s="33">
        <f t="shared" ca="1" si="74"/>
        <v>1.6979538013701039E-2</v>
      </c>
    </row>
    <row r="3957" spans="6:7" x14ac:dyDescent="0.3">
      <c r="F3957" s="124">
        <v>3951</v>
      </c>
      <c r="G3957" s="33">
        <f t="shared" ca="1" si="74"/>
        <v>-1.728492420455198E-2</v>
      </c>
    </row>
    <row r="3958" spans="6:7" x14ac:dyDescent="0.3">
      <c r="F3958" s="124">
        <v>3952</v>
      </c>
      <c r="G3958" s="33">
        <f t="shared" ca="1" si="74"/>
        <v>2.4744639078467658E-2</v>
      </c>
    </row>
    <row r="3959" spans="6:7" x14ac:dyDescent="0.3">
      <c r="F3959" s="124">
        <v>3953</v>
      </c>
      <c r="G3959" s="33">
        <f t="shared" ca="1" si="74"/>
        <v>-1.5664446876171405E-3</v>
      </c>
    </row>
    <row r="3960" spans="6:7" x14ac:dyDescent="0.3">
      <c r="F3960" s="124">
        <v>3954</v>
      </c>
      <c r="G3960" s="33">
        <f t="shared" ca="1" si="74"/>
        <v>-2.5683403506596855E-2</v>
      </c>
    </row>
    <row r="3961" spans="6:7" x14ac:dyDescent="0.3">
      <c r="F3961" s="124">
        <v>3955</v>
      </c>
      <c r="G3961" s="33">
        <f t="shared" ca="1" si="74"/>
        <v>-1.3391160182170729E-2</v>
      </c>
    </row>
    <row r="3962" spans="6:7" x14ac:dyDescent="0.3">
      <c r="F3962" s="124">
        <v>3956</v>
      </c>
      <c r="G3962" s="33">
        <f t="shared" ca="1" si="74"/>
        <v>3.092530436478675E-2</v>
      </c>
    </row>
    <row r="3963" spans="6:7" x14ac:dyDescent="0.3">
      <c r="F3963" s="124">
        <v>3957</v>
      </c>
      <c r="G3963" s="33">
        <f t="shared" ca="1" si="74"/>
        <v>-4.7058459503649848E-2</v>
      </c>
    </row>
    <row r="3964" spans="6:7" x14ac:dyDescent="0.3">
      <c r="F3964" s="124">
        <v>3958</v>
      </c>
      <c r="G3964" s="33">
        <f t="shared" ca="1" si="74"/>
        <v>6.2430947937747235E-2</v>
      </c>
    </row>
    <row r="3965" spans="6:7" x14ac:dyDescent="0.3">
      <c r="F3965" s="124">
        <v>3959</v>
      </c>
      <c r="G3965" s="33">
        <f t="shared" ca="1" si="74"/>
        <v>7.5123602820422894E-2</v>
      </c>
    </row>
    <row r="3966" spans="6:7" x14ac:dyDescent="0.3">
      <c r="F3966" s="124">
        <v>3960</v>
      </c>
      <c r="G3966" s="33">
        <f t="shared" ca="1" si="74"/>
        <v>6.4177396508656847E-3</v>
      </c>
    </row>
    <row r="3967" spans="6:7" x14ac:dyDescent="0.3">
      <c r="F3967" s="124">
        <v>3961</v>
      </c>
      <c r="G3967" s="33">
        <f t="shared" ca="1" si="74"/>
        <v>3.8816506024609829E-2</v>
      </c>
    </row>
    <row r="3968" spans="6:7" x14ac:dyDescent="0.3">
      <c r="F3968" s="124">
        <v>3962</v>
      </c>
      <c r="G3968" s="33">
        <f t="shared" ca="1" si="74"/>
        <v>2.3554075669400709E-2</v>
      </c>
    </row>
    <row r="3969" spans="6:7" x14ac:dyDescent="0.3">
      <c r="F3969" s="124">
        <v>3963</v>
      </c>
      <c r="G3969" s="33">
        <f t="shared" ca="1" si="74"/>
        <v>-2.6284720074450808E-2</v>
      </c>
    </row>
    <row r="3970" spans="6:7" x14ac:dyDescent="0.3">
      <c r="F3970" s="124">
        <v>3964</v>
      </c>
      <c r="G3970" s="33">
        <f t="shared" ca="1" si="74"/>
        <v>6.5218296795263114E-2</v>
      </c>
    </row>
    <row r="3971" spans="6:7" x14ac:dyDescent="0.3">
      <c r="F3971" s="124">
        <v>3965</v>
      </c>
      <c r="G3971" s="33">
        <f t="shared" ca="1" si="74"/>
        <v>2.4452164064804906E-2</v>
      </c>
    </row>
    <row r="3972" spans="6:7" x14ac:dyDescent="0.3">
      <c r="F3972" s="124">
        <v>3966</v>
      </c>
      <c r="G3972" s="33">
        <f t="shared" ca="1" si="74"/>
        <v>5.7553492689779856E-3</v>
      </c>
    </row>
    <row r="3973" spans="6:7" x14ac:dyDescent="0.3">
      <c r="F3973" s="124">
        <v>3967</v>
      </c>
      <c r="G3973" s="33">
        <f t="shared" ca="1" si="74"/>
        <v>1.784216034782023E-2</v>
      </c>
    </row>
    <row r="3974" spans="6:7" x14ac:dyDescent="0.3">
      <c r="F3974" s="124">
        <v>3968</v>
      </c>
      <c r="G3974" s="33">
        <f t="shared" ca="1" si="74"/>
        <v>3.5901178543772741E-2</v>
      </c>
    </row>
    <row r="3975" spans="6:7" x14ac:dyDescent="0.3">
      <c r="F3975" s="124">
        <v>3969</v>
      </c>
      <c r="G3975" s="33">
        <f t="shared" ca="1" si="74"/>
        <v>-1.4497283505579356E-2</v>
      </c>
    </row>
    <row r="3976" spans="6:7" x14ac:dyDescent="0.3">
      <c r="F3976" s="124">
        <v>3970</v>
      </c>
      <c r="G3976" s="33">
        <f t="shared" ref="G3976:G4039" ca="1" si="75">_xlfn.NORM.INV(RAND(),$M$9,$M$10)</f>
        <v>1.5434444836205291E-2</v>
      </c>
    </row>
    <row r="3977" spans="6:7" x14ac:dyDescent="0.3">
      <c r="F3977" s="124">
        <v>3971</v>
      </c>
      <c r="G3977" s="33">
        <f t="shared" ca="1" si="75"/>
        <v>-3.6231987206951045E-3</v>
      </c>
    </row>
    <row r="3978" spans="6:7" x14ac:dyDescent="0.3">
      <c r="F3978" s="124">
        <v>3972</v>
      </c>
      <c r="G3978" s="33">
        <f t="shared" ca="1" si="75"/>
        <v>2.4356813023413196E-2</v>
      </c>
    </row>
    <row r="3979" spans="6:7" x14ac:dyDescent="0.3">
      <c r="F3979" s="124">
        <v>3973</v>
      </c>
      <c r="G3979" s="33">
        <f t="shared" ca="1" si="75"/>
        <v>-1.7504766614296129E-2</v>
      </c>
    </row>
    <row r="3980" spans="6:7" x14ac:dyDescent="0.3">
      <c r="F3980" s="124">
        <v>3974</v>
      </c>
      <c r="G3980" s="33">
        <f t="shared" ca="1" si="75"/>
        <v>-7.0053051089567853E-3</v>
      </c>
    </row>
    <row r="3981" spans="6:7" x14ac:dyDescent="0.3">
      <c r="F3981" s="124">
        <v>3975</v>
      </c>
      <c r="G3981" s="33">
        <f t="shared" ca="1" si="75"/>
        <v>9.6470292440391445E-3</v>
      </c>
    </row>
    <row r="3982" spans="6:7" x14ac:dyDescent="0.3">
      <c r="F3982" s="124">
        <v>3976</v>
      </c>
      <c r="G3982" s="33">
        <f t="shared" ca="1" si="75"/>
        <v>-6.1199223868885218E-2</v>
      </c>
    </row>
    <row r="3983" spans="6:7" x14ac:dyDescent="0.3">
      <c r="F3983" s="124">
        <v>3977</v>
      </c>
      <c r="G3983" s="33">
        <f t="shared" ca="1" si="75"/>
        <v>2.5617659882583321E-4</v>
      </c>
    </row>
    <row r="3984" spans="6:7" x14ac:dyDescent="0.3">
      <c r="F3984" s="124">
        <v>3978</v>
      </c>
      <c r="G3984" s="33">
        <f t="shared" ca="1" si="75"/>
        <v>7.6277342794340008E-2</v>
      </c>
    </row>
    <row r="3985" spans="6:7" x14ac:dyDescent="0.3">
      <c r="F3985" s="124">
        <v>3979</v>
      </c>
      <c r="G3985" s="33">
        <f t="shared" ca="1" si="75"/>
        <v>-2.1284937680331382E-2</v>
      </c>
    </row>
    <row r="3986" spans="6:7" x14ac:dyDescent="0.3">
      <c r="F3986" s="124">
        <v>3980</v>
      </c>
      <c r="G3986" s="33">
        <f t="shared" ca="1" si="75"/>
        <v>-3.2203700551898432E-2</v>
      </c>
    </row>
    <row r="3987" spans="6:7" x14ac:dyDescent="0.3">
      <c r="F3987" s="124">
        <v>3981</v>
      </c>
      <c r="G3987" s="33">
        <f t="shared" ca="1" si="75"/>
        <v>4.553288900807842E-2</v>
      </c>
    </row>
    <row r="3988" spans="6:7" x14ac:dyDescent="0.3">
      <c r="F3988" s="124">
        <v>3982</v>
      </c>
      <c r="G3988" s="33">
        <f t="shared" ca="1" si="75"/>
        <v>1.564204043736864E-3</v>
      </c>
    </row>
    <row r="3989" spans="6:7" x14ac:dyDescent="0.3">
      <c r="F3989" s="124">
        <v>3983</v>
      </c>
      <c r="G3989" s="33">
        <f t="shared" ca="1" si="75"/>
        <v>3.3155378094028076E-2</v>
      </c>
    </row>
    <row r="3990" spans="6:7" x14ac:dyDescent="0.3">
      <c r="F3990" s="124">
        <v>3984</v>
      </c>
      <c r="G3990" s="33">
        <f t="shared" ca="1" si="75"/>
        <v>2.8469010453309632E-2</v>
      </c>
    </row>
    <row r="3991" spans="6:7" x14ac:dyDescent="0.3">
      <c r="F3991" s="124">
        <v>3985</v>
      </c>
      <c r="G3991" s="33">
        <f t="shared" ca="1" si="75"/>
        <v>1.9527031356243965E-2</v>
      </c>
    </row>
    <row r="3992" spans="6:7" x14ac:dyDescent="0.3">
      <c r="F3992" s="124">
        <v>3986</v>
      </c>
      <c r="G3992" s="33">
        <f t="shared" ca="1" si="75"/>
        <v>-6.4364968374687375E-3</v>
      </c>
    </row>
    <row r="3993" spans="6:7" x14ac:dyDescent="0.3">
      <c r="F3993" s="124">
        <v>3987</v>
      </c>
      <c r="G3993" s="33">
        <f t="shared" ca="1" si="75"/>
        <v>1.4679936063203346E-2</v>
      </c>
    </row>
    <row r="3994" spans="6:7" x14ac:dyDescent="0.3">
      <c r="F3994" s="124">
        <v>3988</v>
      </c>
      <c r="G3994" s="33">
        <f t="shared" ca="1" si="75"/>
        <v>4.4711108892305229E-2</v>
      </c>
    </row>
    <row r="3995" spans="6:7" x14ac:dyDescent="0.3">
      <c r="F3995" s="124">
        <v>3989</v>
      </c>
      <c r="G3995" s="33">
        <f t="shared" ca="1" si="75"/>
        <v>-2.2965855622519894E-2</v>
      </c>
    </row>
    <row r="3996" spans="6:7" x14ac:dyDescent="0.3">
      <c r="F3996" s="124">
        <v>3990</v>
      </c>
      <c r="G3996" s="33">
        <f t="shared" ca="1" si="75"/>
        <v>-3.4015061271413023E-2</v>
      </c>
    </row>
    <row r="3997" spans="6:7" x14ac:dyDescent="0.3">
      <c r="F3997" s="124">
        <v>3991</v>
      </c>
      <c r="G3997" s="33">
        <f t="shared" ca="1" si="75"/>
        <v>4.1370532545221883E-2</v>
      </c>
    </row>
    <row r="3998" spans="6:7" x14ac:dyDescent="0.3">
      <c r="F3998" s="124">
        <v>3992</v>
      </c>
      <c r="G3998" s="33">
        <f t="shared" ca="1" si="75"/>
        <v>-2.8478746996217771E-2</v>
      </c>
    </row>
    <row r="3999" spans="6:7" x14ac:dyDescent="0.3">
      <c r="F3999" s="124">
        <v>3993</v>
      </c>
      <c r="G3999" s="33">
        <f t="shared" ca="1" si="75"/>
        <v>-9.7954826867798946E-3</v>
      </c>
    </row>
    <row r="4000" spans="6:7" x14ac:dyDescent="0.3">
      <c r="F4000" s="124">
        <v>3994</v>
      </c>
      <c r="G4000" s="33">
        <f t="shared" ca="1" si="75"/>
        <v>-1.2072934001545028E-2</v>
      </c>
    </row>
    <row r="4001" spans="6:7" x14ac:dyDescent="0.3">
      <c r="F4001" s="124">
        <v>3995</v>
      </c>
      <c r="G4001" s="33">
        <f t="shared" ca="1" si="75"/>
        <v>2.9260967080363565E-2</v>
      </c>
    </row>
    <row r="4002" spans="6:7" x14ac:dyDescent="0.3">
      <c r="F4002" s="124">
        <v>3996</v>
      </c>
      <c r="G4002" s="33">
        <f t="shared" ca="1" si="75"/>
        <v>-8.6341563737905996E-3</v>
      </c>
    </row>
    <row r="4003" spans="6:7" x14ac:dyDescent="0.3">
      <c r="F4003" s="124">
        <v>3997</v>
      </c>
      <c r="G4003" s="33">
        <f t="shared" ca="1" si="75"/>
        <v>2.6650599233474084E-2</v>
      </c>
    </row>
    <row r="4004" spans="6:7" x14ac:dyDescent="0.3">
      <c r="F4004" s="124">
        <v>3998</v>
      </c>
      <c r="G4004" s="33">
        <f t="shared" ca="1" si="75"/>
        <v>1.6992637491088289E-2</v>
      </c>
    </row>
    <row r="4005" spans="6:7" x14ac:dyDescent="0.3">
      <c r="F4005" s="124">
        <v>3999</v>
      </c>
      <c r="G4005" s="33">
        <f t="shared" ca="1" si="75"/>
        <v>4.6011233912297181E-2</v>
      </c>
    </row>
    <row r="4006" spans="6:7" x14ac:dyDescent="0.3">
      <c r="F4006" s="124">
        <v>4000</v>
      </c>
      <c r="G4006" s="33">
        <f t="shared" ca="1" si="75"/>
        <v>-5.765592784661374E-3</v>
      </c>
    </row>
    <row r="4007" spans="6:7" x14ac:dyDescent="0.3">
      <c r="F4007" s="124">
        <v>4001</v>
      </c>
      <c r="G4007" s="33">
        <f t="shared" ca="1" si="75"/>
        <v>-2.4740694481016909E-3</v>
      </c>
    </row>
    <row r="4008" spans="6:7" x14ac:dyDescent="0.3">
      <c r="F4008" s="124">
        <v>4002</v>
      </c>
      <c r="G4008" s="33">
        <f t="shared" ca="1" si="75"/>
        <v>3.55323193997759E-2</v>
      </c>
    </row>
    <row r="4009" spans="6:7" x14ac:dyDescent="0.3">
      <c r="F4009" s="124">
        <v>4003</v>
      </c>
      <c r="G4009" s="33">
        <f t="shared" ca="1" si="75"/>
        <v>-2.0652520001155188E-2</v>
      </c>
    </row>
    <row r="4010" spans="6:7" x14ac:dyDescent="0.3">
      <c r="F4010" s="124">
        <v>4004</v>
      </c>
      <c r="G4010" s="33">
        <f t="shared" ca="1" si="75"/>
        <v>3.1623598366738656E-2</v>
      </c>
    </row>
    <row r="4011" spans="6:7" x14ac:dyDescent="0.3">
      <c r="F4011" s="124">
        <v>4005</v>
      </c>
      <c r="G4011" s="33">
        <f t="shared" ca="1" si="75"/>
        <v>4.6085147399153072E-3</v>
      </c>
    </row>
    <row r="4012" spans="6:7" x14ac:dyDescent="0.3">
      <c r="F4012" s="124">
        <v>4006</v>
      </c>
      <c r="G4012" s="33">
        <f t="shared" ca="1" si="75"/>
        <v>3.2585676610253793E-2</v>
      </c>
    </row>
    <row r="4013" spans="6:7" x14ac:dyDescent="0.3">
      <c r="F4013" s="124">
        <v>4007</v>
      </c>
      <c r="G4013" s="33">
        <f t="shared" ca="1" si="75"/>
        <v>1.1687631039193021E-2</v>
      </c>
    </row>
    <row r="4014" spans="6:7" x14ac:dyDescent="0.3">
      <c r="F4014" s="124">
        <v>4008</v>
      </c>
      <c r="G4014" s="33">
        <f t="shared" ca="1" si="75"/>
        <v>5.3275378533415504E-2</v>
      </c>
    </row>
    <row r="4015" spans="6:7" x14ac:dyDescent="0.3">
      <c r="F4015" s="124">
        <v>4009</v>
      </c>
      <c r="G4015" s="33">
        <f t="shared" ca="1" si="75"/>
        <v>1.5212038254766427E-2</v>
      </c>
    </row>
    <row r="4016" spans="6:7" x14ac:dyDescent="0.3">
      <c r="F4016" s="124">
        <v>4010</v>
      </c>
      <c r="G4016" s="33">
        <f t="shared" ca="1" si="75"/>
        <v>-2.2697190952165484E-2</v>
      </c>
    </row>
    <row r="4017" spans="6:7" x14ac:dyDescent="0.3">
      <c r="F4017" s="124">
        <v>4011</v>
      </c>
      <c r="G4017" s="33">
        <f t="shared" ca="1" si="75"/>
        <v>4.7749729014611983E-2</v>
      </c>
    </row>
    <row r="4018" spans="6:7" x14ac:dyDescent="0.3">
      <c r="F4018" s="124">
        <v>4012</v>
      </c>
      <c r="G4018" s="33">
        <f t="shared" ca="1" si="75"/>
        <v>-4.3881584769490854E-2</v>
      </c>
    </row>
    <row r="4019" spans="6:7" x14ac:dyDescent="0.3">
      <c r="F4019" s="124">
        <v>4013</v>
      </c>
      <c r="G4019" s="33">
        <f t="shared" ca="1" si="75"/>
        <v>1.2441902155257131E-2</v>
      </c>
    </row>
    <row r="4020" spans="6:7" x14ac:dyDescent="0.3">
      <c r="F4020" s="124">
        <v>4014</v>
      </c>
      <c r="G4020" s="33">
        <f t="shared" ca="1" si="75"/>
        <v>-2.0533759816140893E-2</v>
      </c>
    </row>
    <row r="4021" spans="6:7" x14ac:dyDescent="0.3">
      <c r="F4021" s="124">
        <v>4015</v>
      </c>
      <c r="G4021" s="33">
        <f t="shared" ca="1" si="75"/>
        <v>5.0755506984001407E-2</v>
      </c>
    </row>
    <row r="4022" spans="6:7" x14ac:dyDescent="0.3">
      <c r="F4022" s="124">
        <v>4016</v>
      </c>
      <c r="G4022" s="33">
        <f t="shared" ca="1" si="75"/>
        <v>1.1165053727469881E-2</v>
      </c>
    </row>
    <row r="4023" spans="6:7" x14ac:dyDescent="0.3">
      <c r="F4023" s="124">
        <v>4017</v>
      </c>
      <c r="G4023" s="33">
        <f t="shared" ca="1" si="75"/>
        <v>-8.9842060064001562E-3</v>
      </c>
    </row>
    <row r="4024" spans="6:7" x14ac:dyDescent="0.3">
      <c r="F4024" s="124">
        <v>4018</v>
      </c>
      <c r="G4024" s="33">
        <f t="shared" ca="1" si="75"/>
        <v>-2.4675567869026586E-3</v>
      </c>
    </row>
    <row r="4025" spans="6:7" x14ac:dyDescent="0.3">
      <c r="F4025" s="124">
        <v>4019</v>
      </c>
      <c r="G4025" s="33">
        <f t="shared" ca="1" si="75"/>
        <v>6.625179926379462E-3</v>
      </c>
    </row>
    <row r="4026" spans="6:7" x14ac:dyDescent="0.3">
      <c r="F4026" s="124">
        <v>4020</v>
      </c>
      <c r="G4026" s="33">
        <f t="shared" ca="1" si="75"/>
        <v>-3.2007848179804552E-2</v>
      </c>
    </row>
    <row r="4027" spans="6:7" x14ac:dyDescent="0.3">
      <c r="F4027" s="124">
        <v>4021</v>
      </c>
      <c r="G4027" s="33">
        <f t="shared" ca="1" si="75"/>
        <v>2.8182246552516249E-2</v>
      </c>
    </row>
    <row r="4028" spans="6:7" x14ac:dyDescent="0.3">
      <c r="F4028" s="124">
        <v>4022</v>
      </c>
      <c r="G4028" s="33">
        <f t="shared" ca="1" si="75"/>
        <v>-2.4615789879102188E-3</v>
      </c>
    </row>
    <row r="4029" spans="6:7" x14ac:dyDescent="0.3">
      <c r="F4029" s="124">
        <v>4023</v>
      </c>
      <c r="G4029" s="33">
        <f t="shared" ca="1" si="75"/>
        <v>-1.0468325327583246E-2</v>
      </c>
    </row>
    <row r="4030" spans="6:7" x14ac:dyDescent="0.3">
      <c r="F4030" s="124">
        <v>4024</v>
      </c>
      <c r="G4030" s="33">
        <f t="shared" ca="1" si="75"/>
        <v>-4.6311382996288002E-2</v>
      </c>
    </row>
    <row r="4031" spans="6:7" x14ac:dyDescent="0.3">
      <c r="F4031" s="124">
        <v>4025</v>
      </c>
      <c r="G4031" s="33">
        <f t="shared" ca="1" si="75"/>
        <v>1.9562336665166855E-2</v>
      </c>
    </row>
    <row r="4032" spans="6:7" x14ac:dyDescent="0.3">
      <c r="F4032" s="124">
        <v>4026</v>
      </c>
      <c r="G4032" s="33">
        <f t="shared" ca="1" si="75"/>
        <v>1.6766070192714561E-2</v>
      </c>
    </row>
    <row r="4033" spans="6:7" x14ac:dyDescent="0.3">
      <c r="F4033" s="124">
        <v>4027</v>
      </c>
      <c r="G4033" s="33">
        <f t="shared" ca="1" si="75"/>
        <v>2.5226159367600854E-2</v>
      </c>
    </row>
    <row r="4034" spans="6:7" x14ac:dyDescent="0.3">
      <c r="F4034" s="124">
        <v>4028</v>
      </c>
      <c r="G4034" s="33">
        <f t="shared" ca="1" si="75"/>
        <v>-5.6537529922057538E-2</v>
      </c>
    </row>
    <row r="4035" spans="6:7" x14ac:dyDescent="0.3">
      <c r="F4035" s="124">
        <v>4029</v>
      </c>
      <c r="G4035" s="33">
        <f t="shared" ca="1" si="75"/>
        <v>7.2912030182218429E-3</v>
      </c>
    </row>
    <row r="4036" spans="6:7" x14ac:dyDescent="0.3">
      <c r="F4036" s="124">
        <v>4030</v>
      </c>
      <c r="G4036" s="33">
        <f t="shared" ca="1" si="75"/>
        <v>8.1903862424750132E-3</v>
      </c>
    </row>
    <row r="4037" spans="6:7" x14ac:dyDescent="0.3">
      <c r="F4037" s="124">
        <v>4031</v>
      </c>
      <c r="G4037" s="33">
        <f t="shared" ca="1" si="75"/>
        <v>3.2739898483783759E-2</v>
      </c>
    </row>
    <row r="4038" spans="6:7" x14ac:dyDescent="0.3">
      <c r="F4038" s="124">
        <v>4032</v>
      </c>
      <c r="G4038" s="33">
        <f t="shared" ca="1" si="75"/>
        <v>3.3336521554420788E-2</v>
      </c>
    </row>
    <row r="4039" spans="6:7" x14ac:dyDescent="0.3">
      <c r="F4039" s="124">
        <v>4033</v>
      </c>
      <c r="G4039" s="33">
        <f t="shared" ca="1" si="75"/>
        <v>1.5845538435608991E-3</v>
      </c>
    </row>
    <row r="4040" spans="6:7" x14ac:dyDescent="0.3">
      <c r="F4040" s="124">
        <v>4034</v>
      </c>
      <c r="G4040" s="33">
        <f t="shared" ref="G4040:G4103" ca="1" si="76">_xlfn.NORM.INV(RAND(),$M$9,$M$10)</f>
        <v>1.6289452129681838E-2</v>
      </c>
    </row>
    <row r="4041" spans="6:7" x14ac:dyDescent="0.3">
      <c r="F4041" s="124">
        <v>4035</v>
      </c>
      <c r="G4041" s="33">
        <f t="shared" ca="1" si="76"/>
        <v>1.133156535959241E-2</v>
      </c>
    </row>
    <row r="4042" spans="6:7" x14ac:dyDescent="0.3">
      <c r="F4042" s="124">
        <v>4036</v>
      </c>
      <c r="G4042" s="33">
        <f t="shared" ca="1" si="76"/>
        <v>-4.4109350593457129E-2</v>
      </c>
    </row>
    <row r="4043" spans="6:7" x14ac:dyDescent="0.3">
      <c r="F4043" s="124">
        <v>4037</v>
      </c>
      <c r="G4043" s="33">
        <f t="shared" ca="1" si="76"/>
        <v>-3.1862432544404592E-3</v>
      </c>
    </row>
    <row r="4044" spans="6:7" x14ac:dyDescent="0.3">
      <c r="F4044" s="124">
        <v>4038</v>
      </c>
      <c r="G4044" s="33">
        <f t="shared" ca="1" si="76"/>
        <v>8.8280195976176118E-2</v>
      </c>
    </row>
    <row r="4045" spans="6:7" x14ac:dyDescent="0.3">
      <c r="F4045" s="124">
        <v>4039</v>
      </c>
      <c r="G4045" s="33">
        <f t="shared" ca="1" si="76"/>
        <v>-1.376219841436482E-2</v>
      </c>
    </row>
    <row r="4046" spans="6:7" x14ac:dyDescent="0.3">
      <c r="F4046" s="124">
        <v>4040</v>
      </c>
      <c r="G4046" s="33">
        <f t="shared" ca="1" si="76"/>
        <v>-2.5703300122095129E-3</v>
      </c>
    </row>
    <row r="4047" spans="6:7" x14ac:dyDescent="0.3">
      <c r="F4047" s="124">
        <v>4041</v>
      </c>
      <c r="G4047" s="33">
        <f t="shared" ca="1" si="76"/>
        <v>2.4080868283556305E-2</v>
      </c>
    </row>
    <row r="4048" spans="6:7" x14ac:dyDescent="0.3">
      <c r="F4048" s="124">
        <v>4042</v>
      </c>
      <c r="G4048" s="33">
        <f t="shared" ca="1" si="76"/>
        <v>-2.8969971881331498E-3</v>
      </c>
    </row>
    <row r="4049" spans="6:7" x14ac:dyDescent="0.3">
      <c r="F4049" s="124">
        <v>4043</v>
      </c>
      <c r="G4049" s="33">
        <f t="shared" ca="1" si="76"/>
        <v>2.6360996191486558E-3</v>
      </c>
    </row>
    <row r="4050" spans="6:7" x14ac:dyDescent="0.3">
      <c r="F4050" s="124">
        <v>4044</v>
      </c>
      <c r="G4050" s="33">
        <f t="shared" ca="1" si="76"/>
        <v>1.5540319263189186E-2</v>
      </c>
    </row>
    <row r="4051" spans="6:7" x14ac:dyDescent="0.3">
      <c r="F4051" s="124">
        <v>4045</v>
      </c>
      <c r="G4051" s="33">
        <f t="shared" ca="1" si="76"/>
        <v>1.7120051242644528E-4</v>
      </c>
    </row>
    <row r="4052" spans="6:7" x14ac:dyDescent="0.3">
      <c r="F4052" s="124">
        <v>4046</v>
      </c>
      <c r="G4052" s="33">
        <f t="shared" ca="1" si="76"/>
        <v>-8.6428819882156671E-3</v>
      </c>
    </row>
    <row r="4053" spans="6:7" x14ac:dyDescent="0.3">
      <c r="F4053" s="124">
        <v>4047</v>
      </c>
      <c r="G4053" s="33">
        <f t="shared" ca="1" si="76"/>
        <v>2.9648916997662682E-2</v>
      </c>
    </row>
    <row r="4054" spans="6:7" x14ac:dyDescent="0.3">
      <c r="F4054" s="124">
        <v>4048</v>
      </c>
      <c r="G4054" s="33">
        <f t="shared" ca="1" si="76"/>
        <v>5.8806771442229774E-2</v>
      </c>
    </row>
    <row r="4055" spans="6:7" x14ac:dyDescent="0.3">
      <c r="F4055" s="124">
        <v>4049</v>
      </c>
      <c r="G4055" s="33">
        <f t="shared" ca="1" si="76"/>
        <v>3.72051773117799E-2</v>
      </c>
    </row>
    <row r="4056" spans="6:7" x14ac:dyDescent="0.3">
      <c r="F4056" s="124">
        <v>4050</v>
      </c>
      <c r="G4056" s="33">
        <f t="shared" ca="1" si="76"/>
        <v>1.6598773181829941E-2</v>
      </c>
    </row>
    <row r="4057" spans="6:7" x14ac:dyDescent="0.3">
      <c r="F4057" s="124">
        <v>4051</v>
      </c>
      <c r="G4057" s="33">
        <f t="shared" ca="1" si="76"/>
        <v>1.1630848393799926E-2</v>
      </c>
    </row>
    <row r="4058" spans="6:7" x14ac:dyDescent="0.3">
      <c r="F4058" s="124">
        <v>4052</v>
      </c>
      <c r="G4058" s="33">
        <f t="shared" ca="1" si="76"/>
        <v>1.0563796512235459E-2</v>
      </c>
    </row>
    <row r="4059" spans="6:7" x14ac:dyDescent="0.3">
      <c r="F4059" s="124">
        <v>4053</v>
      </c>
      <c r="G4059" s="33">
        <f t="shared" ca="1" si="76"/>
        <v>3.1766179797197321E-2</v>
      </c>
    </row>
    <row r="4060" spans="6:7" x14ac:dyDescent="0.3">
      <c r="F4060" s="124">
        <v>4054</v>
      </c>
      <c r="G4060" s="33">
        <f t="shared" ca="1" si="76"/>
        <v>-4.650049500058759E-3</v>
      </c>
    </row>
    <row r="4061" spans="6:7" x14ac:dyDescent="0.3">
      <c r="F4061" s="124">
        <v>4055</v>
      </c>
      <c r="G4061" s="33">
        <f t="shared" ca="1" si="76"/>
        <v>-1.5295934709645367E-2</v>
      </c>
    </row>
    <row r="4062" spans="6:7" x14ac:dyDescent="0.3">
      <c r="F4062" s="124">
        <v>4056</v>
      </c>
      <c r="G4062" s="33">
        <f t="shared" ca="1" si="76"/>
        <v>3.5915007935727675E-2</v>
      </c>
    </row>
    <row r="4063" spans="6:7" x14ac:dyDescent="0.3">
      <c r="F4063" s="124">
        <v>4057</v>
      </c>
      <c r="G4063" s="33">
        <f t="shared" ca="1" si="76"/>
        <v>1.4179649050509897E-2</v>
      </c>
    </row>
    <row r="4064" spans="6:7" x14ac:dyDescent="0.3">
      <c r="F4064" s="124">
        <v>4058</v>
      </c>
      <c r="G4064" s="33">
        <f t="shared" ca="1" si="76"/>
        <v>-3.0572237216832891E-2</v>
      </c>
    </row>
    <row r="4065" spans="6:7" x14ac:dyDescent="0.3">
      <c r="F4065" s="124">
        <v>4059</v>
      </c>
      <c r="G4065" s="33">
        <f t="shared" ca="1" si="76"/>
        <v>-2.2368615246175803E-2</v>
      </c>
    </row>
    <row r="4066" spans="6:7" x14ac:dyDescent="0.3">
      <c r="F4066" s="124">
        <v>4060</v>
      </c>
      <c r="G4066" s="33">
        <f t="shared" ca="1" si="76"/>
        <v>3.9701845941625798E-2</v>
      </c>
    </row>
    <row r="4067" spans="6:7" x14ac:dyDescent="0.3">
      <c r="F4067" s="124">
        <v>4061</v>
      </c>
      <c r="G4067" s="33">
        <f t="shared" ca="1" si="76"/>
        <v>-3.1191663017135249E-2</v>
      </c>
    </row>
    <row r="4068" spans="6:7" x14ac:dyDescent="0.3">
      <c r="F4068" s="124">
        <v>4062</v>
      </c>
      <c r="G4068" s="33">
        <f t="shared" ca="1" si="76"/>
        <v>-8.0569931633168917E-2</v>
      </c>
    </row>
    <row r="4069" spans="6:7" x14ac:dyDescent="0.3">
      <c r="F4069" s="124">
        <v>4063</v>
      </c>
      <c r="G4069" s="33">
        <f t="shared" ca="1" si="76"/>
        <v>7.6124584106448082E-2</v>
      </c>
    </row>
    <row r="4070" spans="6:7" x14ac:dyDescent="0.3">
      <c r="F4070" s="124">
        <v>4064</v>
      </c>
      <c r="G4070" s="33">
        <f t="shared" ca="1" si="76"/>
        <v>5.2725271295738368E-3</v>
      </c>
    </row>
    <row r="4071" spans="6:7" x14ac:dyDescent="0.3">
      <c r="F4071" s="124">
        <v>4065</v>
      </c>
      <c r="G4071" s="33">
        <f t="shared" ca="1" si="76"/>
        <v>-7.3510473128069196E-3</v>
      </c>
    </row>
    <row r="4072" spans="6:7" x14ac:dyDescent="0.3">
      <c r="F4072" s="124">
        <v>4066</v>
      </c>
      <c r="G4072" s="33">
        <f t="shared" ca="1" si="76"/>
        <v>1.416064257924737E-2</v>
      </c>
    </row>
    <row r="4073" spans="6:7" x14ac:dyDescent="0.3">
      <c r="F4073" s="124">
        <v>4067</v>
      </c>
      <c r="G4073" s="33">
        <f t="shared" ca="1" si="76"/>
        <v>4.3558156296059095E-2</v>
      </c>
    </row>
    <row r="4074" spans="6:7" x14ac:dyDescent="0.3">
      <c r="F4074" s="124">
        <v>4068</v>
      </c>
      <c r="G4074" s="33">
        <f t="shared" ca="1" si="76"/>
        <v>2.5175826630436545E-2</v>
      </c>
    </row>
    <row r="4075" spans="6:7" x14ac:dyDescent="0.3">
      <c r="F4075" s="124">
        <v>4069</v>
      </c>
      <c r="G4075" s="33">
        <f t="shared" ca="1" si="76"/>
        <v>3.3450180563163526E-2</v>
      </c>
    </row>
    <row r="4076" spans="6:7" x14ac:dyDescent="0.3">
      <c r="F4076" s="124">
        <v>4070</v>
      </c>
      <c r="G4076" s="33">
        <f t="shared" ca="1" si="76"/>
        <v>-2.7636337940823687E-2</v>
      </c>
    </row>
    <row r="4077" spans="6:7" x14ac:dyDescent="0.3">
      <c r="F4077" s="124">
        <v>4071</v>
      </c>
      <c r="G4077" s="33">
        <f t="shared" ca="1" si="76"/>
        <v>4.286549340194689E-2</v>
      </c>
    </row>
    <row r="4078" spans="6:7" x14ac:dyDescent="0.3">
      <c r="F4078" s="124">
        <v>4072</v>
      </c>
      <c r="G4078" s="33">
        <f t="shared" ca="1" si="76"/>
        <v>-3.8941145536591844E-2</v>
      </c>
    </row>
    <row r="4079" spans="6:7" x14ac:dyDescent="0.3">
      <c r="F4079" s="124">
        <v>4073</v>
      </c>
      <c r="G4079" s="33">
        <f t="shared" ca="1" si="76"/>
        <v>-1.2160363907097956E-2</v>
      </c>
    </row>
    <row r="4080" spans="6:7" x14ac:dyDescent="0.3">
      <c r="F4080" s="124">
        <v>4074</v>
      </c>
      <c r="G4080" s="33">
        <f t="shared" ca="1" si="76"/>
        <v>-1.3226275000823642E-3</v>
      </c>
    </row>
    <row r="4081" spans="6:7" x14ac:dyDescent="0.3">
      <c r="F4081" s="124">
        <v>4075</v>
      </c>
      <c r="G4081" s="33">
        <f t="shared" ca="1" si="76"/>
        <v>2.76153557184705E-2</v>
      </c>
    </row>
    <row r="4082" spans="6:7" x14ac:dyDescent="0.3">
      <c r="F4082" s="124">
        <v>4076</v>
      </c>
      <c r="G4082" s="33">
        <f t="shared" ca="1" si="76"/>
        <v>-6.3689079570355286E-2</v>
      </c>
    </row>
    <row r="4083" spans="6:7" x14ac:dyDescent="0.3">
      <c r="F4083" s="124">
        <v>4077</v>
      </c>
      <c r="G4083" s="33">
        <f t="shared" ca="1" si="76"/>
        <v>3.6480114623651115E-3</v>
      </c>
    </row>
    <row r="4084" spans="6:7" x14ac:dyDescent="0.3">
      <c r="F4084" s="124">
        <v>4078</v>
      </c>
      <c r="G4084" s="33">
        <f t="shared" ca="1" si="76"/>
        <v>7.035754442583915E-2</v>
      </c>
    </row>
    <row r="4085" spans="6:7" x14ac:dyDescent="0.3">
      <c r="F4085" s="124">
        <v>4079</v>
      </c>
      <c r="G4085" s="33">
        <f t="shared" ca="1" si="76"/>
        <v>-1.6869532301199391E-2</v>
      </c>
    </row>
    <row r="4086" spans="6:7" x14ac:dyDescent="0.3">
      <c r="F4086" s="124">
        <v>4080</v>
      </c>
      <c r="G4086" s="33">
        <f t="shared" ca="1" si="76"/>
        <v>5.2355967521691228E-2</v>
      </c>
    </row>
    <row r="4087" spans="6:7" x14ac:dyDescent="0.3">
      <c r="F4087" s="124">
        <v>4081</v>
      </c>
      <c r="G4087" s="33">
        <f t="shared" ca="1" si="76"/>
        <v>-4.5691888322499895E-2</v>
      </c>
    </row>
    <row r="4088" spans="6:7" x14ac:dyDescent="0.3">
      <c r="F4088" s="124">
        <v>4082</v>
      </c>
      <c r="G4088" s="33">
        <f t="shared" ca="1" si="76"/>
        <v>-1.2317696996170264E-3</v>
      </c>
    </row>
    <row r="4089" spans="6:7" x14ac:dyDescent="0.3">
      <c r="F4089" s="124">
        <v>4083</v>
      </c>
      <c r="G4089" s="33">
        <f t="shared" ca="1" si="76"/>
        <v>1.6827691363169871E-2</v>
      </c>
    </row>
    <row r="4090" spans="6:7" x14ac:dyDescent="0.3">
      <c r="F4090" s="124">
        <v>4084</v>
      </c>
      <c r="G4090" s="33">
        <f t="shared" ca="1" si="76"/>
        <v>5.8075586623788186E-2</v>
      </c>
    </row>
    <row r="4091" spans="6:7" x14ac:dyDescent="0.3">
      <c r="F4091" s="124">
        <v>4085</v>
      </c>
      <c r="G4091" s="33">
        <f t="shared" ca="1" si="76"/>
        <v>5.0770035640994672E-2</v>
      </c>
    </row>
    <row r="4092" spans="6:7" x14ac:dyDescent="0.3">
      <c r="F4092" s="124">
        <v>4086</v>
      </c>
      <c r="G4092" s="33">
        <f t="shared" ca="1" si="76"/>
        <v>-6.3727596882846183E-2</v>
      </c>
    </row>
    <row r="4093" spans="6:7" x14ac:dyDescent="0.3">
      <c r="F4093" s="124">
        <v>4087</v>
      </c>
      <c r="G4093" s="33">
        <f t="shared" ca="1" si="76"/>
        <v>5.1194391800687702E-2</v>
      </c>
    </row>
    <row r="4094" spans="6:7" x14ac:dyDescent="0.3">
      <c r="F4094" s="124">
        <v>4088</v>
      </c>
      <c r="G4094" s="33">
        <f t="shared" ca="1" si="76"/>
        <v>3.1460749058498473E-2</v>
      </c>
    </row>
    <row r="4095" spans="6:7" x14ac:dyDescent="0.3">
      <c r="F4095" s="124">
        <v>4089</v>
      </c>
      <c r="G4095" s="33">
        <f t="shared" ca="1" si="76"/>
        <v>2.0581765204324993E-2</v>
      </c>
    </row>
    <row r="4096" spans="6:7" x14ac:dyDescent="0.3">
      <c r="F4096" s="124">
        <v>4090</v>
      </c>
      <c r="G4096" s="33">
        <f t="shared" ca="1" si="76"/>
        <v>-4.4739118907486308E-3</v>
      </c>
    </row>
    <row r="4097" spans="6:7" x14ac:dyDescent="0.3">
      <c r="F4097" s="124">
        <v>4091</v>
      </c>
      <c r="G4097" s="33">
        <f t="shared" ca="1" si="76"/>
        <v>9.782499620356138E-3</v>
      </c>
    </row>
    <row r="4098" spans="6:7" x14ac:dyDescent="0.3">
      <c r="F4098" s="124">
        <v>4092</v>
      </c>
      <c r="G4098" s="33">
        <f t="shared" ca="1" si="76"/>
        <v>2.2632053377339534E-2</v>
      </c>
    </row>
    <row r="4099" spans="6:7" x14ac:dyDescent="0.3">
      <c r="F4099" s="124">
        <v>4093</v>
      </c>
      <c r="G4099" s="33">
        <f t="shared" ca="1" si="76"/>
        <v>6.4365237401932821E-3</v>
      </c>
    </row>
    <row r="4100" spans="6:7" x14ac:dyDescent="0.3">
      <c r="F4100" s="124">
        <v>4094</v>
      </c>
      <c r="G4100" s="33">
        <f t="shared" ca="1" si="76"/>
        <v>-2.302490836256765E-2</v>
      </c>
    </row>
    <row r="4101" spans="6:7" x14ac:dyDescent="0.3">
      <c r="F4101" s="124">
        <v>4095</v>
      </c>
      <c r="G4101" s="33">
        <f t="shared" ca="1" si="76"/>
        <v>-3.8637106594776463E-3</v>
      </c>
    </row>
    <row r="4102" spans="6:7" x14ac:dyDescent="0.3">
      <c r="F4102" s="124">
        <v>4096</v>
      </c>
      <c r="G4102" s="33">
        <f t="shared" ca="1" si="76"/>
        <v>-2.8034004523110664E-2</v>
      </c>
    </row>
    <row r="4103" spans="6:7" x14ac:dyDescent="0.3">
      <c r="F4103" s="124">
        <v>4097</v>
      </c>
      <c r="G4103" s="33">
        <f t="shared" ca="1" si="76"/>
        <v>2.6356381511404837E-2</v>
      </c>
    </row>
    <row r="4104" spans="6:7" x14ac:dyDescent="0.3">
      <c r="F4104" s="124">
        <v>4098</v>
      </c>
      <c r="G4104" s="33">
        <f t="shared" ref="G4104:G4167" ca="1" si="77">_xlfn.NORM.INV(RAND(),$M$9,$M$10)</f>
        <v>3.3918384243207707E-2</v>
      </c>
    </row>
    <row r="4105" spans="6:7" x14ac:dyDescent="0.3">
      <c r="F4105" s="124">
        <v>4099</v>
      </c>
      <c r="G4105" s="33">
        <f t="shared" ca="1" si="77"/>
        <v>-1.1152114566539063E-2</v>
      </c>
    </row>
    <row r="4106" spans="6:7" x14ac:dyDescent="0.3">
      <c r="F4106" s="124">
        <v>4100</v>
      </c>
      <c r="G4106" s="33">
        <f t="shared" ca="1" si="77"/>
        <v>1.8501281291344478E-2</v>
      </c>
    </row>
    <row r="4107" spans="6:7" x14ac:dyDescent="0.3">
      <c r="F4107" s="124">
        <v>4101</v>
      </c>
      <c r="G4107" s="33">
        <f t="shared" ca="1" si="77"/>
        <v>-2.1071044042585339E-2</v>
      </c>
    </row>
    <row r="4108" spans="6:7" x14ac:dyDescent="0.3">
      <c r="F4108" s="124">
        <v>4102</v>
      </c>
      <c r="G4108" s="33">
        <f t="shared" ca="1" si="77"/>
        <v>-1.1394511176125995E-2</v>
      </c>
    </row>
    <row r="4109" spans="6:7" x14ac:dyDescent="0.3">
      <c r="F4109" s="124">
        <v>4103</v>
      </c>
      <c r="G4109" s="33">
        <f t="shared" ca="1" si="77"/>
        <v>1.0711080431119541E-2</v>
      </c>
    </row>
    <row r="4110" spans="6:7" x14ac:dyDescent="0.3">
      <c r="F4110" s="124">
        <v>4104</v>
      </c>
      <c r="G4110" s="33">
        <f t="shared" ca="1" si="77"/>
        <v>-1.1085198025418835E-2</v>
      </c>
    </row>
    <row r="4111" spans="6:7" x14ac:dyDescent="0.3">
      <c r="F4111" s="124">
        <v>4105</v>
      </c>
      <c r="G4111" s="33">
        <f t="shared" ca="1" si="77"/>
        <v>-1.1312112969069622E-2</v>
      </c>
    </row>
    <row r="4112" spans="6:7" x14ac:dyDescent="0.3">
      <c r="F4112" s="124">
        <v>4106</v>
      </c>
      <c r="G4112" s="33">
        <f t="shared" ca="1" si="77"/>
        <v>-3.1063897145756362E-2</v>
      </c>
    </row>
    <row r="4113" spans="6:7" x14ac:dyDescent="0.3">
      <c r="F4113" s="124">
        <v>4107</v>
      </c>
      <c r="G4113" s="33">
        <f t="shared" ca="1" si="77"/>
        <v>1.3326448075650438E-2</v>
      </c>
    </row>
    <row r="4114" spans="6:7" x14ac:dyDescent="0.3">
      <c r="F4114" s="124">
        <v>4108</v>
      </c>
      <c r="G4114" s="33">
        <f t="shared" ca="1" si="77"/>
        <v>-4.866898200580728E-3</v>
      </c>
    </row>
    <row r="4115" spans="6:7" x14ac:dyDescent="0.3">
      <c r="F4115" s="124">
        <v>4109</v>
      </c>
      <c r="G4115" s="33">
        <f t="shared" ca="1" si="77"/>
        <v>1.5179305318267933E-2</v>
      </c>
    </row>
    <row r="4116" spans="6:7" x14ac:dyDescent="0.3">
      <c r="F4116" s="124">
        <v>4110</v>
      </c>
      <c r="G4116" s="33">
        <f t="shared" ca="1" si="77"/>
        <v>-5.8024018116278997E-2</v>
      </c>
    </row>
    <row r="4117" spans="6:7" x14ac:dyDescent="0.3">
      <c r="F4117" s="124">
        <v>4111</v>
      </c>
      <c r="G4117" s="33">
        <f t="shared" ca="1" si="77"/>
        <v>3.1011365146015202E-2</v>
      </c>
    </row>
    <row r="4118" spans="6:7" x14ac:dyDescent="0.3">
      <c r="F4118" s="124">
        <v>4112</v>
      </c>
      <c r="G4118" s="33">
        <f t="shared" ca="1" si="77"/>
        <v>-6.7980617695695663E-3</v>
      </c>
    </row>
    <row r="4119" spans="6:7" x14ac:dyDescent="0.3">
      <c r="F4119" s="124">
        <v>4113</v>
      </c>
      <c r="G4119" s="33">
        <f t="shared" ca="1" si="77"/>
        <v>-2.4399337415522825E-2</v>
      </c>
    </row>
    <row r="4120" spans="6:7" x14ac:dyDescent="0.3">
      <c r="F4120" s="124">
        <v>4114</v>
      </c>
      <c r="G4120" s="33">
        <f t="shared" ca="1" si="77"/>
        <v>1.0759137725665033E-2</v>
      </c>
    </row>
    <row r="4121" spans="6:7" x14ac:dyDescent="0.3">
      <c r="F4121" s="124">
        <v>4115</v>
      </c>
      <c r="G4121" s="33">
        <f t="shared" ca="1" si="77"/>
        <v>-3.7046894530249216E-2</v>
      </c>
    </row>
    <row r="4122" spans="6:7" x14ac:dyDescent="0.3">
      <c r="F4122" s="124">
        <v>4116</v>
      </c>
      <c r="G4122" s="33">
        <f t="shared" ca="1" si="77"/>
        <v>-2.8375746285367747E-2</v>
      </c>
    </row>
    <row r="4123" spans="6:7" x14ac:dyDescent="0.3">
      <c r="F4123" s="124">
        <v>4117</v>
      </c>
      <c r="G4123" s="33">
        <f t="shared" ca="1" si="77"/>
        <v>4.9407445256614925E-2</v>
      </c>
    </row>
    <row r="4124" spans="6:7" x14ac:dyDescent="0.3">
      <c r="F4124" s="124">
        <v>4118</v>
      </c>
      <c r="G4124" s="33">
        <f t="shared" ca="1" si="77"/>
        <v>1.9335682935938771E-2</v>
      </c>
    </row>
    <row r="4125" spans="6:7" x14ac:dyDescent="0.3">
      <c r="F4125" s="124">
        <v>4119</v>
      </c>
      <c r="G4125" s="33">
        <f t="shared" ca="1" si="77"/>
        <v>-1.6536476898115045E-2</v>
      </c>
    </row>
    <row r="4126" spans="6:7" x14ac:dyDescent="0.3">
      <c r="F4126" s="124">
        <v>4120</v>
      </c>
      <c r="G4126" s="33">
        <f t="shared" ca="1" si="77"/>
        <v>2.594860034765924E-2</v>
      </c>
    </row>
    <row r="4127" spans="6:7" x14ac:dyDescent="0.3">
      <c r="F4127" s="124">
        <v>4121</v>
      </c>
      <c r="G4127" s="33">
        <f t="shared" ca="1" si="77"/>
        <v>9.4713933447210172E-3</v>
      </c>
    </row>
    <row r="4128" spans="6:7" x14ac:dyDescent="0.3">
      <c r="F4128" s="124">
        <v>4122</v>
      </c>
      <c r="G4128" s="33">
        <f t="shared" ca="1" si="77"/>
        <v>-2.3330014617269971E-2</v>
      </c>
    </row>
    <row r="4129" spans="6:7" x14ac:dyDescent="0.3">
      <c r="F4129" s="124">
        <v>4123</v>
      </c>
      <c r="G4129" s="33">
        <f t="shared" ca="1" si="77"/>
        <v>-4.2180762582062402E-2</v>
      </c>
    </row>
    <row r="4130" spans="6:7" x14ac:dyDescent="0.3">
      <c r="F4130" s="124">
        <v>4124</v>
      </c>
      <c r="G4130" s="33">
        <f t="shared" ca="1" si="77"/>
        <v>-1.9476118351324438E-3</v>
      </c>
    </row>
    <row r="4131" spans="6:7" x14ac:dyDescent="0.3">
      <c r="F4131" s="124">
        <v>4125</v>
      </c>
      <c r="G4131" s="33">
        <f t="shared" ca="1" si="77"/>
        <v>-2.2848597628008928E-2</v>
      </c>
    </row>
    <row r="4132" spans="6:7" x14ac:dyDescent="0.3">
      <c r="F4132" s="124">
        <v>4126</v>
      </c>
      <c r="G4132" s="33">
        <f t="shared" ca="1" si="77"/>
        <v>-8.2495663064961373E-3</v>
      </c>
    </row>
    <row r="4133" spans="6:7" x14ac:dyDescent="0.3">
      <c r="F4133" s="124">
        <v>4127</v>
      </c>
      <c r="G4133" s="33">
        <f t="shared" ca="1" si="77"/>
        <v>1.097628325885424E-2</v>
      </c>
    </row>
    <row r="4134" spans="6:7" x14ac:dyDescent="0.3">
      <c r="F4134" s="124">
        <v>4128</v>
      </c>
      <c r="G4134" s="33">
        <f t="shared" ca="1" si="77"/>
        <v>-2.5370396978101385E-2</v>
      </c>
    </row>
    <row r="4135" spans="6:7" x14ac:dyDescent="0.3">
      <c r="F4135" s="124">
        <v>4129</v>
      </c>
      <c r="G4135" s="33">
        <f t="shared" ca="1" si="77"/>
        <v>4.7189757317029978E-2</v>
      </c>
    </row>
    <row r="4136" spans="6:7" x14ac:dyDescent="0.3">
      <c r="F4136" s="124">
        <v>4130</v>
      </c>
      <c r="G4136" s="33">
        <f t="shared" ca="1" si="77"/>
        <v>-5.7566311945685254E-2</v>
      </c>
    </row>
    <row r="4137" spans="6:7" x14ac:dyDescent="0.3">
      <c r="F4137" s="124">
        <v>4131</v>
      </c>
      <c r="G4137" s="33">
        <f t="shared" ca="1" si="77"/>
        <v>1.2867785915948969E-2</v>
      </c>
    </row>
    <row r="4138" spans="6:7" x14ac:dyDescent="0.3">
      <c r="F4138" s="124">
        <v>4132</v>
      </c>
      <c r="G4138" s="33">
        <f t="shared" ca="1" si="77"/>
        <v>-2.9277576630930783E-2</v>
      </c>
    </row>
    <row r="4139" spans="6:7" x14ac:dyDescent="0.3">
      <c r="F4139" s="124">
        <v>4133</v>
      </c>
      <c r="G4139" s="33">
        <f t="shared" ca="1" si="77"/>
        <v>3.4172742711737203E-3</v>
      </c>
    </row>
    <row r="4140" spans="6:7" x14ac:dyDescent="0.3">
      <c r="F4140" s="124">
        <v>4134</v>
      </c>
      <c r="G4140" s="33">
        <f t="shared" ca="1" si="77"/>
        <v>2.2322925035819546E-2</v>
      </c>
    </row>
    <row r="4141" spans="6:7" x14ac:dyDescent="0.3">
      <c r="F4141" s="124">
        <v>4135</v>
      </c>
      <c r="G4141" s="33">
        <f t="shared" ca="1" si="77"/>
        <v>-9.1765049751652249E-3</v>
      </c>
    </row>
    <row r="4142" spans="6:7" x14ac:dyDescent="0.3">
      <c r="F4142" s="124">
        <v>4136</v>
      </c>
      <c r="G4142" s="33">
        <f t="shared" ca="1" si="77"/>
        <v>-2.3057038791439728E-2</v>
      </c>
    </row>
    <row r="4143" spans="6:7" x14ac:dyDescent="0.3">
      <c r="F4143" s="124">
        <v>4137</v>
      </c>
      <c r="G4143" s="33">
        <f t="shared" ca="1" si="77"/>
        <v>1.497933678848375E-2</v>
      </c>
    </row>
    <row r="4144" spans="6:7" x14ac:dyDescent="0.3">
      <c r="F4144" s="124">
        <v>4138</v>
      </c>
      <c r="G4144" s="33">
        <f t="shared" ca="1" si="77"/>
        <v>-3.7688003248761516E-2</v>
      </c>
    </row>
    <row r="4145" spans="6:7" x14ac:dyDescent="0.3">
      <c r="F4145" s="124">
        <v>4139</v>
      </c>
      <c r="G4145" s="33">
        <f t="shared" ca="1" si="77"/>
        <v>4.4970049158070936E-2</v>
      </c>
    </row>
    <row r="4146" spans="6:7" x14ac:dyDescent="0.3">
      <c r="F4146" s="124">
        <v>4140</v>
      </c>
      <c r="G4146" s="33">
        <f t="shared" ca="1" si="77"/>
        <v>6.7373039112628708E-3</v>
      </c>
    </row>
    <row r="4147" spans="6:7" x14ac:dyDescent="0.3">
      <c r="F4147" s="124">
        <v>4141</v>
      </c>
      <c r="G4147" s="33">
        <f t="shared" ca="1" si="77"/>
        <v>-1.5493177873111511E-2</v>
      </c>
    </row>
    <row r="4148" spans="6:7" x14ac:dyDescent="0.3">
      <c r="F4148" s="124">
        <v>4142</v>
      </c>
      <c r="G4148" s="33">
        <f t="shared" ca="1" si="77"/>
        <v>-1.4467178218528366E-2</v>
      </c>
    </row>
    <row r="4149" spans="6:7" x14ac:dyDescent="0.3">
      <c r="F4149" s="124">
        <v>4143</v>
      </c>
      <c r="G4149" s="33">
        <f t="shared" ca="1" si="77"/>
        <v>-6.9319963428012979E-3</v>
      </c>
    </row>
    <row r="4150" spans="6:7" x14ac:dyDescent="0.3">
      <c r="F4150" s="124">
        <v>4144</v>
      </c>
      <c r="G4150" s="33">
        <f t="shared" ca="1" si="77"/>
        <v>-1.6145284860720269E-2</v>
      </c>
    </row>
    <row r="4151" spans="6:7" x14ac:dyDescent="0.3">
      <c r="F4151" s="124">
        <v>4145</v>
      </c>
      <c r="G4151" s="33">
        <f t="shared" ca="1" si="77"/>
        <v>-5.6532151604770887E-3</v>
      </c>
    </row>
    <row r="4152" spans="6:7" x14ac:dyDescent="0.3">
      <c r="F4152" s="124">
        <v>4146</v>
      </c>
      <c r="G4152" s="33">
        <f t="shared" ca="1" si="77"/>
        <v>1.9050264707770978E-3</v>
      </c>
    </row>
    <row r="4153" spans="6:7" x14ac:dyDescent="0.3">
      <c r="F4153" s="124">
        <v>4147</v>
      </c>
      <c r="G4153" s="33">
        <f t="shared" ca="1" si="77"/>
        <v>-7.007245493702915E-3</v>
      </c>
    </row>
    <row r="4154" spans="6:7" x14ac:dyDescent="0.3">
      <c r="F4154" s="124">
        <v>4148</v>
      </c>
      <c r="G4154" s="33">
        <f t="shared" ca="1" si="77"/>
        <v>-2.1102660397279135E-2</v>
      </c>
    </row>
    <row r="4155" spans="6:7" x14ac:dyDescent="0.3">
      <c r="F4155" s="124">
        <v>4149</v>
      </c>
      <c r="G4155" s="33">
        <f t="shared" ca="1" si="77"/>
        <v>1.2156718250936296E-2</v>
      </c>
    </row>
    <row r="4156" spans="6:7" x14ac:dyDescent="0.3">
      <c r="F4156" s="124">
        <v>4150</v>
      </c>
      <c r="G4156" s="33">
        <f t="shared" ca="1" si="77"/>
        <v>9.1288654235321537E-3</v>
      </c>
    </row>
    <row r="4157" spans="6:7" x14ac:dyDescent="0.3">
      <c r="F4157" s="124">
        <v>4151</v>
      </c>
      <c r="G4157" s="33">
        <f t="shared" ca="1" si="77"/>
        <v>2.7050714240665588E-2</v>
      </c>
    </row>
    <row r="4158" spans="6:7" x14ac:dyDescent="0.3">
      <c r="F4158" s="124">
        <v>4152</v>
      </c>
      <c r="G4158" s="33">
        <f t="shared" ca="1" si="77"/>
        <v>2.1264079536830401E-2</v>
      </c>
    </row>
    <row r="4159" spans="6:7" x14ac:dyDescent="0.3">
      <c r="F4159" s="124">
        <v>4153</v>
      </c>
      <c r="G4159" s="33">
        <f t="shared" ca="1" si="77"/>
        <v>5.8606970862870367E-2</v>
      </c>
    </row>
    <row r="4160" spans="6:7" x14ac:dyDescent="0.3">
      <c r="F4160" s="124">
        <v>4154</v>
      </c>
      <c r="G4160" s="33">
        <f t="shared" ca="1" si="77"/>
        <v>8.9715470507627341E-3</v>
      </c>
    </row>
    <row r="4161" spans="6:7" x14ac:dyDescent="0.3">
      <c r="F4161" s="124">
        <v>4155</v>
      </c>
      <c r="G4161" s="33">
        <f t="shared" ca="1" si="77"/>
        <v>7.0066575654761903E-2</v>
      </c>
    </row>
    <row r="4162" spans="6:7" x14ac:dyDescent="0.3">
      <c r="F4162" s="124">
        <v>4156</v>
      </c>
      <c r="G4162" s="33">
        <f t="shared" ca="1" si="77"/>
        <v>3.8889802673797033E-2</v>
      </c>
    </row>
    <row r="4163" spans="6:7" x14ac:dyDescent="0.3">
      <c r="F4163" s="124">
        <v>4157</v>
      </c>
      <c r="G4163" s="33">
        <f t="shared" ca="1" si="77"/>
        <v>-2.062666717171965E-2</v>
      </c>
    </row>
    <row r="4164" spans="6:7" x14ac:dyDescent="0.3">
      <c r="F4164" s="124">
        <v>4158</v>
      </c>
      <c r="G4164" s="33">
        <f t="shared" ca="1" si="77"/>
        <v>4.8116408692364568E-2</v>
      </c>
    </row>
    <row r="4165" spans="6:7" x14ac:dyDescent="0.3">
      <c r="F4165" s="124">
        <v>4159</v>
      </c>
      <c r="G4165" s="33">
        <f t="shared" ca="1" si="77"/>
        <v>5.8138048184572091E-2</v>
      </c>
    </row>
    <row r="4166" spans="6:7" x14ac:dyDescent="0.3">
      <c r="F4166" s="124">
        <v>4160</v>
      </c>
      <c r="G4166" s="33">
        <f t="shared" ca="1" si="77"/>
        <v>4.6071402432585222E-2</v>
      </c>
    </row>
    <row r="4167" spans="6:7" x14ac:dyDescent="0.3">
      <c r="F4167" s="124">
        <v>4161</v>
      </c>
      <c r="G4167" s="33">
        <f t="shared" ca="1" si="77"/>
        <v>-6.0486386007207625E-3</v>
      </c>
    </row>
    <row r="4168" spans="6:7" x14ac:dyDescent="0.3">
      <c r="F4168" s="124">
        <v>4162</v>
      </c>
      <c r="G4168" s="33">
        <f t="shared" ref="G4168:G4231" ca="1" si="78">_xlfn.NORM.INV(RAND(),$M$9,$M$10)</f>
        <v>-4.991049971690688E-3</v>
      </c>
    </row>
    <row r="4169" spans="6:7" x14ac:dyDescent="0.3">
      <c r="F4169" s="124">
        <v>4163</v>
      </c>
      <c r="G4169" s="33">
        <f t="shared" ca="1" si="78"/>
        <v>-1.7134262326433183E-2</v>
      </c>
    </row>
    <row r="4170" spans="6:7" x14ac:dyDescent="0.3">
      <c r="F4170" s="124">
        <v>4164</v>
      </c>
      <c r="G4170" s="33">
        <f t="shared" ca="1" si="78"/>
        <v>-8.2184700517660067E-3</v>
      </c>
    </row>
    <row r="4171" spans="6:7" x14ac:dyDescent="0.3">
      <c r="F4171" s="124">
        <v>4165</v>
      </c>
      <c r="G4171" s="33">
        <f t="shared" ca="1" si="78"/>
        <v>-1.4131023417124533E-3</v>
      </c>
    </row>
    <row r="4172" spans="6:7" x14ac:dyDescent="0.3">
      <c r="F4172" s="124">
        <v>4166</v>
      </c>
      <c r="G4172" s="33">
        <f t="shared" ca="1" si="78"/>
        <v>2.3808348082641238E-2</v>
      </c>
    </row>
    <row r="4173" spans="6:7" x14ac:dyDescent="0.3">
      <c r="F4173" s="124">
        <v>4167</v>
      </c>
      <c r="G4173" s="33">
        <f t="shared" ca="1" si="78"/>
        <v>2.8724699923505594E-2</v>
      </c>
    </row>
    <row r="4174" spans="6:7" x14ac:dyDescent="0.3">
      <c r="F4174" s="124">
        <v>4168</v>
      </c>
      <c r="G4174" s="33">
        <f t="shared" ca="1" si="78"/>
        <v>3.6286660433321169E-2</v>
      </c>
    </row>
    <row r="4175" spans="6:7" x14ac:dyDescent="0.3">
      <c r="F4175" s="124">
        <v>4169</v>
      </c>
      <c r="G4175" s="33">
        <f t="shared" ca="1" si="78"/>
        <v>-3.8655379496511239E-2</v>
      </c>
    </row>
    <row r="4176" spans="6:7" x14ac:dyDescent="0.3">
      <c r="F4176" s="124">
        <v>4170</v>
      </c>
      <c r="G4176" s="33">
        <f t="shared" ca="1" si="78"/>
        <v>-9.5330929299649765E-3</v>
      </c>
    </row>
    <row r="4177" spans="6:7" x14ac:dyDescent="0.3">
      <c r="F4177" s="124">
        <v>4171</v>
      </c>
      <c r="G4177" s="33">
        <f t="shared" ca="1" si="78"/>
        <v>-4.5020616062628936E-2</v>
      </c>
    </row>
    <row r="4178" spans="6:7" x14ac:dyDescent="0.3">
      <c r="F4178" s="124">
        <v>4172</v>
      </c>
      <c r="G4178" s="33">
        <f t="shared" ca="1" si="78"/>
        <v>-1.1818106332374814E-2</v>
      </c>
    </row>
    <row r="4179" spans="6:7" x14ac:dyDescent="0.3">
      <c r="F4179" s="124">
        <v>4173</v>
      </c>
      <c r="G4179" s="33">
        <f t="shared" ca="1" si="78"/>
        <v>-6.1329594728525985E-3</v>
      </c>
    </row>
    <row r="4180" spans="6:7" x14ac:dyDescent="0.3">
      <c r="F4180" s="124">
        <v>4174</v>
      </c>
      <c r="G4180" s="33">
        <f t="shared" ca="1" si="78"/>
        <v>-6.5637452139901631E-2</v>
      </c>
    </row>
    <row r="4181" spans="6:7" x14ac:dyDescent="0.3">
      <c r="F4181" s="124">
        <v>4175</v>
      </c>
      <c r="G4181" s="33">
        <f t="shared" ca="1" si="78"/>
        <v>-1.116373954055001E-2</v>
      </c>
    </row>
    <row r="4182" spans="6:7" x14ac:dyDescent="0.3">
      <c r="F4182" s="124">
        <v>4176</v>
      </c>
      <c r="G4182" s="33">
        <f t="shared" ca="1" si="78"/>
        <v>1.2711760522916501E-2</v>
      </c>
    </row>
    <row r="4183" spans="6:7" x14ac:dyDescent="0.3">
      <c r="F4183" s="124">
        <v>4177</v>
      </c>
      <c r="G4183" s="33">
        <f t="shared" ca="1" si="78"/>
        <v>3.2419133793294537E-2</v>
      </c>
    </row>
    <row r="4184" spans="6:7" x14ac:dyDescent="0.3">
      <c r="F4184" s="124">
        <v>4178</v>
      </c>
      <c r="G4184" s="33">
        <f t="shared" ca="1" si="78"/>
        <v>-2.2657283397250309E-2</v>
      </c>
    </row>
    <row r="4185" spans="6:7" x14ac:dyDescent="0.3">
      <c r="F4185" s="124">
        <v>4179</v>
      </c>
      <c r="G4185" s="33">
        <f t="shared" ca="1" si="78"/>
        <v>1.0617329831389945E-2</v>
      </c>
    </row>
    <row r="4186" spans="6:7" x14ac:dyDescent="0.3">
      <c r="F4186" s="124">
        <v>4180</v>
      </c>
      <c r="G4186" s="33">
        <f t="shared" ca="1" si="78"/>
        <v>3.0716178766551767E-2</v>
      </c>
    </row>
    <row r="4187" spans="6:7" x14ac:dyDescent="0.3">
      <c r="F4187" s="124">
        <v>4181</v>
      </c>
      <c r="G4187" s="33">
        <f t="shared" ca="1" si="78"/>
        <v>1.6121291607559866E-2</v>
      </c>
    </row>
    <row r="4188" spans="6:7" x14ac:dyDescent="0.3">
      <c r="F4188" s="124">
        <v>4182</v>
      </c>
      <c r="G4188" s="33">
        <f t="shared" ca="1" si="78"/>
        <v>3.0558518296911311E-2</v>
      </c>
    </row>
    <row r="4189" spans="6:7" x14ac:dyDescent="0.3">
      <c r="F4189" s="124">
        <v>4183</v>
      </c>
      <c r="G4189" s="33">
        <f t="shared" ca="1" si="78"/>
        <v>1.9767775578839998E-2</v>
      </c>
    </row>
    <row r="4190" spans="6:7" x14ac:dyDescent="0.3">
      <c r="F4190" s="124">
        <v>4184</v>
      </c>
      <c r="G4190" s="33">
        <f t="shared" ca="1" si="78"/>
        <v>-4.3160891965882457E-2</v>
      </c>
    </row>
    <row r="4191" spans="6:7" x14ac:dyDescent="0.3">
      <c r="F4191" s="124">
        <v>4185</v>
      </c>
      <c r="G4191" s="33">
        <f t="shared" ca="1" si="78"/>
        <v>-4.8567033678697212E-4</v>
      </c>
    </row>
    <row r="4192" spans="6:7" x14ac:dyDescent="0.3">
      <c r="F4192" s="124">
        <v>4186</v>
      </c>
      <c r="G4192" s="33">
        <f t="shared" ca="1" si="78"/>
        <v>8.070530607062941E-3</v>
      </c>
    </row>
    <row r="4193" spans="6:7" x14ac:dyDescent="0.3">
      <c r="F4193" s="124">
        <v>4187</v>
      </c>
      <c r="G4193" s="33">
        <f t="shared" ca="1" si="78"/>
        <v>2.0749026275561109E-2</v>
      </c>
    </row>
    <row r="4194" spans="6:7" x14ac:dyDescent="0.3">
      <c r="F4194" s="124">
        <v>4188</v>
      </c>
      <c r="G4194" s="33">
        <f t="shared" ca="1" si="78"/>
        <v>-3.3294178726205239E-3</v>
      </c>
    </row>
    <row r="4195" spans="6:7" x14ac:dyDescent="0.3">
      <c r="F4195" s="124">
        <v>4189</v>
      </c>
      <c r="G4195" s="33">
        <f t="shared" ca="1" si="78"/>
        <v>3.6360516032504751E-2</v>
      </c>
    </row>
    <row r="4196" spans="6:7" x14ac:dyDescent="0.3">
      <c r="F4196" s="124">
        <v>4190</v>
      </c>
      <c r="G4196" s="33">
        <f t="shared" ca="1" si="78"/>
        <v>-1.7899639788475561E-2</v>
      </c>
    </row>
    <row r="4197" spans="6:7" x14ac:dyDescent="0.3">
      <c r="F4197" s="124">
        <v>4191</v>
      </c>
      <c r="G4197" s="33">
        <f t="shared" ca="1" si="78"/>
        <v>-2.8712241431499134E-2</v>
      </c>
    </row>
    <row r="4198" spans="6:7" x14ac:dyDescent="0.3">
      <c r="F4198" s="124">
        <v>4192</v>
      </c>
      <c r="G4198" s="33">
        <f t="shared" ca="1" si="78"/>
        <v>-3.4584883585422749E-2</v>
      </c>
    </row>
    <row r="4199" spans="6:7" x14ac:dyDescent="0.3">
      <c r="F4199" s="124">
        <v>4193</v>
      </c>
      <c r="G4199" s="33">
        <f t="shared" ca="1" si="78"/>
        <v>4.4262782952574783E-2</v>
      </c>
    </row>
    <row r="4200" spans="6:7" x14ac:dyDescent="0.3">
      <c r="F4200" s="124">
        <v>4194</v>
      </c>
      <c r="G4200" s="33">
        <f t="shared" ca="1" si="78"/>
        <v>2.4923479830811831E-2</v>
      </c>
    </row>
    <row r="4201" spans="6:7" x14ac:dyDescent="0.3">
      <c r="F4201" s="124">
        <v>4195</v>
      </c>
      <c r="G4201" s="33">
        <f t="shared" ca="1" si="78"/>
        <v>-5.2654074789860401E-2</v>
      </c>
    </row>
    <row r="4202" spans="6:7" x14ac:dyDescent="0.3">
      <c r="F4202" s="124">
        <v>4196</v>
      </c>
      <c r="G4202" s="33">
        <f t="shared" ca="1" si="78"/>
        <v>6.3876191222202908E-2</v>
      </c>
    </row>
    <row r="4203" spans="6:7" x14ac:dyDescent="0.3">
      <c r="F4203" s="124">
        <v>4197</v>
      </c>
      <c r="G4203" s="33">
        <f t="shared" ca="1" si="78"/>
        <v>-3.1878728393933339E-2</v>
      </c>
    </row>
    <row r="4204" spans="6:7" x14ac:dyDescent="0.3">
      <c r="F4204" s="124">
        <v>4198</v>
      </c>
      <c r="G4204" s="33">
        <f t="shared" ca="1" si="78"/>
        <v>-4.9931310995084487E-2</v>
      </c>
    </row>
    <row r="4205" spans="6:7" x14ac:dyDescent="0.3">
      <c r="F4205" s="124">
        <v>4199</v>
      </c>
      <c r="G4205" s="33">
        <f t="shared" ca="1" si="78"/>
        <v>3.2903988685013068E-3</v>
      </c>
    </row>
    <row r="4206" spans="6:7" x14ac:dyDescent="0.3">
      <c r="F4206" s="124">
        <v>4200</v>
      </c>
      <c r="G4206" s="33">
        <f t="shared" ca="1" si="78"/>
        <v>1.9841919544728928E-3</v>
      </c>
    </row>
    <row r="4207" spans="6:7" x14ac:dyDescent="0.3">
      <c r="F4207" s="124">
        <v>4201</v>
      </c>
      <c r="G4207" s="33">
        <f t="shared" ca="1" si="78"/>
        <v>-1.084958261448133E-2</v>
      </c>
    </row>
    <row r="4208" spans="6:7" x14ac:dyDescent="0.3">
      <c r="F4208" s="124">
        <v>4202</v>
      </c>
      <c r="G4208" s="33">
        <f t="shared" ca="1" si="78"/>
        <v>-2.9740544226266093E-2</v>
      </c>
    </row>
    <row r="4209" spans="6:7" x14ac:dyDescent="0.3">
      <c r="F4209" s="124">
        <v>4203</v>
      </c>
      <c r="G4209" s="33">
        <f t="shared" ca="1" si="78"/>
        <v>-8.525542522859586E-3</v>
      </c>
    </row>
    <row r="4210" spans="6:7" x14ac:dyDescent="0.3">
      <c r="F4210" s="124">
        <v>4204</v>
      </c>
      <c r="G4210" s="33">
        <f t="shared" ca="1" si="78"/>
        <v>4.5414886797304974E-2</v>
      </c>
    </row>
    <row r="4211" spans="6:7" x14ac:dyDescent="0.3">
      <c r="F4211" s="124">
        <v>4205</v>
      </c>
      <c r="G4211" s="33">
        <f t="shared" ca="1" si="78"/>
        <v>-2.9319056471351523E-2</v>
      </c>
    </row>
    <row r="4212" spans="6:7" x14ac:dyDescent="0.3">
      <c r="F4212" s="124">
        <v>4206</v>
      </c>
      <c r="G4212" s="33">
        <f t="shared" ca="1" si="78"/>
        <v>-1.033839957830282E-2</v>
      </c>
    </row>
    <row r="4213" spans="6:7" x14ac:dyDescent="0.3">
      <c r="F4213" s="124">
        <v>4207</v>
      </c>
      <c r="G4213" s="33">
        <f t="shared" ca="1" si="78"/>
        <v>-3.4462584599531478E-2</v>
      </c>
    </row>
    <row r="4214" spans="6:7" x14ac:dyDescent="0.3">
      <c r="F4214" s="124">
        <v>4208</v>
      </c>
      <c r="G4214" s="33">
        <f t="shared" ca="1" si="78"/>
        <v>1.8135792975699016E-2</v>
      </c>
    </row>
    <row r="4215" spans="6:7" x14ac:dyDescent="0.3">
      <c r="F4215" s="124">
        <v>4209</v>
      </c>
      <c r="G4215" s="33">
        <f t="shared" ca="1" si="78"/>
        <v>3.9201810154718769E-2</v>
      </c>
    </row>
    <row r="4216" spans="6:7" x14ac:dyDescent="0.3">
      <c r="F4216" s="124">
        <v>4210</v>
      </c>
      <c r="G4216" s="33">
        <f t="shared" ca="1" si="78"/>
        <v>-4.9417706462390959E-3</v>
      </c>
    </row>
    <row r="4217" spans="6:7" x14ac:dyDescent="0.3">
      <c r="F4217" s="124">
        <v>4211</v>
      </c>
      <c r="G4217" s="33">
        <f t="shared" ca="1" si="78"/>
        <v>1.7527363535047294E-3</v>
      </c>
    </row>
    <row r="4218" spans="6:7" x14ac:dyDescent="0.3">
      <c r="F4218" s="124">
        <v>4212</v>
      </c>
      <c r="G4218" s="33">
        <f t="shared" ca="1" si="78"/>
        <v>6.9479013938574148E-3</v>
      </c>
    </row>
    <row r="4219" spans="6:7" x14ac:dyDescent="0.3">
      <c r="F4219" s="124">
        <v>4213</v>
      </c>
      <c r="G4219" s="33">
        <f t="shared" ca="1" si="78"/>
        <v>6.8996916295510193E-3</v>
      </c>
    </row>
    <row r="4220" spans="6:7" x14ac:dyDescent="0.3">
      <c r="F4220" s="124">
        <v>4214</v>
      </c>
      <c r="G4220" s="33">
        <f t="shared" ca="1" si="78"/>
        <v>7.5588237007872964E-3</v>
      </c>
    </row>
    <row r="4221" spans="6:7" x14ac:dyDescent="0.3">
      <c r="F4221" s="124">
        <v>4215</v>
      </c>
      <c r="G4221" s="33">
        <f t="shared" ca="1" si="78"/>
        <v>1.3815974649627246E-2</v>
      </c>
    </row>
    <row r="4222" spans="6:7" x14ac:dyDescent="0.3">
      <c r="F4222" s="124">
        <v>4216</v>
      </c>
      <c r="G4222" s="33">
        <f t="shared" ca="1" si="78"/>
        <v>2.7446961747328014E-2</v>
      </c>
    </row>
    <row r="4223" spans="6:7" x14ac:dyDescent="0.3">
      <c r="F4223" s="124">
        <v>4217</v>
      </c>
      <c r="G4223" s="33">
        <f t="shared" ca="1" si="78"/>
        <v>1.5349794301635057E-2</v>
      </c>
    </row>
    <row r="4224" spans="6:7" x14ac:dyDescent="0.3">
      <c r="F4224" s="124">
        <v>4218</v>
      </c>
      <c r="G4224" s="33">
        <f t="shared" ca="1" si="78"/>
        <v>3.190194228189705E-2</v>
      </c>
    </row>
    <row r="4225" spans="6:7" x14ac:dyDescent="0.3">
      <c r="F4225" s="124">
        <v>4219</v>
      </c>
      <c r="G4225" s="33">
        <f t="shared" ca="1" si="78"/>
        <v>6.1258456953339681E-2</v>
      </c>
    </row>
    <row r="4226" spans="6:7" x14ac:dyDescent="0.3">
      <c r="F4226" s="124">
        <v>4220</v>
      </c>
      <c r="G4226" s="33">
        <f t="shared" ca="1" si="78"/>
        <v>-1.4601635018120635E-2</v>
      </c>
    </row>
    <row r="4227" spans="6:7" x14ac:dyDescent="0.3">
      <c r="F4227" s="124">
        <v>4221</v>
      </c>
      <c r="G4227" s="33">
        <f t="shared" ca="1" si="78"/>
        <v>-2.8647312347239971E-2</v>
      </c>
    </row>
    <row r="4228" spans="6:7" x14ac:dyDescent="0.3">
      <c r="F4228" s="124">
        <v>4222</v>
      </c>
      <c r="G4228" s="33">
        <f t="shared" ca="1" si="78"/>
        <v>1.859974372864362E-2</v>
      </c>
    </row>
    <row r="4229" spans="6:7" x14ac:dyDescent="0.3">
      <c r="F4229" s="124">
        <v>4223</v>
      </c>
      <c r="G4229" s="33">
        <f t="shared" ca="1" si="78"/>
        <v>-3.0331799966083806E-2</v>
      </c>
    </row>
    <row r="4230" spans="6:7" x14ac:dyDescent="0.3">
      <c r="F4230" s="124">
        <v>4224</v>
      </c>
      <c r="G4230" s="33">
        <f t="shared" ca="1" si="78"/>
        <v>-7.3292392389696396E-3</v>
      </c>
    </row>
    <row r="4231" spans="6:7" x14ac:dyDescent="0.3">
      <c r="F4231" s="124">
        <v>4225</v>
      </c>
      <c r="G4231" s="33">
        <f t="shared" ca="1" si="78"/>
        <v>-7.4776860739948344E-3</v>
      </c>
    </row>
    <row r="4232" spans="6:7" x14ac:dyDescent="0.3">
      <c r="F4232" s="124">
        <v>4226</v>
      </c>
      <c r="G4232" s="33">
        <f t="shared" ref="G4232:G4295" ca="1" si="79">_xlfn.NORM.INV(RAND(),$M$9,$M$10)</f>
        <v>5.8883761383780008E-3</v>
      </c>
    </row>
    <row r="4233" spans="6:7" x14ac:dyDescent="0.3">
      <c r="F4233" s="124">
        <v>4227</v>
      </c>
      <c r="G4233" s="33">
        <f t="shared" ca="1" si="79"/>
        <v>3.5022027277524299E-2</v>
      </c>
    </row>
    <row r="4234" spans="6:7" x14ac:dyDescent="0.3">
      <c r="F4234" s="124">
        <v>4228</v>
      </c>
      <c r="G4234" s="33">
        <f t="shared" ca="1" si="79"/>
        <v>4.8916351660227998E-3</v>
      </c>
    </row>
    <row r="4235" spans="6:7" x14ac:dyDescent="0.3">
      <c r="F4235" s="124">
        <v>4229</v>
      </c>
      <c r="G4235" s="33">
        <f t="shared" ca="1" si="79"/>
        <v>1.413983284671394E-2</v>
      </c>
    </row>
    <row r="4236" spans="6:7" x14ac:dyDescent="0.3">
      <c r="F4236" s="124">
        <v>4230</v>
      </c>
      <c r="G4236" s="33">
        <f t="shared" ca="1" si="79"/>
        <v>-6.4332469872417197E-2</v>
      </c>
    </row>
    <row r="4237" spans="6:7" x14ac:dyDescent="0.3">
      <c r="F4237" s="124">
        <v>4231</v>
      </c>
      <c r="G4237" s="33">
        <f t="shared" ca="1" si="79"/>
        <v>1.8608039304256463E-3</v>
      </c>
    </row>
    <row r="4238" spans="6:7" x14ac:dyDescent="0.3">
      <c r="F4238" s="124">
        <v>4232</v>
      </c>
      <c r="G4238" s="33">
        <f t="shared" ca="1" si="79"/>
        <v>1.1371561049891191E-2</v>
      </c>
    </row>
    <row r="4239" spans="6:7" x14ac:dyDescent="0.3">
      <c r="F4239" s="124">
        <v>4233</v>
      </c>
      <c r="G4239" s="33">
        <f t="shared" ca="1" si="79"/>
        <v>6.967071657290172E-2</v>
      </c>
    </row>
    <row r="4240" spans="6:7" x14ac:dyDescent="0.3">
      <c r="F4240" s="124">
        <v>4234</v>
      </c>
      <c r="G4240" s="33">
        <f t="shared" ca="1" si="79"/>
        <v>4.4855577738883129E-2</v>
      </c>
    </row>
    <row r="4241" spans="6:7" x14ac:dyDescent="0.3">
      <c r="F4241" s="124">
        <v>4235</v>
      </c>
      <c r="G4241" s="33">
        <f t="shared" ca="1" si="79"/>
        <v>2.81513432451772E-2</v>
      </c>
    </row>
    <row r="4242" spans="6:7" x14ac:dyDescent="0.3">
      <c r="F4242" s="124">
        <v>4236</v>
      </c>
      <c r="G4242" s="33">
        <f t="shared" ca="1" si="79"/>
        <v>-1.2455594236712796E-2</v>
      </c>
    </row>
    <row r="4243" spans="6:7" x14ac:dyDescent="0.3">
      <c r="F4243" s="124">
        <v>4237</v>
      </c>
      <c r="G4243" s="33">
        <f t="shared" ca="1" si="79"/>
        <v>-1.6670079970099873E-2</v>
      </c>
    </row>
    <row r="4244" spans="6:7" x14ac:dyDescent="0.3">
      <c r="F4244" s="124">
        <v>4238</v>
      </c>
      <c r="G4244" s="33">
        <f t="shared" ca="1" si="79"/>
        <v>2.2294069381823597E-2</v>
      </c>
    </row>
    <row r="4245" spans="6:7" x14ac:dyDescent="0.3">
      <c r="F4245" s="124">
        <v>4239</v>
      </c>
      <c r="G4245" s="33">
        <f t="shared" ca="1" si="79"/>
        <v>1.1151648201363256E-2</v>
      </c>
    </row>
    <row r="4246" spans="6:7" x14ac:dyDescent="0.3">
      <c r="F4246" s="124">
        <v>4240</v>
      </c>
      <c r="G4246" s="33">
        <f t="shared" ca="1" si="79"/>
        <v>4.6762396656643314E-2</v>
      </c>
    </row>
    <row r="4247" spans="6:7" x14ac:dyDescent="0.3">
      <c r="F4247" s="124">
        <v>4241</v>
      </c>
      <c r="G4247" s="33">
        <f t="shared" ca="1" si="79"/>
        <v>1.848457198581667E-2</v>
      </c>
    </row>
    <row r="4248" spans="6:7" x14ac:dyDescent="0.3">
      <c r="F4248" s="124">
        <v>4242</v>
      </c>
      <c r="G4248" s="33">
        <f t="shared" ca="1" si="79"/>
        <v>-1.3481285446905505E-2</v>
      </c>
    </row>
    <row r="4249" spans="6:7" x14ac:dyDescent="0.3">
      <c r="F4249" s="124">
        <v>4243</v>
      </c>
      <c r="G4249" s="33">
        <f t="shared" ca="1" si="79"/>
        <v>4.4813631219620328E-2</v>
      </c>
    </row>
    <row r="4250" spans="6:7" x14ac:dyDescent="0.3">
      <c r="F4250" s="124">
        <v>4244</v>
      </c>
      <c r="G4250" s="33">
        <f t="shared" ca="1" si="79"/>
        <v>1.0883332296302298E-2</v>
      </c>
    </row>
    <row r="4251" spans="6:7" x14ac:dyDescent="0.3">
      <c r="F4251" s="124">
        <v>4245</v>
      </c>
      <c r="G4251" s="33">
        <f t="shared" ca="1" si="79"/>
        <v>4.9391494023422328E-2</v>
      </c>
    </row>
    <row r="4252" spans="6:7" x14ac:dyDescent="0.3">
      <c r="F4252" s="124">
        <v>4246</v>
      </c>
      <c r="G4252" s="33">
        <f t="shared" ca="1" si="79"/>
        <v>-2.740868192088404E-2</v>
      </c>
    </row>
    <row r="4253" spans="6:7" x14ac:dyDescent="0.3">
      <c r="F4253" s="124">
        <v>4247</v>
      </c>
      <c r="G4253" s="33">
        <f t="shared" ca="1" si="79"/>
        <v>3.6195104772543327E-2</v>
      </c>
    </row>
    <row r="4254" spans="6:7" x14ac:dyDescent="0.3">
      <c r="F4254" s="124">
        <v>4248</v>
      </c>
      <c r="G4254" s="33">
        <f t="shared" ca="1" si="79"/>
        <v>9.5177519162115021E-3</v>
      </c>
    </row>
    <row r="4255" spans="6:7" x14ac:dyDescent="0.3">
      <c r="F4255" s="124">
        <v>4249</v>
      </c>
      <c r="G4255" s="33">
        <f t="shared" ca="1" si="79"/>
        <v>-2.7425229225671536E-3</v>
      </c>
    </row>
    <row r="4256" spans="6:7" x14ac:dyDescent="0.3">
      <c r="F4256" s="124">
        <v>4250</v>
      </c>
      <c r="G4256" s="33">
        <f t="shared" ca="1" si="79"/>
        <v>1.464171498326685E-2</v>
      </c>
    </row>
    <row r="4257" spans="6:7" x14ac:dyDescent="0.3">
      <c r="F4257" s="124">
        <v>4251</v>
      </c>
      <c r="G4257" s="33">
        <f t="shared" ca="1" si="79"/>
        <v>1.1095783164745181E-2</v>
      </c>
    </row>
    <row r="4258" spans="6:7" x14ac:dyDescent="0.3">
      <c r="F4258" s="124">
        <v>4252</v>
      </c>
      <c r="G4258" s="33">
        <f t="shared" ca="1" si="79"/>
        <v>-4.1847473916323583E-2</v>
      </c>
    </row>
    <row r="4259" spans="6:7" x14ac:dyDescent="0.3">
      <c r="F4259" s="124">
        <v>4253</v>
      </c>
      <c r="G4259" s="33">
        <f t="shared" ca="1" si="79"/>
        <v>-2.9219415360038758E-2</v>
      </c>
    </row>
    <row r="4260" spans="6:7" x14ac:dyDescent="0.3">
      <c r="F4260" s="124">
        <v>4254</v>
      </c>
      <c r="G4260" s="33">
        <f t="shared" ca="1" si="79"/>
        <v>3.4901152696260769E-2</v>
      </c>
    </row>
    <row r="4261" spans="6:7" x14ac:dyDescent="0.3">
      <c r="F4261" s="124">
        <v>4255</v>
      </c>
      <c r="G4261" s="33">
        <f t="shared" ca="1" si="79"/>
        <v>-2.3389249866819173E-2</v>
      </c>
    </row>
    <row r="4262" spans="6:7" x14ac:dyDescent="0.3">
      <c r="F4262" s="124">
        <v>4256</v>
      </c>
      <c r="G4262" s="33">
        <f t="shared" ca="1" si="79"/>
        <v>1.2537518709128739E-2</v>
      </c>
    </row>
    <row r="4263" spans="6:7" x14ac:dyDescent="0.3">
      <c r="F4263" s="124">
        <v>4257</v>
      </c>
      <c r="G4263" s="33">
        <f t="shared" ca="1" si="79"/>
        <v>-1.2200630509663482E-2</v>
      </c>
    </row>
    <row r="4264" spans="6:7" x14ac:dyDescent="0.3">
      <c r="F4264" s="124">
        <v>4258</v>
      </c>
      <c r="G4264" s="33">
        <f t="shared" ca="1" si="79"/>
        <v>-1.6120595680124333E-2</v>
      </c>
    </row>
    <row r="4265" spans="6:7" x14ac:dyDescent="0.3">
      <c r="F4265" s="124">
        <v>4259</v>
      </c>
      <c r="G4265" s="33">
        <f t="shared" ca="1" si="79"/>
        <v>5.1721070937097741E-2</v>
      </c>
    </row>
    <row r="4266" spans="6:7" x14ac:dyDescent="0.3">
      <c r="F4266" s="124">
        <v>4260</v>
      </c>
      <c r="G4266" s="33">
        <f t="shared" ca="1" si="79"/>
        <v>-1.7017903490842659E-2</v>
      </c>
    </row>
    <row r="4267" spans="6:7" x14ac:dyDescent="0.3">
      <c r="F4267" s="124">
        <v>4261</v>
      </c>
      <c r="G4267" s="33">
        <f t="shared" ca="1" si="79"/>
        <v>-2.4611157359266087E-2</v>
      </c>
    </row>
    <row r="4268" spans="6:7" x14ac:dyDescent="0.3">
      <c r="F4268" s="124">
        <v>4262</v>
      </c>
      <c r="G4268" s="33">
        <f t="shared" ca="1" si="79"/>
        <v>2.7205881445888792E-2</v>
      </c>
    </row>
    <row r="4269" spans="6:7" x14ac:dyDescent="0.3">
      <c r="F4269" s="124">
        <v>4263</v>
      </c>
      <c r="G4269" s="33">
        <f t="shared" ca="1" si="79"/>
        <v>-1.1358397113114586E-2</v>
      </c>
    </row>
    <row r="4270" spans="6:7" x14ac:dyDescent="0.3">
      <c r="F4270" s="124">
        <v>4264</v>
      </c>
      <c r="G4270" s="33">
        <f t="shared" ca="1" si="79"/>
        <v>-3.3181067778136611E-3</v>
      </c>
    </row>
    <row r="4271" spans="6:7" x14ac:dyDescent="0.3">
      <c r="F4271" s="124">
        <v>4265</v>
      </c>
      <c r="G4271" s="33">
        <f t="shared" ca="1" si="79"/>
        <v>1.1103728805145093E-2</v>
      </c>
    </row>
    <row r="4272" spans="6:7" x14ac:dyDescent="0.3">
      <c r="F4272" s="124">
        <v>4266</v>
      </c>
      <c r="G4272" s="33">
        <f t="shared" ca="1" si="79"/>
        <v>-2.9941397205721261E-3</v>
      </c>
    </row>
    <row r="4273" spans="6:7" x14ac:dyDescent="0.3">
      <c r="F4273" s="124">
        <v>4267</v>
      </c>
      <c r="G4273" s="33">
        <f t="shared" ca="1" si="79"/>
        <v>-1.0285236687979298E-2</v>
      </c>
    </row>
    <row r="4274" spans="6:7" x14ac:dyDescent="0.3">
      <c r="F4274" s="124">
        <v>4268</v>
      </c>
      <c r="G4274" s="33">
        <f t="shared" ca="1" si="79"/>
        <v>2.3483926794329178E-2</v>
      </c>
    </row>
    <row r="4275" spans="6:7" x14ac:dyDescent="0.3">
      <c r="F4275" s="124">
        <v>4269</v>
      </c>
      <c r="G4275" s="33">
        <f t="shared" ca="1" si="79"/>
        <v>2.369424240869538E-2</v>
      </c>
    </row>
    <row r="4276" spans="6:7" x14ac:dyDescent="0.3">
      <c r="F4276" s="124">
        <v>4270</v>
      </c>
      <c r="G4276" s="33">
        <f t="shared" ca="1" si="79"/>
        <v>4.1944470741814455E-2</v>
      </c>
    </row>
    <row r="4277" spans="6:7" x14ac:dyDescent="0.3">
      <c r="F4277" s="124">
        <v>4271</v>
      </c>
      <c r="G4277" s="33">
        <f t="shared" ca="1" si="79"/>
        <v>-2.1231684524181008E-2</v>
      </c>
    </row>
    <row r="4278" spans="6:7" x14ac:dyDescent="0.3">
      <c r="F4278" s="124">
        <v>4272</v>
      </c>
      <c r="G4278" s="33">
        <f t="shared" ca="1" si="79"/>
        <v>-6.5809057047291749E-3</v>
      </c>
    </row>
    <row r="4279" spans="6:7" x14ac:dyDescent="0.3">
      <c r="F4279" s="124">
        <v>4273</v>
      </c>
      <c r="G4279" s="33">
        <f t="shared" ca="1" si="79"/>
        <v>-2.128405576121855E-2</v>
      </c>
    </row>
    <row r="4280" spans="6:7" x14ac:dyDescent="0.3">
      <c r="F4280" s="124">
        <v>4274</v>
      </c>
      <c r="G4280" s="33">
        <f t="shared" ca="1" si="79"/>
        <v>1.7996603075372111E-2</v>
      </c>
    </row>
    <row r="4281" spans="6:7" x14ac:dyDescent="0.3">
      <c r="F4281" s="124">
        <v>4275</v>
      </c>
      <c r="G4281" s="33">
        <f t="shared" ca="1" si="79"/>
        <v>-5.866486469483994E-2</v>
      </c>
    </row>
    <row r="4282" spans="6:7" x14ac:dyDescent="0.3">
      <c r="F4282" s="124">
        <v>4276</v>
      </c>
      <c r="G4282" s="33">
        <f t="shared" ca="1" si="79"/>
        <v>2.0798162409241573E-2</v>
      </c>
    </row>
    <row r="4283" spans="6:7" x14ac:dyDescent="0.3">
      <c r="F4283" s="124">
        <v>4277</v>
      </c>
      <c r="G4283" s="33">
        <f t="shared" ca="1" si="79"/>
        <v>-2.6706458297789674E-2</v>
      </c>
    </row>
    <row r="4284" spans="6:7" x14ac:dyDescent="0.3">
      <c r="F4284" s="124">
        <v>4278</v>
      </c>
      <c r="G4284" s="33">
        <f t="shared" ca="1" si="79"/>
        <v>3.4105080374091296E-2</v>
      </c>
    </row>
    <row r="4285" spans="6:7" x14ac:dyDescent="0.3">
      <c r="F4285" s="124">
        <v>4279</v>
      </c>
      <c r="G4285" s="33">
        <f t="shared" ca="1" si="79"/>
        <v>-3.734821513591665E-2</v>
      </c>
    </row>
    <row r="4286" spans="6:7" x14ac:dyDescent="0.3">
      <c r="F4286" s="124">
        <v>4280</v>
      </c>
      <c r="G4286" s="33">
        <f t="shared" ca="1" si="79"/>
        <v>1.7065250288739509E-2</v>
      </c>
    </row>
    <row r="4287" spans="6:7" x14ac:dyDescent="0.3">
      <c r="F4287" s="124">
        <v>4281</v>
      </c>
      <c r="G4287" s="33">
        <f t="shared" ca="1" si="79"/>
        <v>-2.0527740310381543E-2</v>
      </c>
    </row>
    <row r="4288" spans="6:7" x14ac:dyDescent="0.3">
      <c r="F4288" s="124">
        <v>4282</v>
      </c>
      <c r="G4288" s="33">
        <f t="shared" ca="1" si="79"/>
        <v>4.2396545769702289E-2</v>
      </c>
    </row>
    <row r="4289" spans="6:7" x14ac:dyDescent="0.3">
      <c r="F4289" s="124">
        <v>4283</v>
      </c>
      <c r="G4289" s="33">
        <f t="shared" ca="1" si="79"/>
        <v>-5.6355831468940271E-2</v>
      </c>
    </row>
    <row r="4290" spans="6:7" x14ac:dyDescent="0.3">
      <c r="F4290" s="124">
        <v>4284</v>
      </c>
      <c r="G4290" s="33">
        <f t="shared" ca="1" si="79"/>
        <v>4.8432055396306795E-2</v>
      </c>
    </row>
    <row r="4291" spans="6:7" x14ac:dyDescent="0.3">
      <c r="F4291" s="124">
        <v>4285</v>
      </c>
      <c r="G4291" s="33">
        <f t="shared" ca="1" si="79"/>
        <v>-3.4485710925380251E-3</v>
      </c>
    </row>
    <row r="4292" spans="6:7" x14ac:dyDescent="0.3">
      <c r="F4292" s="124">
        <v>4286</v>
      </c>
      <c r="G4292" s="33">
        <f t="shared" ca="1" si="79"/>
        <v>2.3894245824390658E-2</v>
      </c>
    </row>
    <row r="4293" spans="6:7" x14ac:dyDescent="0.3">
      <c r="F4293" s="124">
        <v>4287</v>
      </c>
      <c r="G4293" s="33">
        <f t="shared" ca="1" si="79"/>
        <v>4.9663115247629459E-3</v>
      </c>
    </row>
    <row r="4294" spans="6:7" x14ac:dyDescent="0.3">
      <c r="F4294" s="124">
        <v>4288</v>
      </c>
      <c r="G4294" s="33">
        <f t="shared" ca="1" si="79"/>
        <v>6.0158405345668844E-3</v>
      </c>
    </row>
    <row r="4295" spans="6:7" x14ac:dyDescent="0.3">
      <c r="F4295" s="124">
        <v>4289</v>
      </c>
      <c r="G4295" s="33">
        <f t="shared" ca="1" si="79"/>
        <v>2.0966554502464272E-3</v>
      </c>
    </row>
    <row r="4296" spans="6:7" x14ac:dyDescent="0.3">
      <c r="F4296" s="124">
        <v>4290</v>
      </c>
      <c r="G4296" s="33">
        <f t="shared" ref="G4296:G4359" ca="1" si="80">_xlfn.NORM.INV(RAND(),$M$9,$M$10)</f>
        <v>4.2508548170680671E-2</v>
      </c>
    </row>
    <row r="4297" spans="6:7" x14ac:dyDescent="0.3">
      <c r="F4297" s="124">
        <v>4291</v>
      </c>
      <c r="G4297" s="33">
        <f t="shared" ca="1" si="80"/>
        <v>-5.3638172257571545E-2</v>
      </c>
    </row>
    <row r="4298" spans="6:7" x14ac:dyDescent="0.3">
      <c r="F4298" s="124">
        <v>4292</v>
      </c>
      <c r="G4298" s="33">
        <f t="shared" ca="1" si="80"/>
        <v>-2.8124338034790922E-2</v>
      </c>
    </row>
    <row r="4299" spans="6:7" x14ac:dyDescent="0.3">
      <c r="F4299" s="124">
        <v>4293</v>
      </c>
      <c r="G4299" s="33">
        <f t="shared" ca="1" si="80"/>
        <v>-1.4569026422129941E-3</v>
      </c>
    </row>
    <row r="4300" spans="6:7" x14ac:dyDescent="0.3">
      <c r="F4300" s="124">
        <v>4294</v>
      </c>
      <c r="G4300" s="33">
        <f t="shared" ca="1" si="80"/>
        <v>1.6414090825252872E-2</v>
      </c>
    </row>
    <row r="4301" spans="6:7" x14ac:dyDescent="0.3">
      <c r="F4301" s="124">
        <v>4295</v>
      </c>
      <c r="G4301" s="33">
        <f t="shared" ca="1" si="80"/>
        <v>8.5135799892276337E-4</v>
      </c>
    </row>
    <row r="4302" spans="6:7" x14ac:dyDescent="0.3">
      <c r="F4302" s="124">
        <v>4296</v>
      </c>
      <c r="G4302" s="33">
        <f t="shared" ca="1" si="80"/>
        <v>1.763621511520078E-2</v>
      </c>
    </row>
    <row r="4303" spans="6:7" x14ac:dyDescent="0.3">
      <c r="F4303" s="124">
        <v>4297</v>
      </c>
      <c r="G4303" s="33">
        <f t="shared" ca="1" si="80"/>
        <v>5.9837660964570053E-3</v>
      </c>
    </row>
    <row r="4304" spans="6:7" x14ac:dyDescent="0.3">
      <c r="F4304" s="124">
        <v>4298</v>
      </c>
      <c r="G4304" s="33">
        <f t="shared" ca="1" si="80"/>
        <v>4.1656054363468836E-2</v>
      </c>
    </row>
    <row r="4305" spans="6:7" x14ac:dyDescent="0.3">
      <c r="F4305" s="124">
        <v>4299</v>
      </c>
      <c r="G4305" s="33">
        <f t="shared" ca="1" si="80"/>
        <v>-2.516157122148889E-2</v>
      </c>
    </row>
    <row r="4306" spans="6:7" x14ac:dyDescent="0.3">
      <c r="F4306" s="124">
        <v>4300</v>
      </c>
      <c r="G4306" s="33">
        <f t="shared" ca="1" si="80"/>
        <v>-2.6632244058695742E-2</v>
      </c>
    </row>
    <row r="4307" spans="6:7" x14ac:dyDescent="0.3">
      <c r="F4307" s="124">
        <v>4301</v>
      </c>
      <c r="G4307" s="33">
        <f t="shared" ca="1" si="80"/>
        <v>-8.0682739406928522E-2</v>
      </c>
    </row>
    <row r="4308" spans="6:7" x14ac:dyDescent="0.3">
      <c r="F4308" s="124">
        <v>4302</v>
      </c>
      <c r="G4308" s="33">
        <f t="shared" ca="1" si="80"/>
        <v>5.6837620093541687E-3</v>
      </c>
    </row>
    <row r="4309" spans="6:7" x14ac:dyDescent="0.3">
      <c r="F4309" s="124">
        <v>4303</v>
      </c>
      <c r="G4309" s="33">
        <f t="shared" ca="1" si="80"/>
        <v>1.2601587258864605E-3</v>
      </c>
    </row>
    <row r="4310" spans="6:7" x14ac:dyDescent="0.3">
      <c r="F4310" s="124">
        <v>4304</v>
      </c>
      <c r="G4310" s="33">
        <f t="shared" ca="1" si="80"/>
        <v>6.7273267947013096E-3</v>
      </c>
    </row>
    <row r="4311" spans="6:7" x14ac:dyDescent="0.3">
      <c r="F4311" s="124">
        <v>4305</v>
      </c>
      <c r="G4311" s="33">
        <f t="shared" ca="1" si="80"/>
        <v>-2.744619286271004E-2</v>
      </c>
    </row>
    <row r="4312" spans="6:7" x14ac:dyDescent="0.3">
      <c r="F4312" s="124">
        <v>4306</v>
      </c>
      <c r="G4312" s="33">
        <f t="shared" ca="1" si="80"/>
        <v>3.0435220598105982E-3</v>
      </c>
    </row>
    <row r="4313" spans="6:7" x14ac:dyDescent="0.3">
      <c r="F4313" s="124">
        <v>4307</v>
      </c>
      <c r="G4313" s="33">
        <f t="shared" ca="1" si="80"/>
        <v>2.0171230586252319E-2</v>
      </c>
    </row>
    <row r="4314" spans="6:7" x14ac:dyDescent="0.3">
      <c r="F4314" s="124">
        <v>4308</v>
      </c>
      <c r="G4314" s="33">
        <f t="shared" ca="1" si="80"/>
        <v>5.2654220894735055E-3</v>
      </c>
    </row>
    <row r="4315" spans="6:7" x14ac:dyDescent="0.3">
      <c r="F4315" s="124">
        <v>4309</v>
      </c>
      <c r="G4315" s="33">
        <f t="shared" ca="1" si="80"/>
        <v>5.8910706218591097E-2</v>
      </c>
    </row>
    <row r="4316" spans="6:7" x14ac:dyDescent="0.3">
      <c r="F4316" s="124">
        <v>4310</v>
      </c>
      <c r="G4316" s="33">
        <f t="shared" ca="1" si="80"/>
        <v>-1.146660246902283E-2</v>
      </c>
    </row>
    <row r="4317" spans="6:7" x14ac:dyDescent="0.3">
      <c r="F4317" s="124">
        <v>4311</v>
      </c>
      <c r="G4317" s="33">
        <f t="shared" ca="1" si="80"/>
        <v>-1.704492089714298E-2</v>
      </c>
    </row>
    <row r="4318" spans="6:7" x14ac:dyDescent="0.3">
      <c r="F4318" s="124">
        <v>4312</v>
      </c>
      <c r="G4318" s="33">
        <f t="shared" ca="1" si="80"/>
        <v>-1.5561469318140092E-2</v>
      </c>
    </row>
    <row r="4319" spans="6:7" x14ac:dyDescent="0.3">
      <c r="F4319" s="124">
        <v>4313</v>
      </c>
      <c r="G4319" s="33">
        <f t="shared" ca="1" si="80"/>
        <v>-1.3271894582115387E-2</v>
      </c>
    </row>
    <row r="4320" spans="6:7" x14ac:dyDescent="0.3">
      <c r="F4320" s="124">
        <v>4314</v>
      </c>
      <c r="G4320" s="33">
        <f t="shared" ca="1" si="80"/>
        <v>2.1286132155758305E-2</v>
      </c>
    </row>
    <row r="4321" spans="6:7" x14ac:dyDescent="0.3">
      <c r="F4321" s="124">
        <v>4315</v>
      </c>
      <c r="G4321" s="33">
        <f t="shared" ca="1" si="80"/>
        <v>-2.8783823549944725E-2</v>
      </c>
    </row>
    <row r="4322" spans="6:7" x14ac:dyDescent="0.3">
      <c r="F4322" s="124">
        <v>4316</v>
      </c>
      <c r="G4322" s="33">
        <f t="shared" ca="1" si="80"/>
        <v>-5.412307926402686E-2</v>
      </c>
    </row>
    <row r="4323" spans="6:7" x14ac:dyDescent="0.3">
      <c r="F4323" s="124">
        <v>4317</v>
      </c>
      <c r="G4323" s="33">
        <f t="shared" ca="1" si="80"/>
        <v>5.1864614498993364E-2</v>
      </c>
    </row>
    <row r="4324" spans="6:7" x14ac:dyDescent="0.3">
      <c r="F4324" s="124">
        <v>4318</v>
      </c>
      <c r="G4324" s="33">
        <f t="shared" ca="1" si="80"/>
        <v>3.1649571744056637E-2</v>
      </c>
    </row>
    <row r="4325" spans="6:7" x14ac:dyDescent="0.3">
      <c r="F4325" s="124">
        <v>4319</v>
      </c>
      <c r="G4325" s="33">
        <f t="shared" ca="1" si="80"/>
        <v>-4.9071695766578299E-2</v>
      </c>
    </row>
    <row r="4326" spans="6:7" x14ac:dyDescent="0.3">
      <c r="F4326" s="124">
        <v>4320</v>
      </c>
      <c r="G4326" s="33">
        <f t="shared" ca="1" si="80"/>
        <v>1.6242349462098737E-2</v>
      </c>
    </row>
    <row r="4327" spans="6:7" x14ac:dyDescent="0.3">
      <c r="F4327" s="124">
        <v>4321</v>
      </c>
      <c r="G4327" s="33">
        <f t="shared" ca="1" si="80"/>
        <v>-2.3774688707276684E-2</v>
      </c>
    </row>
    <row r="4328" spans="6:7" x14ac:dyDescent="0.3">
      <c r="F4328" s="124">
        <v>4322</v>
      </c>
      <c r="G4328" s="33">
        <f t="shared" ca="1" si="80"/>
        <v>1.9336732123164339E-3</v>
      </c>
    </row>
    <row r="4329" spans="6:7" x14ac:dyDescent="0.3">
      <c r="F4329" s="124">
        <v>4323</v>
      </c>
      <c r="G4329" s="33">
        <f t="shared" ca="1" si="80"/>
        <v>-1.6380894731393477E-2</v>
      </c>
    </row>
    <row r="4330" spans="6:7" x14ac:dyDescent="0.3">
      <c r="F4330" s="124">
        <v>4324</v>
      </c>
      <c r="G4330" s="33">
        <f t="shared" ca="1" si="80"/>
        <v>2.3349226701688132E-2</v>
      </c>
    </row>
    <row r="4331" spans="6:7" x14ac:dyDescent="0.3">
      <c r="F4331" s="124">
        <v>4325</v>
      </c>
      <c r="G4331" s="33">
        <f t="shared" ca="1" si="80"/>
        <v>2.4239225062461872E-2</v>
      </c>
    </row>
    <row r="4332" spans="6:7" x14ac:dyDescent="0.3">
      <c r="F4332" s="124">
        <v>4326</v>
      </c>
      <c r="G4332" s="33">
        <f t="shared" ca="1" si="80"/>
        <v>-3.7798881698745755E-2</v>
      </c>
    </row>
    <row r="4333" spans="6:7" x14ac:dyDescent="0.3">
      <c r="F4333" s="124">
        <v>4327</v>
      </c>
      <c r="G4333" s="33">
        <f t="shared" ca="1" si="80"/>
        <v>-7.4809534929650571E-3</v>
      </c>
    </row>
    <row r="4334" spans="6:7" x14ac:dyDescent="0.3">
      <c r="F4334" s="124">
        <v>4328</v>
      </c>
      <c r="G4334" s="33">
        <f t="shared" ca="1" si="80"/>
        <v>5.3255049021596258E-2</v>
      </c>
    </row>
    <row r="4335" spans="6:7" x14ac:dyDescent="0.3">
      <c r="F4335" s="124">
        <v>4329</v>
      </c>
      <c r="G4335" s="33">
        <f t="shared" ca="1" si="80"/>
        <v>-5.1775456625757409E-2</v>
      </c>
    </row>
    <row r="4336" spans="6:7" x14ac:dyDescent="0.3">
      <c r="F4336" s="124">
        <v>4330</v>
      </c>
      <c r="G4336" s="33">
        <f t="shared" ca="1" si="80"/>
        <v>-7.2950609098055745E-3</v>
      </c>
    </row>
    <row r="4337" spans="6:7" x14ac:dyDescent="0.3">
      <c r="F4337" s="124">
        <v>4331</v>
      </c>
      <c r="G4337" s="33">
        <f t="shared" ca="1" si="80"/>
        <v>3.337490879768417E-2</v>
      </c>
    </row>
    <row r="4338" spans="6:7" x14ac:dyDescent="0.3">
      <c r="F4338" s="124">
        <v>4332</v>
      </c>
      <c r="G4338" s="33">
        <f t="shared" ca="1" si="80"/>
        <v>1.5367325401482269E-2</v>
      </c>
    </row>
    <row r="4339" spans="6:7" x14ac:dyDescent="0.3">
      <c r="F4339" s="124">
        <v>4333</v>
      </c>
      <c r="G4339" s="33">
        <f t="shared" ca="1" si="80"/>
        <v>3.2411716598150521E-3</v>
      </c>
    </row>
    <row r="4340" spans="6:7" x14ac:dyDescent="0.3">
      <c r="F4340" s="124">
        <v>4334</v>
      </c>
      <c r="G4340" s="33">
        <f t="shared" ca="1" si="80"/>
        <v>-6.5365882594476971E-4</v>
      </c>
    </row>
    <row r="4341" spans="6:7" x14ac:dyDescent="0.3">
      <c r="F4341" s="124">
        <v>4335</v>
      </c>
      <c r="G4341" s="33">
        <f t="shared" ca="1" si="80"/>
        <v>2.6874160078541535E-2</v>
      </c>
    </row>
    <row r="4342" spans="6:7" x14ac:dyDescent="0.3">
      <c r="F4342" s="124">
        <v>4336</v>
      </c>
      <c r="G4342" s="33">
        <f t="shared" ca="1" si="80"/>
        <v>4.9064641285061265E-2</v>
      </c>
    </row>
    <row r="4343" spans="6:7" x14ac:dyDescent="0.3">
      <c r="F4343" s="124">
        <v>4337</v>
      </c>
      <c r="G4343" s="33">
        <f t="shared" ca="1" si="80"/>
        <v>-3.2334829403113996E-2</v>
      </c>
    </row>
    <row r="4344" spans="6:7" x14ac:dyDescent="0.3">
      <c r="F4344" s="124">
        <v>4338</v>
      </c>
      <c r="G4344" s="33">
        <f t="shared" ca="1" si="80"/>
        <v>5.9378406465843414E-2</v>
      </c>
    </row>
    <row r="4345" spans="6:7" x14ac:dyDescent="0.3">
      <c r="F4345" s="124">
        <v>4339</v>
      </c>
      <c r="G4345" s="33">
        <f t="shared" ca="1" si="80"/>
        <v>-3.6871294431634116E-2</v>
      </c>
    </row>
    <row r="4346" spans="6:7" x14ac:dyDescent="0.3">
      <c r="F4346" s="124">
        <v>4340</v>
      </c>
      <c r="G4346" s="33">
        <f t="shared" ca="1" si="80"/>
        <v>-5.9295015047043783E-4</v>
      </c>
    </row>
    <row r="4347" spans="6:7" x14ac:dyDescent="0.3">
      <c r="F4347" s="124">
        <v>4341</v>
      </c>
      <c r="G4347" s="33">
        <f t="shared" ca="1" si="80"/>
        <v>-1.5036386786635228E-2</v>
      </c>
    </row>
    <row r="4348" spans="6:7" x14ac:dyDescent="0.3">
      <c r="F4348" s="124">
        <v>4342</v>
      </c>
      <c r="G4348" s="33">
        <f t="shared" ca="1" si="80"/>
        <v>1.6313924912806636E-2</v>
      </c>
    </row>
    <row r="4349" spans="6:7" x14ac:dyDescent="0.3">
      <c r="F4349" s="124">
        <v>4343</v>
      </c>
      <c r="G4349" s="33">
        <f t="shared" ca="1" si="80"/>
        <v>-1.4945793508801514E-2</v>
      </c>
    </row>
    <row r="4350" spans="6:7" x14ac:dyDescent="0.3">
      <c r="F4350" s="124">
        <v>4344</v>
      </c>
      <c r="G4350" s="33">
        <f t="shared" ca="1" si="80"/>
        <v>1.0427938575940463E-2</v>
      </c>
    </row>
    <row r="4351" spans="6:7" x14ac:dyDescent="0.3">
      <c r="F4351" s="124">
        <v>4345</v>
      </c>
      <c r="G4351" s="33">
        <f t="shared" ca="1" si="80"/>
        <v>-4.6236331686908411E-3</v>
      </c>
    </row>
    <row r="4352" spans="6:7" x14ac:dyDescent="0.3">
      <c r="F4352" s="124">
        <v>4346</v>
      </c>
      <c r="G4352" s="33">
        <f t="shared" ca="1" si="80"/>
        <v>3.834385663909716E-2</v>
      </c>
    </row>
    <row r="4353" spans="6:7" x14ac:dyDescent="0.3">
      <c r="F4353" s="124">
        <v>4347</v>
      </c>
      <c r="G4353" s="33">
        <f t="shared" ca="1" si="80"/>
        <v>9.6836537654674919E-3</v>
      </c>
    </row>
    <row r="4354" spans="6:7" x14ac:dyDescent="0.3">
      <c r="F4354" s="124">
        <v>4348</v>
      </c>
      <c r="G4354" s="33">
        <f t="shared" ca="1" si="80"/>
        <v>-1.2228851388844858E-2</v>
      </c>
    </row>
    <row r="4355" spans="6:7" x14ac:dyDescent="0.3">
      <c r="F4355" s="124">
        <v>4349</v>
      </c>
      <c r="G4355" s="33">
        <f t="shared" ca="1" si="80"/>
        <v>3.8355783080267058E-3</v>
      </c>
    </row>
    <row r="4356" spans="6:7" x14ac:dyDescent="0.3">
      <c r="F4356" s="124">
        <v>4350</v>
      </c>
      <c r="G4356" s="33">
        <f t="shared" ca="1" si="80"/>
        <v>-1.9864565741108297E-2</v>
      </c>
    </row>
    <row r="4357" spans="6:7" x14ac:dyDescent="0.3">
      <c r="F4357" s="124">
        <v>4351</v>
      </c>
      <c r="G4357" s="33">
        <f t="shared" ca="1" si="80"/>
        <v>1.2227613158250425E-2</v>
      </c>
    </row>
    <row r="4358" spans="6:7" x14ac:dyDescent="0.3">
      <c r="F4358" s="124">
        <v>4352</v>
      </c>
      <c r="G4358" s="33">
        <f t="shared" ca="1" si="80"/>
        <v>-3.6967952254851534E-2</v>
      </c>
    </row>
    <row r="4359" spans="6:7" x14ac:dyDescent="0.3">
      <c r="F4359" s="124">
        <v>4353</v>
      </c>
      <c r="G4359" s="33">
        <f t="shared" ca="1" si="80"/>
        <v>-4.9891045876451932E-3</v>
      </c>
    </row>
    <row r="4360" spans="6:7" x14ac:dyDescent="0.3">
      <c r="F4360" s="124">
        <v>4354</v>
      </c>
      <c r="G4360" s="33">
        <f t="shared" ref="G4360:G4423" ca="1" si="81">_xlfn.NORM.INV(RAND(),$M$9,$M$10)</f>
        <v>-1.6642912013366557E-2</v>
      </c>
    </row>
    <row r="4361" spans="6:7" x14ac:dyDescent="0.3">
      <c r="F4361" s="124">
        <v>4355</v>
      </c>
      <c r="G4361" s="33">
        <f t="shared" ca="1" si="81"/>
        <v>-1.7256339902485662E-2</v>
      </c>
    </row>
    <row r="4362" spans="6:7" x14ac:dyDescent="0.3">
      <c r="F4362" s="124">
        <v>4356</v>
      </c>
      <c r="G4362" s="33">
        <f t="shared" ca="1" si="81"/>
        <v>3.7783804706570258E-2</v>
      </c>
    </row>
    <row r="4363" spans="6:7" x14ac:dyDescent="0.3">
      <c r="F4363" s="124">
        <v>4357</v>
      </c>
      <c r="G4363" s="33">
        <f t="shared" ca="1" si="81"/>
        <v>3.0320246321880507E-2</v>
      </c>
    </row>
    <row r="4364" spans="6:7" x14ac:dyDescent="0.3">
      <c r="F4364" s="124">
        <v>4358</v>
      </c>
      <c r="G4364" s="33">
        <f t="shared" ca="1" si="81"/>
        <v>3.0833138047653964E-2</v>
      </c>
    </row>
    <row r="4365" spans="6:7" x14ac:dyDescent="0.3">
      <c r="F4365" s="124">
        <v>4359</v>
      </c>
      <c r="G4365" s="33">
        <f t="shared" ca="1" si="81"/>
        <v>-4.5219385156900209E-2</v>
      </c>
    </row>
    <row r="4366" spans="6:7" x14ac:dyDescent="0.3">
      <c r="F4366" s="124">
        <v>4360</v>
      </c>
      <c r="G4366" s="33">
        <f t="shared" ca="1" si="81"/>
        <v>8.6822273689353361E-3</v>
      </c>
    </row>
    <row r="4367" spans="6:7" x14ac:dyDescent="0.3">
      <c r="F4367" s="124">
        <v>4361</v>
      </c>
      <c r="G4367" s="33">
        <f t="shared" ca="1" si="81"/>
        <v>-1.0436984625224292E-3</v>
      </c>
    </row>
    <row r="4368" spans="6:7" x14ac:dyDescent="0.3">
      <c r="F4368" s="124">
        <v>4362</v>
      </c>
      <c r="G4368" s="33">
        <f t="shared" ca="1" si="81"/>
        <v>1.6934439232491806E-2</v>
      </c>
    </row>
    <row r="4369" spans="6:7" x14ac:dyDescent="0.3">
      <c r="F4369" s="124">
        <v>4363</v>
      </c>
      <c r="G4369" s="33">
        <f t="shared" ca="1" si="81"/>
        <v>2.0311612816362467E-2</v>
      </c>
    </row>
    <row r="4370" spans="6:7" x14ac:dyDescent="0.3">
      <c r="F4370" s="124">
        <v>4364</v>
      </c>
      <c r="G4370" s="33">
        <f t="shared" ca="1" si="81"/>
        <v>2.1015297438410324E-2</v>
      </c>
    </row>
    <row r="4371" spans="6:7" x14ac:dyDescent="0.3">
      <c r="F4371" s="124">
        <v>4365</v>
      </c>
      <c r="G4371" s="33">
        <f t="shared" ca="1" si="81"/>
        <v>1.7989650634932842E-2</v>
      </c>
    </row>
    <row r="4372" spans="6:7" x14ac:dyDescent="0.3">
      <c r="F4372" s="124">
        <v>4366</v>
      </c>
      <c r="G4372" s="33">
        <f t="shared" ca="1" si="81"/>
        <v>-3.8508206979256096E-2</v>
      </c>
    </row>
    <row r="4373" spans="6:7" x14ac:dyDescent="0.3">
      <c r="F4373" s="124">
        <v>4367</v>
      </c>
      <c r="G4373" s="33">
        <f t="shared" ca="1" si="81"/>
        <v>4.2182742575722888E-2</v>
      </c>
    </row>
    <row r="4374" spans="6:7" x14ac:dyDescent="0.3">
      <c r="F4374" s="124">
        <v>4368</v>
      </c>
      <c r="G4374" s="33">
        <f t="shared" ca="1" si="81"/>
        <v>-5.1674428502505441E-2</v>
      </c>
    </row>
    <row r="4375" spans="6:7" x14ac:dyDescent="0.3">
      <c r="F4375" s="124">
        <v>4369</v>
      </c>
      <c r="G4375" s="33">
        <f t="shared" ca="1" si="81"/>
        <v>2.442318933516038E-2</v>
      </c>
    </row>
    <row r="4376" spans="6:7" x14ac:dyDescent="0.3">
      <c r="F4376" s="124">
        <v>4370</v>
      </c>
      <c r="G4376" s="33">
        <f t="shared" ca="1" si="81"/>
        <v>1.8369497921439865E-3</v>
      </c>
    </row>
    <row r="4377" spans="6:7" x14ac:dyDescent="0.3">
      <c r="F4377" s="124">
        <v>4371</v>
      </c>
      <c r="G4377" s="33">
        <f t="shared" ca="1" si="81"/>
        <v>6.3725752746146063E-3</v>
      </c>
    </row>
    <row r="4378" spans="6:7" x14ac:dyDescent="0.3">
      <c r="F4378" s="124">
        <v>4372</v>
      </c>
      <c r="G4378" s="33">
        <f t="shared" ca="1" si="81"/>
        <v>-4.3654772924428334E-2</v>
      </c>
    </row>
    <row r="4379" spans="6:7" x14ac:dyDescent="0.3">
      <c r="F4379" s="124">
        <v>4373</v>
      </c>
      <c r="G4379" s="33">
        <f t="shared" ca="1" si="81"/>
        <v>-2.6812954999089467E-2</v>
      </c>
    </row>
    <row r="4380" spans="6:7" x14ac:dyDescent="0.3">
      <c r="F4380" s="124">
        <v>4374</v>
      </c>
      <c r="G4380" s="33">
        <f t="shared" ca="1" si="81"/>
        <v>-3.9845605390484179E-2</v>
      </c>
    </row>
    <row r="4381" spans="6:7" x14ac:dyDescent="0.3">
      <c r="F4381" s="124">
        <v>4375</v>
      </c>
      <c r="G4381" s="33">
        <f t="shared" ca="1" si="81"/>
        <v>4.7949216756810381E-2</v>
      </c>
    </row>
    <row r="4382" spans="6:7" x14ac:dyDescent="0.3">
      <c r="F4382" s="124">
        <v>4376</v>
      </c>
      <c r="G4382" s="33">
        <f t="shared" ca="1" si="81"/>
        <v>6.3283335245714221E-3</v>
      </c>
    </row>
    <row r="4383" spans="6:7" x14ac:dyDescent="0.3">
      <c r="F4383" s="124">
        <v>4377</v>
      </c>
      <c r="G4383" s="33">
        <f t="shared" ca="1" si="81"/>
        <v>4.3838242619268705E-3</v>
      </c>
    </row>
    <row r="4384" spans="6:7" x14ac:dyDescent="0.3">
      <c r="F4384" s="124">
        <v>4378</v>
      </c>
      <c r="G4384" s="33">
        <f t="shared" ca="1" si="81"/>
        <v>1.7493758992456029E-2</v>
      </c>
    </row>
    <row r="4385" spans="6:7" x14ac:dyDescent="0.3">
      <c r="F4385" s="124">
        <v>4379</v>
      </c>
      <c r="G4385" s="33">
        <f t="shared" ca="1" si="81"/>
        <v>2.2196785564246892E-2</v>
      </c>
    </row>
    <row r="4386" spans="6:7" x14ac:dyDescent="0.3">
      <c r="F4386" s="124">
        <v>4380</v>
      </c>
      <c r="G4386" s="33">
        <f t="shared" ca="1" si="81"/>
        <v>2.6599983107308343E-2</v>
      </c>
    </row>
    <row r="4387" spans="6:7" x14ac:dyDescent="0.3">
      <c r="F4387" s="124">
        <v>4381</v>
      </c>
      <c r="G4387" s="33">
        <f t="shared" ca="1" si="81"/>
        <v>3.2308703112399431E-2</v>
      </c>
    </row>
    <row r="4388" spans="6:7" x14ac:dyDescent="0.3">
      <c r="F4388" s="124">
        <v>4382</v>
      </c>
      <c r="G4388" s="33">
        <f t="shared" ca="1" si="81"/>
        <v>2.4534083527691587E-2</v>
      </c>
    </row>
    <row r="4389" spans="6:7" x14ac:dyDescent="0.3">
      <c r="F4389" s="124">
        <v>4383</v>
      </c>
      <c r="G4389" s="33">
        <f t="shared" ca="1" si="81"/>
        <v>-3.0485303962364749E-3</v>
      </c>
    </row>
    <row r="4390" spans="6:7" x14ac:dyDescent="0.3">
      <c r="F4390" s="124">
        <v>4384</v>
      </c>
      <c r="G4390" s="33">
        <f t="shared" ca="1" si="81"/>
        <v>-1.5829551459950762E-2</v>
      </c>
    </row>
    <row r="4391" spans="6:7" x14ac:dyDescent="0.3">
      <c r="F4391" s="124">
        <v>4385</v>
      </c>
      <c r="G4391" s="33">
        <f t="shared" ca="1" si="81"/>
        <v>2.0757513435008246E-2</v>
      </c>
    </row>
    <row r="4392" spans="6:7" x14ac:dyDescent="0.3">
      <c r="F4392" s="124">
        <v>4386</v>
      </c>
      <c r="G4392" s="33">
        <f t="shared" ca="1" si="81"/>
        <v>-3.2032087142861883E-2</v>
      </c>
    </row>
    <row r="4393" spans="6:7" x14ac:dyDescent="0.3">
      <c r="F4393" s="124">
        <v>4387</v>
      </c>
      <c r="G4393" s="33">
        <f t="shared" ca="1" si="81"/>
        <v>-8.6100382193077779E-2</v>
      </c>
    </row>
    <row r="4394" spans="6:7" x14ac:dyDescent="0.3">
      <c r="F4394" s="124">
        <v>4388</v>
      </c>
      <c r="G4394" s="33">
        <f t="shared" ca="1" si="81"/>
        <v>-2.3912868353093406E-2</v>
      </c>
    </row>
    <row r="4395" spans="6:7" x14ac:dyDescent="0.3">
      <c r="F4395" s="124">
        <v>4389</v>
      </c>
      <c r="G4395" s="33">
        <f t="shared" ca="1" si="81"/>
        <v>6.182979821179142E-4</v>
      </c>
    </row>
    <row r="4396" spans="6:7" x14ac:dyDescent="0.3">
      <c r="F4396" s="124">
        <v>4390</v>
      </c>
      <c r="G4396" s="33">
        <f t="shared" ca="1" si="81"/>
        <v>-4.9454385055183103E-3</v>
      </c>
    </row>
    <row r="4397" spans="6:7" x14ac:dyDescent="0.3">
      <c r="F4397" s="124">
        <v>4391</v>
      </c>
      <c r="G4397" s="33">
        <f t="shared" ca="1" si="81"/>
        <v>6.955368242690517E-3</v>
      </c>
    </row>
    <row r="4398" spans="6:7" x14ac:dyDescent="0.3">
      <c r="F4398" s="124">
        <v>4392</v>
      </c>
      <c r="G4398" s="33">
        <f t="shared" ca="1" si="81"/>
        <v>-1.0839425661720276E-2</v>
      </c>
    </row>
    <row r="4399" spans="6:7" x14ac:dyDescent="0.3">
      <c r="F4399" s="124">
        <v>4393</v>
      </c>
      <c r="G4399" s="33">
        <f t="shared" ca="1" si="81"/>
        <v>4.5550440912243122E-3</v>
      </c>
    </row>
    <row r="4400" spans="6:7" x14ac:dyDescent="0.3">
      <c r="F4400" s="124">
        <v>4394</v>
      </c>
      <c r="G4400" s="33">
        <f t="shared" ca="1" si="81"/>
        <v>-2.605667230377879E-2</v>
      </c>
    </row>
    <row r="4401" spans="6:7" x14ac:dyDescent="0.3">
      <c r="F4401" s="124">
        <v>4395</v>
      </c>
      <c r="G4401" s="33">
        <f t="shared" ca="1" si="81"/>
        <v>-2.0267709474560774E-2</v>
      </c>
    </row>
    <row r="4402" spans="6:7" x14ac:dyDescent="0.3">
      <c r="F4402" s="124">
        <v>4396</v>
      </c>
      <c r="G4402" s="33">
        <f t="shared" ca="1" si="81"/>
        <v>-2.4812009343034149E-2</v>
      </c>
    </row>
    <row r="4403" spans="6:7" x14ac:dyDescent="0.3">
      <c r="F4403" s="124">
        <v>4397</v>
      </c>
      <c r="G4403" s="33">
        <f t="shared" ca="1" si="81"/>
        <v>3.797745657008135E-2</v>
      </c>
    </row>
    <row r="4404" spans="6:7" x14ac:dyDescent="0.3">
      <c r="F4404" s="124">
        <v>4398</v>
      </c>
      <c r="G4404" s="33">
        <f t="shared" ca="1" si="81"/>
        <v>-5.5571421684971088E-3</v>
      </c>
    </row>
    <row r="4405" spans="6:7" x14ac:dyDescent="0.3">
      <c r="F4405" s="124">
        <v>4399</v>
      </c>
      <c r="G4405" s="33">
        <f t="shared" ca="1" si="81"/>
        <v>-7.504437315610517E-3</v>
      </c>
    </row>
    <row r="4406" spans="6:7" x14ac:dyDescent="0.3">
      <c r="F4406" s="124">
        <v>4400</v>
      </c>
      <c r="G4406" s="33">
        <f t="shared" ca="1" si="81"/>
        <v>2.3816175732293571E-2</v>
      </c>
    </row>
    <row r="4407" spans="6:7" x14ac:dyDescent="0.3">
      <c r="F4407" s="124">
        <v>4401</v>
      </c>
      <c r="G4407" s="33">
        <f t="shared" ca="1" si="81"/>
        <v>-1.2035576403342074E-2</v>
      </c>
    </row>
    <row r="4408" spans="6:7" x14ac:dyDescent="0.3">
      <c r="F4408" s="124">
        <v>4402</v>
      </c>
      <c r="G4408" s="33">
        <f t="shared" ca="1" si="81"/>
        <v>6.8533495285428439E-3</v>
      </c>
    </row>
    <row r="4409" spans="6:7" x14ac:dyDescent="0.3">
      <c r="F4409" s="124">
        <v>4403</v>
      </c>
      <c r="G4409" s="33">
        <f t="shared" ca="1" si="81"/>
        <v>1.7241816064455039E-2</v>
      </c>
    </row>
    <row r="4410" spans="6:7" x14ac:dyDescent="0.3">
      <c r="F4410" s="124">
        <v>4404</v>
      </c>
      <c r="G4410" s="33">
        <f t="shared" ca="1" si="81"/>
        <v>-1.7178156091336622E-2</v>
      </c>
    </row>
    <row r="4411" spans="6:7" x14ac:dyDescent="0.3">
      <c r="F4411" s="124">
        <v>4405</v>
      </c>
      <c r="G4411" s="33">
        <f t="shared" ca="1" si="81"/>
        <v>3.9358023754667978E-3</v>
      </c>
    </row>
    <row r="4412" spans="6:7" x14ac:dyDescent="0.3">
      <c r="F4412" s="124">
        <v>4406</v>
      </c>
      <c r="G4412" s="33">
        <f t="shared" ca="1" si="81"/>
        <v>-1.6736493619039793E-2</v>
      </c>
    </row>
    <row r="4413" spans="6:7" x14ac:dyDescent="0.3">
      <c r="F4413" s="124">
        <v>4407</v>
      </c>
      <c r="G4413" s="33">
        <f t="shared" ca="1" si="81"/>
        <v>1.0112510926857346E-2</v>
      </c>
    </row>
    <row r="4414" spans="6:7" x14ac:dyDescent="0.3">
      <c r="F4414" s="124">
        <v>4408</v>
      </c>
      <c r="G4414" s="33">
        <f t="shared" ca="1" si="81"/>
        <v>1.6708892920391787E-2</v>
      </c>
    </row>
    <row r="4415" spans="6:7" x14ac:dyDescent="0.3">
      <c r="F4415" s="124">
        <v>4409</v>
      </c>
      <c r="G4415" s="33">
        <f t="shared" ca="1" si="81"/>
        <v>-4.174119277315147E-2</v>
      </c>
    </row>
    <row r="4416" spans="6:7" x14ac:dyDescent="0.3">
      <c r="F4416" s="124">
        <v>4410</v>
      </c>
      <c r="G4416" s="33">
        <f t="shared" ca="1" si="81"/>
        <v>-6.361646519160076E-2</v>
      </c>
    </row>
    <row r="4417" spans="6:7" x14ac:dyDescent="0.3">
      <c r="F4417" s="124">
        <v>4411</v>
      </c>
      <c r="G4417" s="33">
        <f t="shared" ca="1" si="81"/>
        <v>2.5173627842449954E-2</v>
      </c>
    </row>
    <row r="4418" spans="6:7" x14ac:dyDescent="0.3">
      <c r="F4418" s="124">
        <v>4412</v>
      </c>
      <c r="G4418" s="33">
        <f t="shared" ca="1" si="81"/>
        <v>-4.1230571493203666E-2</v>
      </c>
    </row>
    <row r="4419" spans="6:7" x14ac:dyDescent="0.3">
      <c r="F4419" s="124">
        <v>4413</v>
      </c>
      <c r="G4419" s="33">
        <f t="shared" ca="1" si="81"/>
        <v>-1.331046658241102E-3</v>
      </c>
    </row>
    <row r="4420" spans="6:7" x14ac:dyDescent="0.3">
      <c r="F4420" s="124">
        <v>4414</v>
      </c>
      <c r="G4420" s="33">
        <f t="shared" ca="1" si="81"/>
        <v>-7.380604174375488E-2</v>
      </c>
    </row>
    <row r="4421" spans="6:7" x14ac:dyDescent="0.3">
      <c r="F4421" s="124">
        <v>4415</v>
      </c>
      <c r="G4421" s="33">
        <f t="shared" ca="1" si="81"/>
        <v>7.5958068814153982E-3</v>
      </c>
    </row>
    <row r="4422" spans="6:7" x14ac:dyDescent="0.3">
      <c r="F4422" s="124">
        <v>4416</v>
      </c>
      <c r="G4422" s="33">
        <f t="shared" ca="1" si="81"/>
        <v>2.1102137476146435E-2</v>
      </c>
    </row>
    <row r="4423" spans="6:7" x14ac:dyDescent="0.3">
      <c r="F4423" s="124">
        <v>4417</v>
      </c>
      <c r="G4423" s="33">
        <f t="shared" ca="1" si="81"/>
        <v>-6.3360850635909701E-3</v>
      </c>
    </row>
    <row r="4424" spans="6:7" x14ac:dyDescent="0.3">
      <c r="F4424" s="124">
        <v>4418</v>
      </c>
      <c r="G4424" s="33">
        <f t="shared" ref="G4424:G4487" ca="1" si="82">_xlfn.NORM.INV(RAND(),$M$9,$M$10)</f>
        <v>-3.9669968065208271E-3</v>
      </c>
    </row>
    <row r="4425" spans="6:7" x14ac:dyDescent="0.3">
      <c r="F4425" s="124">
        <v>4419</v>
      </c>
      <c r="G4425" s="33">
        <f t="shared" ca="1" si="82"/>
        <v>-2.7785746888290944E-2</v>
      </c>
    </row>
    <row r="4426" spans="6:7" x14ac:dyDescent="0.3">
      <c r="F4426" s="124">
        <v>4420</v>
      </c>
      <c r="G4426" s="33">
        <f t="shared" ca="1" si="82"/>
        <v>-1.7587600232422691E-4</v>
      </c>
    </row>
    <row r="4427" spans="6:7" x14ac:dyDescent="0.3">
      <c r="F4427" s="124">
        <v>4421</v>
      </c>
      <c r="G4427" s="33">
        <f t="shared" ca="1" si="82"/>
        <v>-8.4004584144550393E-3</v>
      </c>
    </row>
    <row r="4428" spans="6:7" x14ac:dyDescent="0.3">
      <c r="F4428" s="124">
        <v>4422</v>
      </c>
      <c r="G4428" s="33">
        <f t="shared" ca="1" si="82"/>
        <v>2.0775663855683787E-2</v>
      </c>
    </row>
    <row r="4429" spans="6:7" x14ac:dyDescent="0.3">
      <c r="F4429" s="124">
        <v>4423</v>
      </c>
      <c r="G4429" s="33">
        <f t="shared" ca="1" si="82"/>
        <v>-5.671270170378313E-3</v>
      </c>
    </row>
    <row r="4430" spans="6:7" x14ac:dyDescent="0.3">
      <c r="F4430" s="124">
        <v>4424</v>
      </c>
      <c r="G4430" s="33">
        <f t="shared" ca="1" si="82"/>
        <v>6.8682808666377807E-3</v>
      </c>
    </row>
    <row r="4431" spans="6:7" x14ac:dyDescent="0.3">
      <c r="F4431" s="124">
        <v>4425</v>
      </c>
      <c r="G4431" s="33">
        <f t="shared" ca="1" si="82"/>
        <v>-1.1043735026633278E-2</v>
      </c>
    </row>
    <row r="4432" spans="6:7" x14ac:dyDescent="0.3">
      <c r="F4432" s="124">
        <v>4426</v>
      </c>
      <c r="G4432" s="33">
        <f t="shared" ca="1" si="82"/>
        <v>5.2802365893190369E-3</v>
      </c>
    </row>
    <row r="4433" spans="6:7" x14ac:dyDescent="0.3">
      <c r="F4433" s="124">
        <v>4427</v>
      </c>
      <c r="G4433" s="33">
        <f t="shared" ca="1" si="82"/>
        <v>4.6357120831725357E-2</v>
      </c>
    </row>
    <row r="4434" spans="6:7" x14ac:dyDescent="0.3">
      <c r="F4434" s="124">
        <v>4428</v>
      </c>
      <c r="G4434" s="33">
        <f t="shared" ca="1" si="82"/>
        <v>-5.0458865284022962E-3</v>
      </c>
    </row>
    <row r="4435" spans="6:7" x14ac:dyDescent="0.3">
      <c r="F4435" s="124">
        <v>4429</v>
      </c>
      <c r="G4435" s="33">
        <f t="shared" ca="1" si="82"/>
        <v>-2.1190383821062874E-2</v>
      </c>
    </row>
    <row r="4436" spans="6:7" x14ac:dyDescent="0.3">
      <c r="F4436" s="124">
        <v>4430</v>
      </c>
      <c r="G4436" s="33">
        <f t="shared" ca="1" si="82"/>
        <v>1.5913907516066389E-2</v>
      </c>
    </row>
    <row r="4437" spans="6:7" x14ac:dyDescent="0.3">
      <c r="F4437" s="124">
        <v>4431</v>
      </c>
      <c r="G4437" s="33">
        <f t="shared" ca="1" si="82"/>
        <v>-1.9940086191362685E-2</v>
      </c>
    </row>
    <row r="4438" spans="6:7" x14ac:dyDescent="0.3">
      <c r="F4438" s="124">
        <v>4432</v>
      </c>
      <c r="G4438" s="33">
        <f t="shared" ca="1" si="82"/>
        <v>-2.9174542173896839E-2</v>
      </c>
    </row>
    <row r="4439" spans="6:7" x14ac:dyDescent="0.3">
      <c r="F4439" s="124">
        <v>4433</v>
      </c>
      <c r="G4439" s="33">
        <f t="shared" ca="1" si="82"/>
        <v>5.8447627184927964E-4</v>
      </c>
    </row>
    <row r="4440" spans="6:7" x14ac:dyDescent="0.3">
      <c r="F4440" s="124">
        <v>4434</v>
      </c>
      <c r="G4440" s="33">
        <f t="shared" ca="1" si="82"/>
        <v>-6.1520062091399465E-2</v>
      </c>
    </row>
    <row r="4441" spans="6:7" x14ac:dyDescent="0.3">
      <c r="F4441" s="124">
        <v>4435</v>
      </c>
      <c r="G4441" s="33">
        <f t="shared" ca="1" si="82"/>
        <v>2.659614401109453E-2</v>
      </c>
    </row>
    <row r="4442" spans="6:7" x14ac:dyDescent="0.3">
      <c r="F4442" s="124">
        <v>4436</v>
      </c>
      <c r="G4442" s="33">
        <f t="shared" ca="1" si="82"/>
        <v>-7.2592381599674072E-2</v>
      </c>
    </row>
    <row r="4443" spans="6:7" x14ac:dyDescent="0.3">
      <c r="F4443" s="124">
        <v>4437</v>
      </c>
      <c r="G4443" s="33">
        <f t="shared" ca="1" si="82"/>
        <v>7.9996998136970272E-3</v>
      </c>
    </row>
    <row r="4444" spans="6:7" x14ac:dyDescent="0.3">
      <c r="F4444" s="124">
        <v>4438</v>
      </c>
      <c r="G4444" s="33">
        <f t="shared" ca="1" si="82"/>
        <v>-1.321539288892834E-2</v>
      </c>
    </row>
    <row r="4445" spans="6:7" x14ac:dyDescent="0.3">
      <c r="F4445" s="124">
        <v>4439</v>
      </c>
      <c r="G4445" s="33">
        <f t="shared" ca="1" si="82"/>
        <v>1.4682008107806972E-2</v>
      </c>
    </row>
    <row r="4446" spans="6:7" x14ac:dyDescent="0.3">
      <c r="F4446" s="124">
        <v>4440</v>
      </c>
      <c r="G4446" s="33">
        <f t="shared" ca="1" si="82"/>
        <v>2.8313193082580148E-2</v>
      </c>
    </row>
    <row r="4447" spans="6:7" x14ac:dyDescent="0.3">
      <c r="F4447" s="124">
        <v>4441</v>
      </c>
      <c r="G4447" s="33">
        <f t="shared" ca="1" si="82"/>
        <v>-1.0094521755388653E-2</v>
      </c>
    </row>
    <row r="4448" spans="6:7" x14ac:dyDescent="0.3">
      <c r="F4448" s="124">
        <v>4442</v>
      </c>
      <c r="G4448" s="33">
        <f t="shared" ca="1" si="82"/>
        <v>4.6970725985624733E-2</v>
      </c>
    </row>
    <row r="4449" spans="6:7" x14ac:dyDescent="0.3">
      <c r="F4449" s="124">
        <v>4443</v>
      </c>
      <c r="G4449" s="33">
        <f t="shared" ca="1" si="82"/>
        <v>-3.9573587256302993E-2</v>
      </c>
    </row>
    <row r="4450" spans="6:7" x14ac:dyDescent="0.3">
      <c r="F4450" s="124">
        <v>4444</v>
      </c>
      <c r="G4450" s="33">
        <f t="shared" ca="1" si="82"/>
        <v>4.2702822278679105E-3</v>
      </c>
    </row>
    <row r="4451" spans="6:7" x14ac:dyDescent="0.3">
      <c r="F4451" s="124">
        <v>4445</v>
      </c>
      <c r="G4451" s="33">
        <f t="shared" ca="1" si="82"/>
        <v>-4.6784963139347019E-2</v>
      </c>
    </row>
    <row r="4452" spans="6:7" x14ac:dyDescent="0.3">
      <c r="F4452" s="124">
        <v>4446</v>
      </c>
      <c r="G4452" s="33">
        <f t="shared" ca="1" si="82"/>
        <v>-1.7158433875301116E-3</v>
      </c>
    </row>
    <row r="4453" spans="6:7" x14ac:dyDescent="0.3">
      <c r="F4453" s="124">
        <v>4447</v>
      </c>
      <c r="G4453" s="33">
        <f t="shared" ca="1" si="82"/>
        <v>5.6818319341758516E-2</v>
      </c>
    </row>
    <row r="4454" spans="6:7" x14ac:dyDescent="0.3">
      <c r="F4454" s="124">
        <v>4448</v>
      </c>
      <c r="G4454" s="33">
        <f t="shared" ca="1" si="82"/>
        <v>-3.607161109549166E-2</v>
      </c>
    </row>
    <row r="4455" spans="6:7" x14ac:dyDescent="0.3">
      <c r="F4455" s="124">
        <v>4449</v>
      </c>
      <c r="G4455" s="33">
        <f t="shared" ca="1" si="82"/>
        <v>5.0522745238669085E-2</v>
      </c>
    </row>
    <row r="4456" spans="6:7" x14ac:dyDescent="0.3">
      <c r="F4456" s="124">
        <v>4450</v>
      </c>
      <c r="G4456" s="33">
        <f t="shared" ca="1" si="82"/>
        <v>2.0072999618768787E-2</v>
      </c>
    </row>
    <row r="4457" spans="6:7" x14ac:dyDescent="0.3">
      <c r="F4457" s="124">
        <v>4451</v>
      </c>
      <c r="G4457" s="33">
        <f t="shared" ca="1" si="82"/>
        <v>-2.534846001065329E-2</v>
      </c>
    </row>
    <row r="4458" spans="6:7" x14ac:dyDescent="0.3">
      <c r="F4458" s="124">
        <v>4452</v>
      </c>
      <c r="G4458" s="33">
        <f t="shared" ca="1" si="82"/>
        <v>-1.8376509206226757E-2</v>
      </c>
    </row>
    <row r="4459" spans="6:7" x14ac:dyDescent="0.3">
      <c r="F4459" s="124">
        <v>4453</v>
      </c>
      <c r="G4459" s="33">
        <f t="shared" ca="1" si="82"/>
        <v>-1.8305479126228732E-2</v>
      </c>
    </row>
    <row r="4460" spans="6:7" x14ac:dyDescent="0.3">
      <c r="F4460" s="124">
        <v>4454</v>
      </c>
      <c r="G4460" s="33">
        <f t="shared" ca="1" si="82"/>
        <v>-1.7899616518025394E-2</v>
      </c>
    </row>
    <row r="4461" spans="6:7" x14ac:dyDescent="0.3">
      <c r="F4461" s="124">
        <v>4455</v>
      </c>
      <c r="G4461" s="33">
        <f t="shared" ca="1" si="82"/>
        <v>8.4076130012410155E-3</v>
      </c>
    </row>
    <row r="4462" spans="6:7" x14ac:dyDescent="0.3">
      <c r="F4462" s="124">
        <v>4456</v>
      </c>
      <c r="G4462" s="33">
        <f t="shared" ca="1" si="82"/>
        <v>-3.5348364957169386E-2</v>
      </c>
    </row>
    <row r="4463" spans="6:7" x14ac:dyDescent="0.3">
      <c r="F4463" s="124">
        <v>4457</v>
      </c>
      <c r="G4463" s="33">
        <f t="shared" ca="1" si="82"/>
        <v>-2.1775347489755983E-2</v>
      </c>
    </row>
    <row r="4464" spans="6:7" x14ac:dyDescent="0.3">
      <c r="F4464" s="124">
        <v>4458</v>
      </c>
      <c r="G4464" s="33">
        <f t="shared" ca="1" si="82"/>
        <v>1.3006658964564422E-2</v>
      </c>
    </row>
    <row r="4465" spans="6:7" x14ac:dyDescent="0.3">
      <c r="F4465" s="124">
        <v>4459</v>
      </c>
      <c r="G4465" s="33">
        <f t="shared" ca="1" si="82"/>
        <v>-4.0134500789581237E-2</v>
      </c>
    </row>
    <row r="4466" spans="6:7" x14ac:dyDescent="0.3">
      <c r="F4466" s="124">
        <v>4460</v>
      </c>
      <c r="G4466" s="33">
        <f t="shared" ca="1" si="82"/>
        <v>1.1992462485069449E-2</v>
      </c>
    </row>
    <row r="4467" spans="6:7" x14ac:dyDescent="0.3">
      <c r="F4467" s="124">
        <v>4461</v>
      </c>
      <c r="G4467" s="33">
        <f t="shared" ca="1" si="82"/>
        <v>-3.1037772901028406E-2</v>
      </c>
    </row>
    <row r="4468" spans="6:7" x14ac:dyDescent="0.3">
      <c r="F4468" s="124">
        <v>4462</v>
      </c>
      <c r="G4468" s="33">
        <f t="shared" ca="1" si="82"/>
        <v>4.9480278904819527E-3</v>
      </c>
    </row>
    <row r="4469" spans="6:7" x14ac:dyDescent="0.3">
      <c r="F4469" s="124">
        <v>4463</v>
      </c>
      <c r="G4469" s="33">
        <f t="shared" ca="1" si="82"/>
        <v>6.9726570306344798E-2</v>
      </c>
    </row>
    <row r="4470" spans="6:7" x14ac:dyDescent="0.3">
      <c r="F4470" s="124">
        <v>4464</v>
      </c>
      <c r="G4470" s="33">
        <f t="shared" ca="1" si="82"/>
        <v>6.2904012087613634E-3</v>
      </c>
    </row>
    <row r="4471" spans="6:7" x14ac:dyDescent="0.3">
      <c r="F4471" s="124">
        <v>4465</v>
      </c>
      <c r="G4471" s="33">
        <f t="shared" ca="1" si="82"/>
        <v>6.3053247960158263E-3</v>
      </c>
    </row>
    <row r="4472" spans="6:7" x14ac:dyDescent="0.3">
      <c r="F4472" s="124">
        <v>4466</v>
      </c>
      <c r="G4472" s="33">
        <f t="shared" ca="1" si="82"/>
        <v>-2.5682724526732453E-2</v>
      </c>
    </row>
    <row r="4473" spans="6:7" x14ac:dyDescent="0.3">
      <c r="F4473" s="124">
        <v>4467</v>
      </c>
      <c r="G4473" s="33">
        <f t="shared" ca="1" si="82"/>
        <v>7.7370286848403103E-4</v>
      </c>
    </row>
    <row r="4474" spans="6:7" x14ac:dyDescent="0.3">
      <c r="F4474" s="124">
        <v>4468</v>
      </c>
      <c r="G4474" s="33">
        <f t="shared" ca="1" si="82"/>
        <v>-6.0454181036777396E-2</v>
      </c>
    </row>
    <row r="4475" spans="6:7" x14ac:dyDescent="0.3">
      <c r="F4475" s="124">
        <v>4469</v>
      </c>
      <c r="G4475" s="33">
        <f t="shared" ca="1" si="82"/>
        <v>-1.0167683000056861E-2</v>
      </c>
    </row>
    <row r="4476" spans="6:7" x14ac:dyDescent="0.3">
      <c r="F4476" s="124">
        <v>4470</v>
      </c>
      <c r="G4476" s="33">
        <f t="shared" ca="1" si="82"/>
        <v>-2.1380917142448885E-2</v>
      </c>
    </row>
    <row r="4477" spans="6:7" x14ac:dyDescent="0.3">
      <c r="F4477" s="124">
        <v>4471</v>
      </c>
      <c r="G4477" s="33">
        <f t="shared" ca="1" si="82"/>
        <v>2.563869606606781E-2</v>
      </c>
    </row>
    <row r="4478" spans="6:7" x14ac:dyDescent="0.3">
      <c r="F4478" s="124">
        <v>4472</v>
      </c>
      <c r="G4478" s="33">
        <f t="shared" ca="1" si="82"/>
        <v>2.1119558965289695E-2</v>
      </c>
    </row>
    <row r="4479" spans="6:7" x14ac:dyDescent="0.3">
      <c r="F4479" s="124">
        <v>4473</v>
      </c>
      <c r="G4479" s="33">
        <f t="shared" ca="1" si="82"/>
        <v>-4.4963986087184653E-2</v>
      </c>
    </row>
    <row r="4480" spans="6:7" x14ac:dyDescent="0.3">
      <c r="F4480" s="124">
        <v>4474</v>
      </c>
      <c r="G4480" s="33">
        <f t="shared" ca="1" si="82"/>
        <v>-1.9894652056232715E-2</v>
      </c>
    </row>
    <row r="4481" spans="6:7" x14ac:dyDescent="0.3">
      <c r="F4481" s="124">
        <v>4475</v>
      </c>
      <c r="G4481" s="33">
        <f t="shared" ca="1" si="82"/>
        <v>-4.0024622722343903E-2</v>
      </c>
    </row>
    <row r="4482" spans="6:7" x14ac:dyDescent="0.3">
      <c r="F4482" s="124">
        <v>4476</v>
      </c>
      <c r="G4482" s="33">
        <f t="shared" ca="1" si="82"/>
        <v>-5.3816926684791492E-3</v>
      </c>
    </row>
    <row r="4483" spans="6:7" x14ac:dyDescent="0.3">
      <c r="F4483" s="124">
        <v>4477</v>
      </c>
      <c r="G4483" s="33">
        <f t="shared" ca="1" si="82"/>
        <v>2.9482840069507531E-3</v>
      </c>
    </row>
    <row r="4484" spans="6:7" x14ac:dyDescent="0.3">
      <c r="F4484" s="124">
        <v>4478</v>
      </c>
      <c r="G4484" s="33">
        <f t="shared" ca="1" si="82"/>
        <v>8.4420552844397738E-4</v>
      </c>
    </row>
    <row r="4485" spans="6:7" x14ac:dyDescent="0.3">
      <c r="F4485" s="124">
        <v>4479</v>
      </c>
      <c r="G4485" s="33">
        <f t="shared" ca="1" si="82"/>
        <v>2.3679691173484601E-3</v>
      </c>
    </row>
    <row r="4486" spans="6:7" x14ac:dyDescent="0.3">
      <c r="F4486" s="124">
        <v>4480</v>
      </c>
      <c r="G4486" s="33">
        <f t="shared" ca="1" si="82"/>
        <v>3.5620461941585607E-2</v>
      </c>
    </row>
    <row r="4487" spans="6:7" x14ac:dyDescent="0.3">
      <c r="F4487" s="124">
        <v>4481</v>
      </c>
      <c r="G4487" s="33">
        <f t="shared" ca="1" si="82"/>
        <v>1.0748344023562523E-2</v>
      </c>
    </row>
    <row r="4488" spans="6:7" x14ac:dyDescent="0.3">
      <c r="F4488" s="124">
        <v>4482</v>
      </c>
      <c r="G4488" s="33">
        <f t="shared" ref="G4488:G4551" ca="1" si="83">_xlfn.NORM.INV(RAND(),$M$9,$M$10)</f>
        <v>4.7513510537861665E-5</v>
      </c>
    </row>
    <row r="4489" spans="6:7" x14ac:dyDescent="0.3">
      <c r="F4489" s="124">
        <v>4483</v>
      </c>
      <c r="G4489" s="33">
        <f t="shared" ca="1" si="83"/>
        <v>1.9318997859729958E-2</v>
      </c>
    </row>
    <row r="4490" spans="6:7" x14ac:dyDescent="0.3">
      <c r="F4490" s="124">
        <v>4484</v>
      </c>
      <c r="G4490" s="33">
        <f t="shared" ca="1" si="83"/>
        <v>-6.9115581736056237E-3</v>
      </c>
    </row>
    <row r="4491" spans="6:7" x14ac:dyDescent="0.3">
      <c r="F4491" s="124">
        <v>4485</v>
      </c>
      <c r="G4491" s="33">
        <f t="shared" ca="1" si="83"/>
        <v>-1.4853046331686146E-2</v>
      </c>
    </row>
    <row r="4492" spans="6:7" x14ac:dyDescent="0.3">
      <c r="F4492" s="124">
        <v>4486</v>
      </c>
      <c r="G4492" s="33">
        <f t="shared" ca="1" si="83"/>
        <v>2.5939087611401044E-2</v>
      </c>
    </row>
    <row r="4493" spans="6:7" x14ac:dyDescent="0.3">
      <c r="F4493" s="124">
        <v>4487</v>
      </c>
      <c r="G4493" s="33">
        <f t="shared" ca="1" si="83"/>
        <v>2.7754723900066235E-2</v>
      </c>
    </row>
    <row r="4494" spans="6:7" x14ac:dyDescent="0.3">
      <c r="F4494" s="124">
        <v>4488</v>
      </c>
      <c r="G4494" s="33">
        <f t="shared" ca="1" si="83"/>
        <v>5.9739543613780241E-2</v>
      </c>
    </row>
    <row r="4495" spans="6:7" x14ac:dyDescent="0.3">
      <c r="F4495" s="124">
        <v>4489</v>
      </c>
      <c r="G4495" s="33">
        <f t="shared" ca="1" si="83"/>
        <v>4.6809906407772276E-3</v>
      </c>
    </row>
    <row r="4496" spans="6:7" x14ac:dyDescent="0.3">
      <c r="F4496" s="124">
        <v>4490</v>
      </c>
      <c r="G4496" s="33">
        <f t="shared" ca="1" si="83"/>
        <v>1.1273742477977078E-2</v>
      </c>
    </row>
    <row r="4497" spans="6:7" x14ac:dyDescent="0.3">
      <c r="F4497" s="124">
        <v>4491</v>
      </c>
      <c r="G4497" s="33">
        <f t="shared" ca="1" si="83"/>
        <v>4.2611150496944555E-2</v>
      </c>
    </row>
    <row r="4498" spans="6:7" x14ac:dyDescent="0.3">
      <c r="F4498" s="124">
        <v>4492</v>
      </c>
      <c r="G4498" s="33">
        <f t="shared" ca="1" si="83"/>
        <v>1.1094025592614208E-2</v>
      </c>
    </row>
    <row r="4499" spans="6:7" x14ac:dyDescent="0.3">
      <c r="F4499" s="124">
        <v>4493</v>
      </c>
      <c r="G4499" s="33">
        <f t="shared" ca="1" si="83"/>
        <v>8.023160135231619E-3</v>
      </c>
    </row>
    <row r="4500" spans="6:7" x14ac:dyDescent="0.3">
      <c r="F4500" s="124">
        <v>4494</v>
      </c>
      <c r="G4500" s="33">
        <f t="shared" ca="1" si="83"/>
        <v>1.5373362019861177E-2</v>
      </c>
    </row>
    <row r="4501" spans="6:7" x14ac:dyDescent="0.3">
      <c r="F4501" s="124">
        <v>4495</v>
      </c>
      <c r="G4501" s="33">
        <f t="shared" ca="1" si="83"/>
        <v>4.5503543684690569E-3</v>
      </c>
    </row>
    <row r="4502" spans="6:7" x14ac:dyDescent="0.3">
      <c r="F4502" s="124">
        <v>4496</v>
      </c>
      <c r="G4502" s="33">
        <f t="shared" ca="1" si="83"/>
        <v>-9.1438697493054465E-3</v>
      </c>
    </row>
    <row r="4503" spans="6:7" x14ac:dyDescent="0.3">
      <c r="F4503" s="124">
        <v>4497</v>
      </c>
      <c r="G4503" s="33">
        <f t="shared" ca="1" si="83"/>
        <v>3.3882008408338015E-3</v>
      </c>
    </row>
    <row r="4504" spans="6:7" x14ac:dyDescent="0.3">
      <c r="F4504" s="124">
        <v>4498</v>
      </c>
      <c r="G4504" s="33">
        <f t="shared" ca="1" si="83"/>
        <v>-9.4792728028816019E-3</v>
      </c>
    </row>
    <row r="4505" spans="6:7" x14ac:dyDescent="0.3">
      <c r="F4505" s="124">
        <v>4499</v>
      </c>
      <c r="G4505" s="33">
        <f t="shared" ca="1" si="83"/>
        <v>-1.8047100317058539E-2</v>
      </c>
    </row>
    <row r="4506" spans="6:7" x14ac:dyDescent="0.3">
      <c r="F4506" s="124">
        <v>4500</v>
      </c>
      <c r="G4506" s="33">
        <f t="shared" ca="1" si="83"/>
        <v>1.8117630357867412E-2</v>
      </c>
    </row>
    <row r="4507" spans="6:7" x14ac:dyDescent="0.3">
      <c r="F4507" s="124">
        <v>4501</v>
      </c>
      <c r="G4507" s="33">
        <f t="shared" ca="1" si="83"/>
        <v>4.4452623284162905E-2</v>
      </c>
    </row>
    <row r="4508" spans="6:7" x14ac:dyDescent="0.3">
      <c r="F4508" s="124">
        <v>4502</v>
      </c>
      <c r="G4508" s="33">
        <f t="shared" ca="1" si="83"/>
        <v>4.9624517807938036E-2</v>
      </c>
    </row>
    <row r="4509" spans="6:7" x14ac:dyDescent="0.3">
      <c r="F4509" s="124">
        <v>4503</v>
      </c>
      <c r="G4509" s="33">
        <f t="shared" ca="1" si="83"/>
        <v>-1.5934211237196527E-2</v>
      </c>
    </row>
    <row r="4510" spans="6:7" x14ac:dyDescent="0.3">
      <c r="F4510" s="124">
        <v>4504</v>
      </c>
      <c r="G4510" s="33">
        <f t="shared" ca="1" si="83"/>
        <v>8.1321089553652252E-3</v>
      </c>
    </row>
    <row r="4511" spans="6:7" x14ac:dyDescent="0.3">
      <c r="F4511" s="124">
        <v>4505</v>
      </c>
      <c r="G4511" s="33">
        <f t="shared" ca="1" si="83"/>
        <v>-1.299415624387092E-2</v>
      </c>
    </row>
    <row r="4512" spans="6:7" x14ac:dyDescent="0.3">
      <c r="F4512" s="124">
        <v>4506</v>
      </c>
      <c r="G4512" s="33">
        <f t="shared" ca="1" si="83"/>
        <v>4.886555284973889E-3</v>
      </c>
    </row>
    <row r="4513" spans="6:7" x14ac:dyDescent="0.3">
      <c r="F4513" s="124">
        <v>4507</v>
      </c>
      <c r="G4513" s="33">
        <f t="shared" ca="1" si="83"/>
        <v>4.51728670948719E-3</v>
      </c>
    </row>
    <row r="4514" spans="6:7" x14ac:dyDescent="0.3">
      <c r="F4514" s="124">
        <v>4508</v>
      </c>
      <c r="G4514" s="33">
        <f t="shared" ca="1" si="83"/>
        <v>-1.876712317380521E-2</v>
      </c>
    </row>
    <row r="4515" spans="6:7" x14ac:dyDescent="0.3">
      <c r="F4515" s="124">
        <v>4509</v>
      </c>
      <c r="G4515" s="33">
        <f t="shared" ca="1" si="83"/>
        <v>-2.6871693125389846E-2</v>
      </c>
    </row>
    <row r="4516" spans="6:7" x14ac:dyDescent="0.3">
      <c r="F4516" s="124">
        <v>4510</v>
      </c>
      <c r="G4516" s="33">
        <f t="shared" ca="1" si="83"/>
        <v>-5.5566022771917092E-2</v>
      </c>
    </row>
    <row r="4517" spans="6:7" x14ac:dyDescent="0.3">
      <c r="F4517" s="124">
        <v>4511</v>
      </c>
      <c r="G4517" s="33">
        <f t="shared" ca="1" si="83"/>
        <v>-1.2499675021969588E-2</v>
      </c>
    </row>
    <row r="4518" spans="6:7" x14ac:dyDescent="0.3">
      <c r="F4518" s="124">
        <v>4512</v>
      </c>
      <c r="G4518" s="33">
        <f t="shared" ca="1" si="83"/>
        <v>3.1380655916825803E-2</v>
      </c>
    </row>
    <row r="4519" spans="6:7" x14ac:dyDescent="0.3">
      <c r="F4519" s="124">
        <v>4513</v>
      </c>
      <c r="G4519" s="33">
        <f t="shared" ca="1" si="83"/>
        <v>-4.3185467169020074E-2</v>
      </c>
    </row>
    <row r="4520" spans="6:7" x14ac:dyDescent="0.3">
      <c r="F4520" s="124">
        <v>4514</v>
      </c>
      <c r="G4520" s="33">
        <f t="shared" ca="1" si="83"/>
        <v>1.3562142354701004E-2</v>
      </c>
    </row>
    <row r="4521" spans="6:7" x14ac:dyDescent="0.3">
      <c r="F4521" s="124">
        <v>4515</v>
      </c>
      <c r="G4521" s="33">
        <f t="shared" ca="1" si="83"/>
        <v>-6.8338007443388721E-2</v>
      </c>
    </row>
    <row r="4522" spans="6:7" x14ac:dyDescent="0.3">
      <c r="F4522" s="124">
        <v>4516</v>
      </c>
      <c r="G4522" s="33">
        <f t="shared" ca="1" si="83"/>
        <v>1.34122153607685E-2</v>
      </c>
    </row>
    <row r="4523" spans="6:7" x14ac:dyDescent="0.3">
      <c r="F4523" s="124">
        <v>4517</v>
      </c>
      <c r="G4523" s="33">
        <f t="shared" ca="1" si="83"/>
        <v>-8.6179582157557139E-3</v>
      </c>
    </row>
    <row r="4524" spans="6:7" x14ac:dyDescent="0.3">
      <c r="F4524" s="124">
        <v>4518</v>
      </c>
      <c r="G4524" s="33">
        <f t="shared" ca="1" si="83"/>
        <v>2.3221603294312665E-2</v>
      </c>
    </row>
    <row r="4525" spans="6:7" x14ac:dyDescent="0.3">
      <c r="F4525" s="124">
        <v>4519</v>
      </c>
      <c r="G4525" s="33">
        <f t="shared" ca="1" si="83"/>
        <v>6.0246585809259026E-2</v>
      </c>
    </row>
    <row r="4526" spans="6:7" x14ac:dyDescent="0.3">
      <c r="F4526" s="124">
        <v>4520</v>
      </c>
      <c r="G4526" s="33">
        <f t="shared" ca="1" si="83"/>
        <v>-1.7391970485249049E-2</v>
      </c>
    </row>
    <row r="4527" spans="6:7" x14ac:dyDescent="0.3">
      <c r="F4527" s="124">
        <v>4521</v>
      </c>
      <c r="G4527" s="33">
        <f t="shared" ca="1" si="83"/>
        <v>-3.1367970015779414E-2</v>
      </c>
    </row>
    <row r="4528" spans="6:7" x14ac:dyDescent="0.3">
      <c r="F4528" s="124">
        <v>4522</v>
      </c>
      <c r="G4528" s="33">
        <f t="shared" ca="1" si="83"/>
        <v>-2.6674235838376081E-2</v>
      </c>
    </row>
    <row r="4529" spans="6:7" x14ac:dyDescent="0.3">
      <c r="F4529" s="124">
        <v>4523</v>
      </c>
      <c r="G4529" s="33">
        <f t="shared" ca="1" si="83"/>
        <v>1.5150860491835529E-2</v>
      </c>
    </row>
    <row r="4530" spans="6:7" x14ac:dyDescent="0.3">
      <c r="F4530" s="124">
        <v>4524</v>
      </c>
      <c r="G4530" s="33">
        <f t="shared" ca="1" si="83"/>
        <v>3.2108708472435778E-2</v>
      </c>
    </row>
    <row r="4531" spans="6:7" x14ac:dyDescent="0.3">
      <c r="F4531" s="124">
        <v>4525</v>
      </c>
      <c r="G4531" s="33">
        <f t="shared" ca="1" si="83"/>
        <v>3.3683598300476673E-2</v>
      </c>
    </row>
    <row r="4532" spans="6:7" x14ac:dyDescent="0.3">
      <c r="F4532" s="124">
        <v>4526</v>
      </c>
      <c r="G4532" s="33">
        <f t="shared" ca="1" si="83"/>
        <v>-8.5084213190311786E-5</v>
      </c>
    </row>
    <row r="4533" spans="6:7" x14ac:dyDescent="0.3">
      <c r="F4533" s="124">
        <v>4527</v>
      </c>
      <c r="G4533" s="33">
        <f t="shared" ca="1" si="83"/>
        <v>5.2610954227042726E-2</v>
      </c>
    </row>
    <row r="4534" spans="6:7" x14ac:dyDescent="0.3">
      <c r="F4534" s="124">
        <v>4528</v>
      </c>
      <c r="G4534" s="33">
        <f t="shared" ca="1" si="83"/>
        <v>-1.9920317405833998E-2</v>
      </c>
    </row>
    <row r="4535" spans="6:7" x14ac:dyDescent="0.3">
      <c r="F4535" s="124">
        <v>4529</v>
      </c>
      <c r="G4535" s="33">
        <f t="shared" ca="1" si="83"/>
        <v>7.6762378099569581E-3</v>
      </c>
    </row>
    <row r="4536" spans="6:7" x14ac:dyDescent="0.3">
      <c r="F4536" s="124">
        <v>4530</v>
      </c>
      <c r="G4536" s="33">
        <f t="shared" ca="1" si="83"/>
        <v>3.1563549938747895E-2</v>
      </c>
    </row>
    <row r="4537" spans="6:7" x14ac:dyDescent="0.3">
      <c r="F4537" s="124">
        <v>4531</v>
      </c>
      <c r="G4537" s="33">
        <f t="shared" ca="1" si="83"/>
        <v>4.0127300633901316E-3</v>
      </c>
    </row>
    <row r="4538" spans="6:7" x14ac:dyDescent="0.3">
      <c r="F4538" s="124">
        <v>4532</v>
      </c>
      <c r="G4538" s="33">
        <f t="shared" ca="1" si="83"/>
        <v>1.6511077147370691E-2</v>
      </c>
    </row>
    <row r="4539" spans="6:7" x14ac:dyDescent="0.3">
      <c r="F4539" s="124">
        <v>4533</v>
      </c>
      <c r="G4539" s="33">
        <f t="shared" ca="1" si="83"/>
        <v>7.5575543278080552E-3</v>
      </c>
    </row>
    <row r="4540" spans="6:7" x14ac:dyDescent="0.3">
      <c r="F4540" s="124">
        <v>4534</v>
      </c>
      <c r="G4540" s="33">
        <f t="shared" ca="1" si="83"/>
        <v>4.2401059864319406E-3</v>
      </c>
    </row>
    <row r="4541" spans="6:7" x14ac:dyDescent="0.3">
      <c r="F4541" s="124">
        <v>4535</v>
      </c>
      <c r="G4541" s="33">
        <f t="shared" ca="1" si="83"/>
        <v>-8.2885102654783535E-3</v>
      </c>
    </row>
    <row r="4542" spans="6:7" x14ac:dyDescent="0.3">
      <c r="F4542" s="124">
        <v>4536</v>
      </c>
      <c r="G4542" s="33">
        <f t="shared" ca="1" si="83"/>
        <v>4.3349474790134894E-2</v>
      </c>
    </row>
    <row r="4543" spans="6:7" x14ac:dyDescent="0.3">
      <c r="F4543" s="124">
        <v>4537</v>
      </c>
      <c r="G4543" s="33">
        <f t="shared" ca="1" si="83"/>
        <v>-5.3449248051079118E-2</v>
      </c>
    </row>
    <row r="4544" spans="6:7" x14ac:dyDescent="0.3">
      <c r="F4544" s="124">
        <v>4538</v>
      </c>
      <c r="G4544" s="33">
        <f t="shared" ca="1" si="83"/>
        <v>2.0191521362707864E-2</v>
      </c>
    </row>
    <row r="4545" spans="6:7" x14ac:dyDescent="0.3">
      <c r="F4545" s="124">
        <v>4539</v>
      </c>
      <c r="G4545" s="33">
        <f t="shared" ca="1" si="83"/>
        <v>-1.4444505223477681E-2</v>
      </c>
    </row>
    <row r="4546" spans="6:7" x14ac:dyDescent="0.3">
      <c r="F4546" s="124">
        <v>4540</v>
      </c>
      <c r="G4546" s="33">
        <f t="shared" ca="1" si="83"/>
        <v>-2.4675806717575768E-2</v>
      </c>
    </row>
    <row r="4547" spans="6:7" x14ac:dyDescent="0.3">
      <c r="F4547" s="124">
        <v>4541</v>
      </c>
      <c r="G4547" s="33">
        <f t="shared" ca="1" si="83"/>
        <v>2.9544188461768081E-2</v>
      </c>
    </row>
    <row r="4548" spans="6:7" x14ac:dyDescent="0.3">
      <c r="F4548" s="124">
        <v>4542</v>
      </c>
      <c r="G4548" s="33">
        <f t="shared" ca="1" si="83"/>
        <v>1.4606110208586667E-2</v>
      </c>
    </row>
    <row r="4549" spans="6:7" x14ac:dyDescent="0.3">
      <c r="F4549" s="124">
        <v>4543</v>
      </c>
      <c r="G4549" s="33">
        <f t="shared" ca="1" si="83"/>
        <v>-3.2697909153801212E-2</v>
      </c>
    </row>
    <row r="4550" spans="6:7" x14ac:dyDescent="0.3">
      <c r="F4550" s="124">
        <v>4544</v>
      </c>
      <c r="G4550" s="33">
        <f t="shared" ca="1" si="83"/>
        <v>8.3079204118184473E-3</v>
      </c>
    </row>
    <row r="4551" spans="6:7" x14ac:dyDescent="0.3">
      <c r="F4551" s="124">
        <v>4545</v>
      </c>
      <c r="G4551" s="33">
        <f t="shared" ca="1" si="83"/>
        <v>-3.7204535103031768E-2</v>
      </c>
    </row>
    <row r="4552" spans="6:7" x14ac:dyDescent="0.3">
      <c r="F4552" s="124">
        <v>4546</v>
      </c>
      <c r="G4552" s="33">
        <f t="shared" ref="G4552:G4615" ca="1" si="84">_xlfn.NORM.INV(RAND(),$M$9,$M$10)</f>
        <v>3.65130366512805E-2</v>
      </c>
    </row>
    <row r="4553" spans="6:7" x14ac:dyDescent="0.3">
      <c r="F4553" s="124">
        <v>4547</v>
      </c>
      <c r="G4553" s="33">
        <f t="shared" ca="1" si="84"/>
        <v>-1.610083696737118E-2</v>
      </c>
    </row>
    <row r="4554" spans="6:7" x14ac:dyDescent="0.3">
      <c r="F4554" s="124">
        <v>4548</v>
      </c>
      <c r="G4554" s="33">
        <f t="shared" ca="1" si="84"/>
        <v>1.0995833612026402E-3</v>
      </c>
    </row>
    <row r="4555" spans="6:7" x14ac:dyDescent="0.3">
      <c r="F4555" s="124">
        <v>4549</v>
      </c>
      <c r="G4555" s="33">
        <f t="shared" ca="1" si="84"/>
        <v>5.4757371253816405E-3</v>
      </c>
    </row>
    <row r="4556" spans="6:7" x14ac:dyDescent="0.3">
      <c r="F4556" s="124">
        <v>4550</v>
      </c>
      <c r="G4556" s="33">
        <f t="shared" ca="1" si="84"/>
        <v>2.075966294415129E-2</v>
      </c>
    </row>
    <row r="4557" spans="6:7" x14ac:dyDescent="0.3">
      <c r="F4557" s="124">
        <v>4551</v>
      </c>
      <c r="G4557" s="33">
        <f t="shared" ca="1" si="84"/>
        <v>-4.1584770453519528E-2</v>
      </c>
    </row>
    <row r="4558" spans="6:7" x14ac:dyDescent="0.3">
      <c r="F4558" s="124">
        <v>4552</v>
      </c>
      <c r="G4558" s="33">
        <f t="shared" ca="1" si="84"/>
        <v>-5.3124031007251811E-3</v>
      </c>
    </row>
    <row r="4559" spans="6:7" x14ac:dyDescent="0.3">
      <c r="F4559" s="124">
        <v>4553</v>
      </c>
      <c r="G4559" s="33">
        <f t="shared" ca="1" si="84"/>
        <v>6.439175299929158E-3</v>
      </c>
    </row>
    <row r="4560" spans="6:7" x14ac:dyDescent="0.3">
      <c r="F4560" s="124">
        <v>4554</v>
      </c>
      <c r="G4560" s="33">
        <f t="shared" ca="1" si="84"/>
        <v>6.1732318029393638E-3</v>
      </c>
    </row>
    <row r="4561" spans="6:7" x14ac:dyDescent="0.3">
      <c r="F4561" s="124">
        <v>4555</v>
      </c>
      <c r="G4561" s="33">
        <f t="shared" ca="1" si="84"/>
        <v>-9.8987281935260458E-4</v>
      </c>
    </row>
    <row r="4562" spans="6:7" x14ac:dyDescent="0.3">
      <c r="F4562" s="124">
        <v>4556</v>
      </c>
      <c r="G4562" s="33">
        <f t="shared" ca="1" si="84"/>
        <v>-7.0156576843850319E-3</v>
      </c>
    </row>
    <row r="4563" spans="6:7" x14ac:dyDescent="0.3">
      <c r="F4563" s="124">
        <v>4557</v>
      </c>
      <c r="G4563" s="33">
        <f t="shared" ca="1" si="84"/>
        <v>-5.1196749833620596E-3</v>
      </c>
    </row>
    <row r="4564" spans="6:7" x14ac:dyDescent="0.3">
      <c r="F4564" s="124">
        <v>4558</v>
      </c>
      <c r="G4564" s="33">
        <f t="shared" ca="1" si="84"/>
        <v>-6.878720592589134E-2</v>
      </c>
    </row>
    <row r="4565" spans="6:7" x14ac:dyDescent="0.3">
      <c r="F4565" s="124">
        <v>4559</v>
      </c>
      <c r="G4565" s="33">
        <f t="shared" ca="1" si="84"/>
        <v>1.9803579899680446E-2</v>
      </c>
    </row>
    <row r="4566" spans="6:7" x14ac:dyDescent="0.3">
      <c r="F4566" s="124">
        <v>4560</v>
      </c>
      <c r="G4566" s="33">
        <f t="shared" ca="1" si="84"/>
        <v>-6.4949657024117272E-2</v>
      </c>
    </row>
    <row r="4567" spans="6:7" x14ac:dyDescent="0.3">
      <c r="F4567" s="124">
        <v>4561</v>
      </c>
      <c r="G4567" s="33">
        <f t="shared" ca="1" si="84"/>
        <v>2.4947816649248084E-2</v>
      </c>
    </row>
    <row r="4568" spans="6:7" x14ac:dyDescent="0.3">
      <c r="F4568" s="124">
        <v>4562</v>
      </c>
      <c r="G4568" s="33">
        <f t="shared" ca="1" si="84"/>
        <v>-1.4173896214183081E-5</v>
      </c>
    </row>
    <row r="4569" spans="6:7" x14ac:dyDescent="0.3">
      <c r="F4569" s="124">
        <v>4563</v>
      </c>
      <c r="G4569" s="33">
        <f t="shared" ca="1" si="84"/>
        <v>-3.4615149008465233E-2</v>
      </c>
    </row>
    <row r="4570" spans="6:7" x14ac:dyDescent="0.3">
      <c r="F4570" s="124">
        <v>4564</v>
      </c>
      <c r="G4570" s="33">
        <f t="shared" ca="1" si="84"/>
        <v>-8.3628933346006698E-3</v>
      </c>
    </row>
    <row r="4571" spans="6:7" x14ac:dyDescent="0.3">
      <c r="F4571" s="124">
        <v>4565</v>
      </c>
      <c r="G4571" s="33">
        <f t="shared" ca="1" si="84"/>
        <v>2.3860000780145128E-2</v>
      </c>
    </row>
    <row r="4572" spans="6:7" x14ac:dyDescent="0.3">
      <c r="F4572" s="124">
        <v>4566</v>
      </c>
      <c r="G4572" s="33">
        <f t="shared" ca="1" si="84"/>
        <v>-2.1141571204247058E-2</v>
      </c>
    </row>
    <row r="4573" spans="6:7" x14ac:dyDescent="0.3">
      <c r="F4573" s="124">
        <v>4567</v>
      </c>
      <c r="G4573" s="33">
        <f t="shared" ca="1" si="84"/>
        <v>-1.2714188040507775E-2</v>
      </c>
    </row>
    <row r="4574" spans="6:7" x14ac:dyDescent="0.3">
      <c r="F4574" s="124">
        <v>4568</v>
      </c>
      <c r="G4574" s="33">
        <f t="shared" ca="1" si="84"/>
        <v>1.952541279065035E-2</v>
      </c>
    </row>
    <row r="4575" spans="6:7" x14ac:dyDescent="0.3">
      <c r="F4575" s="124">
        <v>4569</v>
      </c>
      <c r="G4575" s="33">
        <f t="shared" ca="1" si="84"/>
        <v>6.4238382645993661E-3</v>
      </c>
    </row>
    <row r="4576" spans="6:7" x14ac:dyDescent="0.3">
      <c r="F4576" s="124">
        <v>4570</v>
      </c>
      <c r="G4576" s="33">
        <f t="shared" ca="1" si="84"/>
        <v>-4.5873842374621346E-2</v>
      </c>
    </row>
    <row r="4577" spans="6:7" x14ac:dyDescent="0.3">
      <c r="F4577" s="124">
        <v>4571</v>
      </c>
      <c r="G4577" s="33">
        <f t="shared" ca="1" si="84"/>
        <v>-2.1496912980650713E-2</v>
      </c>
    </row>
    <row r="4578" spans="6:7" x14ac:dyDescent="0.3">
      <c r="F4578" s="124">
        <v>4572</v>
      </c>
      <c r="G4578" s="33">
        <f t="shared" ca="1" si="84"/>
        <v>8.0079981190858546E-3</v>
      </c>
    </row>
    <row r="4579" spans="6:7" x14ac:dyDescent="0.3">
      <c r="F4579" s="124">
        <v>4573</v>
      </c>
      <c r="G4579" s="33">
        <f t="shared" ca="1" si="84"/>
        <v>-1.6072088860855066E-2</v>
      </c>
    </row>
    <row r="4580" spans="6:7" x14ac:dyDescent="0.3">
      <c r="F4580" s="124">
        <v>4574</v>
      </c>
      <c r="G4580" s="33">
        <f t="shared" ca="1" si="84"/>
        <v>-1.8539022521114123E-2</v>
      </c>
    </row>
    <row r="4581" spans="6:7" x14ac:dyDescent="0.3">
      <c r="F4581" s="124">
        <v>4575</v>
      </c>
      <c r="G4581" s="33">
        <f t="shared" ca="1" si="84"/>
        <v>2.5827512449527416E-2</v>
      </c>
    </row>
    <row r="4582" spans="6:7" x14ac:dyDescent="0.3">
      <c r="F4582" s="124">
        <v>4576</v>
      </c>
      <c r="G4582" s="33">
        <f t="shared" ca="1" si="84"/>
        <v>-2.8591016569375002E-2</v>
      </c>
    </row>
    <row r="4583" spans="6:7" x14ac:dyDescent="0.3">
      <c r="F4583" s="124">
        <v>4577</v>
      </c>
      <c r="G4583" s="33">
        <f t="shared" ca="1" si="84"/>
        <v>-5.5234320060190287E-2</v>
      </c>
    </row>
    <row r="4584" spans="6:7" x14ac:dyDescent="0.3">
      <c r="F4584" s="124">
        <v>4578</v>
      </c>
      <c r="G4584" s="33">
        <f t="shared" ca="1" si="84"/>
        <v>2.3923618232615684E-2</v>
      </c>
    </row>
    <row r="4585" spans="6:7" x14ac:dyDescent="0.3">
      <c r="F4585" s="124">
        <v>4579</v>
      </c>
      <c r="G4585" s="33">
        <f t="shared" ca="1" si="84"/>
        <v>1.2573086755248611E-2</v>
      </c>
    </row>
    <row r="4586" spans="6:7" x14ac:dyDescent="0.3">
      <c r="F4586" s="124">
        <v>4580</v>
      </c>
      <c r="G4586" s="33">
        <f t="shared" ca="1" si="84"/>
        <v>2.1227461905372169E-2</v>
      </c>
    </row>
    <row r="4587" spans="6:7" x14ac:dyDescent="0.3">
      <c r="F4587" s="124">
        <v>4581</v>
      </c>
      <c r="G4587" s="33">
        <f t="shared" ca="1" si="84"/>
        <v>-4.600065047521338E-2</v>
      </c>
    </row>
    <row r="4588" spans="6:7" x14ac:dyDescent="0.3">
      <c r="F4588" s="124">
        <v>4582</v>
      </c>
      <c r="G4588" s="33">
        <f t="shared" ca="1" si="84"/>
        <v>5.2765981330174537E-2</v>
      </c>
    </row>
    <row r="4589" spans="6:7" x14ac:dyDescent="0.3">
      <c r="F4589" s="124">
        <v>4583</v>
      </c>
      <c r="G4589" s="33">
        <f t="shared" ca="1" si="84"/>
        <v>1.6768669146982919E-2</v>
      </c>
    </row>
    <row r="4590" spans="6:7" x14ac:dyDescent="0.3">
      <c r="F4590" s="124">
        <v>4584</v>
      </c>
      <c r="G4590" s="33">
        <f t="shared" ca="1" si="84"/>
        <v>-2.4363921228076079E-2</v>
      </c>
    </row>
    <row r="4591" spans="6:7" x14ac:dyDescent="0.3">
      <c r="F4591" s="124">
        <v>4585</v>
      </c>
      <c r="G4591" s="33">
        <f t="shared" ca="1" si="84"/>
        <v>3.1173985651559839E-2</v>
      </c>
    </row>
    <row r="4592" spans="6:7" x14ac:dyDescent="0.3">
      <c r="F4592" s="124">
        <v>4586</v>
      </c>
      <c r="G4592" s="33">
        <f t="shared" ca="1" si="84"/>
        <v>7.1508802508304971E-3</v>
      </c>
    </row>
    <row r="4593" spans="6:7" x14ac:dyDescent="0.3">
      <c r="F4593" s="124">
        <v>4587</v>
      </c>
      <c r="G4593" s="33">
        <f t="shared" ca="1" si="84"/>
        <v>3.5248923247709125E-2</v>
      </c>
    </row>
    <row r="4594" spans="6:7" x14ac:dyDescent="0.3">
      <c r="F4594" s="124">
        <v>4588</v>
      </c>
      <c r="G4594" s="33">
        <f t="shared" ca="1" si="84"/>
        <v>2.9367376556471664E-2</v>
      </c>
    </row>
    <row r="4595" spans="6:7" x14ac:dyDescent="0.3">
      <c r="F4595" s="124">
        <v>4589</v>
      </c>
      <c r="G4595" s="33">
        <f t="shared" ca="1" si="84"/>
        <v>7.9843821829554809E-2</v>
      </c>
    </row>
    <row r="4596" spans="6:7" x14ac:dyDescent="0.3">
      <c r="F4596" s="124">
        <v>4590</v>
      </c>
      <c r="G4596" s="33">
        <f t="shared" ca="1" si="84"/>
        <v>-2.2652348441609394E-2</v>
      </c>
    </row>
    <row r="4597" spans="6:7" x14ac:dyDescent="0.3">
      <c r="F4597" s="124">
        <v>4591</v>
      </c>
      <c r="G4597" s="33">
        <f t="shared" ca="1" si="84"/>
        <v>2.5793855025504093E-2</v>
      </c>
    </row>
    <row r="4598" spans="6:7" x14ac:dyDescent="0.3">
      <c r="F4598" s="124">
        <v>4592</v>
      </c>
      <c r="G4598" s="33">
        <f t="shared" ca="1" si="84"/>
        <v>-4.0566709586162236E-2</v>
      </c>
    </row>
    <row r="4599" spans="6:7" x14ac:dyDescent="0.3">
      <c r="F4599" s="124">
        <v>4593</v>
      </c>
      <c r="G4599" s="33">
        <f t="shared" ca="1" si="84"/>
        <v>4.0342247575399004E-2</v>
      </c>
    </row>
    <row r="4600" spans="6:7" x14ac:dyDescent="0.3">
      <c r="F4600" s="124">
        <v>4594</v>
      </c>
      <c r="G4600" s="33">
        <f t="shared" ca="1" si="84"/>
        <v>2.7603727241446111E-2</v>
      </c>
    </row>
    <row r="4601" spans="6:7" x14ac:dyDescent="0.3">
      <c r="F4601" s="124">
        <v>4595</v>
      </c>
      <c r="G4601" s="33">
        <f t="shared" ca="1" si="84"/>
        <v>2.2518952496554539E-2</v>
      </c>
    </row>
    <row r="4602" spans="6:7" x14ac:dyDescent="0.3">
      <c r="F4602" s="124">
        <v>4596</v>
      </c>
      <c r="G4602" s="33">
        <f t="shared" ca="1" si="84"/>
        <v>2.2000547115636301E-2</v>
      </c>
    </row>
    <row r="4603" spans="6:7" x14ac:dyDescent="0.3">
      <c r="F4603" s="124">
        <v>4597</v>
      </c>
      <c r="G4603" s="33">
        <f t="shared" ca="1" si="84"/>
        <v>-3.1552304573698748E-3</v>
      </c>
    </row>
    <row r="4604" spans="6:7" x14ac:dyDescent="0.3">
      <c r="F4604" s="124">
        <v>4598</v>
      </c>
      <c r="G4604" s="33">
        <f t="shared" ca="1" si="84"/>
        <v>-1.1184199190610599E-2</v>
      </c>
    </row>
    <row r="4605" spans="6:7" x14ac:dyDescent="0.3">
      <c r="F4605" s="124">
        <v>4599</v>
      </c>
      <c r="G4605" s="33">
        <f t="shared" ca="1" si="84"/>
        <v>1.4529517245395609E-2</v>
      </c>
    </row>
    <row r="4606" spans="6:7" x14ac:dyDescent="0.3">
      <c r="F4606" s="124">
        <v>4600</v>
      </c>
      <c r="G4606" s="33">
        <f t="shared" ca="1" si="84"/>
        <v>-1.2820797435138306E-2</v>
      </c>
    </row>
    <row r="4607" spans="6:7" x14ac:dyDescent="0.3">
      <c r="F4607" s="124">
        <v>4601</v>
      </c>
      <c r="G4607" s="33">
        <f t="shared" ca="1" si="84"/>
        <v>1.0439188780361226E-3</v>
      </c>
    </row>
    <row r="4608" spans="6:7" x14ac:dyDescent="0.3">
      <c r="F4608" s="124">
        <v>4602</v>
      </c>
      <c r="G4608" s="33">
        <f t="shared" ca="1" si="84"/>
        <v>-6.4328809856048594E-2</v>
      </c>
    </row>
    <row r="4609" spans="6:7" x14ac:dyDescent="0.3">
      <c r="F4609" s="124">
        <v>4603</v>
      </c>
      <c r="G4609" s="33">
        <f t="shared" ca="1" si="84"/>
        <v>1.4355382062397382E-2</v>
      </c>
    </row>
    <row r="4610" spans="6:7" x14ac:dyDescent="0.3">
      <c r="F4610" s="124">
        <v>4604</v>
      </c>
      <c r="G4610" s="33">
        <f t="shared" ca="1" si="84"/>
        <v>-2.1621418739467217E-3</v>
      </c>
    </row>
    <row r="4611" spans="6:7" x14ac:dyDescent="0.3">
      <c r="F4611" s="124">
        <v>4605</v>
      </c>
      <c r="G4611" s="33">
        <f t="shared" ca="1" si="84"/>
        <v>1.736024318113584E-2</v>
      </c>
    </row>
    <row r="4612" spans="6:7" x14ac:dyDescent="0.3">
      <c r="F4612" s="124">
        <v>4606</v>
      </c>
      <c r="G4612" s="33">
        <f t="shared" ca="1" si="84"/>
        <v>3.6329640242480601E-2</v>
      </c>
    </row>
    <row r="4613" spans="6:7" x14ac:dyDescent="0.3">
      <c r="F4613" s="124">
        <v>4607</v>
      </c>
      <c r="G4613" s="33">
        <f t="shared" ca="1" si="84"/>
        <v>6.7972623686785557E-3</v>
      </c>
    </row>
    <row r="4614" spans="6:7" x14ac:dyDescent="0.3">
      <c r="F4614" s="124">
        <v>4608</v>
      </c>
      <c r="G4614" s="33">
        <f t="shared" ca="1" si="84"/>
        <v>-3.7493549510624384E-2</v>
      </c>
    </row>
    <row r="4615" spans="6:7" x14ac:dyDescent="0.3">
      <c r="F4615" s="124">
        <v>4609</v>
      </c>
      <c r="G4615" s="33">
        <f t="shared" ca="1" si="84"/>
        <v>-2.6966899300992914E-2</v>
      </c>
    </row>
    <row r="4616" spans="6:7" x14ac:dyDescent="0.3">
      <c r="F4616" s="124">
        <v>4610</v>
      </c>
      <c r="G4616" s="33">
        <f t="shared" ref="G4616:G4679" ca="1" si="85">_xlfn.NORM.INV(RAND(),$M$9,$M$10)</f>
        <v>2.1185022108528861E-2</v>
      </c>
    </row>
    <row r="4617" spans="6:7" x14ac:dyDescent="0.3">
      <c r="F4617" s="124">
        <v>4611</v>
      </c>
      <c r="G4617" s="33">
        <f t="shared" ca="1" si="85"/>
        <v>-1.8503270318958352E-2</v>
      </c>
    </row>
    <row r="4618" spans="6:7" x14ac:dyDescent="0.3">
      <c r="F4618" s="124">
        <v>4612</v>
      </c>
      <c r="G4618" s="33">
        <f t="shared" ca="1" si="85"/>
        <v>1.6072042176774697E-2</v>
      </c>
    </row>
    <row r="4619" spans="6:7" x14ac:dyDescent="0.3">
      <c r="F4619" s="124">
        <v>4613</v>
      </c>
      <c r="G4619" s="33">
        <f t="shared" ca="1" si="85"/>
        <v>6.8921903880383162E-2</v>
      </c>
    </row>
    <row r="4620" spans="6:7" x14ac:dyDescent="0.3">
      <c r="F4620" s="124">
        <v>4614</v>
      </c>
      <c r="G4620" s="33">
        <f t="shared" ca="1" si="85"/>
        <v>8.6030213206411826E-3</v>
      </c>
    </row>
    <row r="4621" spans="6:7" x14ac:dyDescent="0.3">
      <c r="F4621" s="124">
        <v>4615</v>
      </c>
      <c r="G4621" s="33">
        <f t="shared" ca="1" si="85"/>
        <v>3.3856130176490948E-3</v>
      </c>
    </row>
    <row r="4622" spans="6:7" x14ac:dyDescent="0.3">
      <c r="F4622" s="124">
        <v>4616</v>
      </c>
      <c r="G4622" s="33">
        <f t="shared" ca="1" si="85"/>
        <v>-3.4086990217563708E-2</v>
      </c>
    </row>
    <row r="4623" spans="6:7" x14ac:dyDescent="0.3">
      <c r="F4623" s="124">
        <v>4617</v>
      </c>
      <c r="G4623" s="33">
        <f t="shared" ca="1" si="85"/>
        <v>1.4116070759926963E-3</v>
      </c>
    </row>
    <row r="4624" spans="6:7" x14ac:dyDescent="0.3">
      <c r="F4624" s="124">
        <v>4618</v>
      </c>
      <c r="G4624" s="33">
        <f t="shared" ca="1" si="85"/>
        <v>2.7415648380257644E-3</v>
      </c>
    </row>
    <row r="4625" spans="6:7" x14ac:dyDescent="0.3">
      <c r="F4625" s="124">
        <v>4619</v>
      </c>
      <c r="G4625" s="33">
        <f t="shared" ca="1" si="85"/>
        <v>-4.0283985987741057E-3</v>
      </c>
    </row>
    <row r="4626" spans="6:7" x14ac:dyDescent="0.3">
      <c r="F4626" s="124">
        <v>4620</v>
      </c>
      <c r="G4626" s="33">
        <f t="shared" ca="1" si="85"/>
        <v>4.6009012767067353E-4</v>
      </c>
    </row>
    <row r="4627" spans="6:7" x14ac:dyDescent="0.3">
      <c r="F4627" s="124">
        <v>4621</v>
      </c>
      <c r="G4627" s="33">
        <f t="shared" ca="1" si="85"/>
        <v>4.1077816274907248E-3</v>
      </c>
    </row>
    <row r="4628" spans="6:7" x14ac:dyDescent="0.3">
      <c r="F4628" s="124">
        <v>4622</v>
      </c>
      <c r="G4628" s="33">
        <f t="shared" ca="1" si="85"/>
        <v>5.8342980466722619E-4</v>
      </c>
    </row>
    <row r="4629" spans="6:7" x14ac:dyDescent="0.3">
      <c r="F4629" s="124">
        <v>4623</v>
      </c>
      <c r="G4629" s="33">
        <f t="shared" ca="1" si="85"/>
        <v>3.8691014404534235E-4</v>
      </c>
    </row>
    <row r="4630" spans="6:7" x14ac:dyDescent="0.3">
      <c r="F4630" s="124">
        <v>4624</v>
      </c>
      <c r="G4630" s="33">
        <f t="shared" ca="1" si="85"/>
        <v>-4.4232088520157052E-2</v>
      </c>
    </row>
    <row r="4631" spans="6:7" x14ac:dyDescent="0.3">
      <c r="F4631" s="124">
        <v>4625</v>
      </c>
      <c r="G4631" s="33">
        <f t="shared" ca="1" si="85"/>
        <v>2.231350299248749E-2</v>
      </c>
    </row>
    <row r="4632" spans="6:7" x14ac:dyDescent="0.3">
      <c r="F4632" s="124">
        <v>4626</v>
      </c>
      <c r="G4632" s="33">
        <f t="shared" ca="1" si="85"/>
        <v>-1.3549974702462681E-2</v>
      </c>
    </row>
    <row r="4633" spans="6:7" x14ac:dyDescent="0.3">
      <c r="F4633" s="124">
        <v>4627</v>
      </c>
      <c r="G4633" s="33">
        <f t="shared" ca="1" si="85"/>
        <v>-4.7933044270796954E-3</v>
      </c>
    </row>
    <row r="4634" spans="6:7" x14ac:dyDescent="0.3">
      <c r="F4634" s="124">
        <v>4628</v>
      </c>
      <c r="G4634" s="33">
        <f t="shared" ca="1" si="85"/>
        <v>4.0669404525549881E-3</v>
      </c>
    </row>
    <row r="4635" spans="6:7" x14ac:dyDescent="0.3">
      <c r="F4635" s="124">
        <v>4629</v>
      </c>
      <c r="G4635" s="33">
        <f t="shared" ca="1" si="85"/>
        <v>-5.087543579955274E-2</v>
      </c>
    </row>
    <row r="4636" spans="6:7" x14ac:dyDescent="0.3">
      <c r="F4636" s="124">
        <v>4630</v>
      </c>
      <c r="G4636" s="33">
        <f t="shared" ca="1" si="85"/>
        <v>-2.5381178455415238E-2</v>
      </c>
    </row>
    <row r="4637" spans="6:7" x14ac:dyDescent="0.3">
      <c r="F4637" s="124">
        <v>4631</v>
      </c>
      <c r="G4637" s="33">
        <f t="shared" ca="1" si="85"/>
        <v>3.3161893749106115E-2</v>
      </c>
    </row>
    <row r="4638" spans="6:7" x14ac:dyDescent="0.3">
      <c r="F4638" s="124">
        <v>4632</v>
      </c>
      <c r="G4638" s="33">
        <f t="shared" ca="1" si="85"/>
        <v>1.258719104876933E-2</v>
      </c>
    </row>
    <row r="4639" spans="6:7" x14ac:dyDescent="0.3">
      <c r="F4639" s="124">
        <v>4633</v>
      </c>
      <c r="G4639" s="33">
        <f t="shared" ca="1" si="85"/>
        <v>-1.4520949538027364E-2</v>
      </c>
    </row>
    <row r="4640" spans="6:7" x14ac:dyDescent="0.3">
      <c r="F4640" s="124">
        <v>4634</v>
      </c>
      <c r="G4640" s="33">
        <f t="shared" ca="1" si="85"/>
        <v>-2.6096751853436972E-2</v>
      </c>
    </row>
    <row r="4641" spans="6:7" x14ac:dyDescent="0.3">
      <c r="F4641" s="124">
        <v>4635</v>
      </c>
      <c r="G4641" s="33">
        <f t="shared" ca="1" si="85"/>
        <v>-5.2702513083752178E-2</v>
      </c>
    </row>
    <row r="4642" spans="6:7" x14ac:dyDescent="0.3">
      <c r="F4642" s="124">
        <v>4636</v>
      </c>
      <c r="G4642" s="33">
        <f t="shared" ca="1" si="85"/>
        <v>-3.6858431421422012E-2</v>
      </c>
    </row>
    <row r="4643" spans="6:7" x14ac:dyDescent="0.3">
      <c r="F4643" s="124">
        <v>4637</v>
      </c>
      <c r="G4643" s="33">
        <f t="shared" ca="1" si="85"/>
        <v>2.0695053270549837E-2</v>
      </c>
    </row>
    <row r="4644" spans="6:7" x14ac:dyDescent="0.3">
      <c r="F4644" s="124">
        <v>4638</v>
      </c>
      <c r="G4644" s="33">
        <f t="shared" ca="1" si="85"/>
        <v>3.3845536000416822E-2</v>
      </c>
    </row>
    <row r="4645" spans="6:7" x14ac:dyDescent="0.3">
      <c r="F4645" s="124">
        <v>4639</v>
      </c>
      <c r="G4645" s="33">
        <f t="shared" ca="1" si="85"/>
        <v>-1.7727885344472512E-2</v>
      </c>
    </row>
    <row r="4646" spans="6:7" x14ac:dyDescent="0.3">
      <c r="F4646" s="124">
        <v>4640</v>
      </c>
      <c r="G4646" s="33">
        <f t="shared" ca="1" si="85"/>
        <v>3.7646440158584843E-2</v>
      </c>
    </row>
    <row r="4647" spans="6:7" x14ac:dyDescent="0.3">
      <c r="F4647" s="124">
        <v>4641</v>
      </c>
      <c r="G4647" s="33">
        <f t="shared" ca="1" si="85"/>
        <v>-1.9325568620999434E-2</v>
      </c>
    </row>
    <row r="4648" spans="6:7" x14ac:dyDescent="0.3">
      <c r="F4648" s="124">
        <v>4642</v>
      </c>
      <c r="G4648" s="33">
        <f t="shared" ca="1" si="85"/>
        <v>4.2888155624872797E-2</v>
      </c>
    </row>
    <row r="4649" spans="6:7" x14ac:dyDescent="0.3">
      <c r="F4649" s="124">
        <v>4643</v>
      </c>
      <c r="G4649" s="33">
        <f t="shared" ca="1" si="85"/>
        <v>1.9298367585052423E-2</v>
      </c>
    </row>
    <row r="4650" spans="6:7" x14ac:dyDescent="0.3">
      <c r="F4650" s="124">
        <v>4644</v>
      </c>
      <c r="G4650" s="33">
        <f t="shared" ca="1" si="85"/>
        <v>2.0526272055084775E-2</v>
      </c>
    </row>
    <row r="4651" spans="6:7" x14ac:dyDescent="0.3">
      <c r="F4651" s="124">
        <v>4645</v>
      </c>
      <c r="G4651" s="33">
        <f t="shared" ca="1" si="85"/>
        <v>-1.4699805578182377E-2</v>
      </c>
    </row>
    <row r="4652" spans="6:7" x14ac:dyDescent="0.3">
      <c r="F4652" s="124">
        <v>4646</v>
      </c>
      <c r="G4652" s="33">
        <f t="shared" ca="1" si="85"/>
        <v>-1.1793319547719425E-2</v>
      </c>
    </row>
    <row r="4653" spans="6:7" x14ac:dyDescent="0.3">
      <c r="F4653" s="124">
        <v>4647</v>
      </c>
      <c r="G4653" s="33">
        <f t="shared" ca="1" si="85"/>
        <v>-1.6456273754238266E-2</v>
      </c>
    </row>
    <row r="4654" spans="6:7" x14ac:dyDescent="0.3">
      <c r="F4654" s="124">
        <v>4648</v>
      </c>
      <c r="G4654" s="33">
        <f t="shared" ca="1" si="85"/>
        <v>-1.5393844072577167E-2</v>
      </c>
    </row>
    <row r="4655" spans="6:7" x14ac:dyDescent="0.3">
      <c r="F4655" s="124">
        <v>4649</v>
      </c>
      <c r="G4655" s="33">
        <f t="shared" ca="1" si="85"/>
        <v>9.0469044597637022E-2</v>
      </c>
    </row>
    <row r="4656" spans="6:7" x14ac:dyDescent="0.3">
      <c r="F4656" s="124">
        <v>4650</v>
      </c>
      <c r="G4656" s="33">
        <f t="shared" ca="1" si="85"/>
        <v>1.0462597226287548E-2</v>
      </c>
    </row>
    <row r="4657" spans="6:7" x14ac:dyDescent="0.3">
      <c r="F4657" s="124">
        <v>4651</v>
      </c>
      <c r="G4657" s="33">
        <f t="shared" ca="1" si="85"/>
        <v>3.9495122394568816E-2</v>
      </c>
    </row>
    <row r="4658" spans="6:7" x14ac:dyDescent="0.3">
      <c r="F4658" s="124">
        <v>4652</v>
      </c>
      <c r="G4658" s="33">
        <f t="shared" ca="1" si="85"/>
        <v>-3.4324254285372259E-2</v>
      </c>
    </row>
    <row r="4659" spans="6:7" x14ac:dyDescent="0.3">
      <c r="F4659" s="124">
        <v>4653</v>
      </c>
      <c r="G4659" s="33">
        <f t="shared" ca="1" si="85"/>
        <v>2.6593216794051775E-2</v>
      </c>
    </row>
    <row r="4660" spans="6:7" x14ac:dyDescent="0.3">
      <c r="F4660" s="124">
        <v>4654</v>
      </c>
      <c r="G4660" s="33">
        <f t="shared" ca="1" si="85"/>
        <v>-5.9849633857542987E-2</v>
      </c>
    </row>
    <row r="4661" spans="6:7" x14ac:dyDescent="0.3">
      <c r="F4661" s="124">
        <v>4655</v>
      </c>
      <c r="G4661" s="33">
        <f t="shared" ca="1" si="85"/>
        <v>-9.4252370040113151E-3</v>
      </c>
    </row>
    <row r="4662" spans="6:7" x14ac:dyDescent="0.3">
      <c r="F4662" s="124">
        <v>4656</v>
      </c>
      <c r="G4662" s="33">
        <f t="shared" ca="1" si="85"/>
        <v>-8.7257222907306843E-3</v>
      </c>
    </row>
    <row r="4663" spans="6:7" x14ac:dyDescent="0.3">
      <c r="F4663" s="124">
        <v>4657</v>
      </c>
      <c r="G4663" s="33">
        <f t="shared" ca="1" si="85"/>
        <v>-2.2586495654365268E-2</v>
      </c>
    </row>
    <row r="4664" spans="6:7" x14ac:dyDescent="0.3">
      <c r="F4664" s="124">
        <v>4658</v>
      </c>
      <c r="G4664" s="33">
        <f t="shared" ca="1" si="85"/>
        <v>1.0185022038543295E-2</v>
      </c>
    </row>
    <row r="4665" spans="6:7" x14ac:dyDescent="0.3">
      <c r="F4665" s="124">
        <v>4659</v>
      </c>
      <c r="G4665" s="33">
        <f t="shared" ca="1" si="85"/>
        <v>-4.7896134542989001E-2</v>
      </c>
    </row>
    <row r="4666" spans="6:7" x14ac:dyDescent="0.3">
      <c r="F4666" s="124">
        <v>4660</v>
      </c>
      <c r="G4666" s="33">
        <f t="shared" ca="1" si="85"/>
        <v>2.4679827426728376E-2</v>
      </c>
    </row>
    <row r="4667" spans="6:7" x14ac:dyDescent="0.3">
      <c r="F4667" s="124">
        <v>4661</v>
      </c>
      <c r="G4667" s="33">
        <f t="shared" ca="1" si="85"/>
        <v>-2.0854408244918382E-2</v>
      </c>
    </row>
    <row r="4668" spans="6:7" x14ac:dyDescent="0.3">
      <c r="F4668" s="124">
        <v>4662</v>
      </c>
      <c r="G4668" s="33">
        <f t="shared" ca="1" si="85"/>
        <v>5.6764364500310228E-3</v>
      </c>
    </row>
    <row r="4669" spans="6:7" x14ac:dyDescent="0.3">
      <c r="F4669" s="124">
        <v>4663</v>
      </c>
      <c r="G4669" s="33">
        <f t="shared" ca="1" si="85"/>
        <v>4.3889261157027397E-2</v>
      </c>
    </row>
    <row r="4670" spans="6:7" x14ac:dyDescent="0.3">
      <c r="F4670" s="124">
        <v>4664</v>
      </c>
      <c r="G4670" s="33">
        <f t="shared" ca="1" si="85"/>
        <v>5.6323947014766354E-2</v>
      </c>
    </row>
    <row r="4671" spans="6:7" x14ac:dyDescent="0.3">
      <c r="F4671" s="124">
        <v>4665</v>
      </c>
      <c r="G4671" s="33">
        <f t="shared" ca="1" si="85"/>
        <v>-1.5064799744875214E-2</v>
      </c>
    </row>
    <row r="4672" spans="6:7" x14ac:dyDescent="0.3">
      <c r="F4672" s="124">
        <v>4666</v>
      </c>
      <c r="G4672" s="33">
        <f t="shared" ca="1" si="85"/>
        <v>-2.6394032894527845E-2</v>
      </c>
    </row>
    <row r="4673" spans="6:7" x14ac:dyDescent="0.3">
      <c r="F4673" s="124">
        <v>4667</v>
      </c>
      <c r="G4673" s="33">
        <f t="shared" ca="1" si="85"/>
        <v>-4.1016765032281792E-2</v>
      </c>
    </row>
    <row r="4674" spans="6:7" x14ac:dyDescent="0.3">
      <c r="F4674" s="124">
        <v>4668</v>
      </c>
      <c r="G4674" s="33">
        <f t="shared" ca="1" si="85"/>
        <v>1.4464524384732218E-2</v>
      </c>
    </row>
    <row r="4675" spans="6:7" x14ac:dyDescent="0.3">
      <c r="F4675" s="124">
        <v>4669</v>
      </c>
      <c r="G4675" s="33">
        <f t="shared" ca="1" si="85"/>
        <v>3.1638570425596832E-3</v>
      </c>
    </row>
    <row r="4676" spans="6:7" x14ac:dyDescent="0.3">
      <c r="F4676" s="124">
        <v>4670</v>
      </c>
      <c r="G4676" s="33">
        <f t="shared" ca="1" si="85"/>
        <v>4.9549483145172803E-2</v>
      </c>
    </row>
    <row r="4677" spans="6:7" x14ac:dyDescent="0.3">
      <c r="F4677" s="124">
        <v>4671</v>
      </c>
      <c r="G4677" s="33">
        <f t="shared" ca="1" si="85"/>
        <v>-1.1148758993248555E-2</v>
      </c>
    </row>
    <row r="4678" spans="6:7" x14ac:dyDescent="0.3">
      <c r="F4678" s="124">
        <v>4672</v>
      </c>
      <c r="G4678" s="33">
        <f t="shared" ca="1" si="85"/>
        <v>-2.0908622524783489E-2</v>
      </c>
    </row>
    <row r="4679" spans="6:7" x14ac:dyDescent="0.3">
      <c r="F4679" s="124">
        <v>4673</v>
      </c>
      <c r="G4679" s="33">
        <f t="shared" ca="1" si="85"/>
        <v>4.1044116943000719E-3</v>
      </c>
    </row>
    <row r="4680" spans="6:7" x14ac:dyDescent="0.3">
      <c r="F4680" s="124">
        <v>4674</v>
      </c>
      <c r="G4680" s="33">
        <f t="shared" ref="G4680:G4743" ca="1" si="86">_xlfn.NORM.INV(RAND(),$M$9,$M$10)</f>
        <v>4.3081110471436319E-2</v>
      </c>
    </row>
    <row r="4681" spans="6:7" x14ac:dyDescent="0.3">
      <c r="F4681" s="124">
        <v>4675</v>
      </c>
      <c r="G4681" s="33">
        <f t="shared" ca="1" si="86"/>
        <v>4.6103501515903929E-2</v>
      </c>
    </row>
    <row r="4682" spans="6:7" x14ac:dyDescent="0.3">
      <c r="F4682" s="124">
        <v>4676</v>
      </c>
      <c r="G4682" s="33">
        <f t="shared" ca="1" si="86"/>
        <v>6.154918153756174E-2</v>
      </c>
    </row>
    <row r="4683" spans="6:7" x14ac:dyDescent="0.3">
      <c r="F4683" s="124">
        <v>4677</v>
      </c>
      <c r="G4683" s="33">
        <f t="shared" ca="1" si="86"/>
        <v>-2.5936616100094047E-2</v>
      </c>
    </row>
    <row r="4684" spans="6:7" x14ac:dyDescent="0.3">
      <c r="F4684" s="124">
        <v>4678</v>
      </c>
      <c r="G4684" s="33">
        <f t="shared" ca="1" si="86"/>
        <v>1.9481583229107376E-2</v>
      </c>
    </row>
    <row r="4685" spans="6:7" x14ac:dyDescent="0.3">
      <c r="F4685" s="124">
        <v>4679</v>
      </c>
      <c r="G4685" s="33">
        <f t="shared" ca="1" si="86"/>
        <v>-2.8152309130964771E-2</v>
      </c>
    </row>
    <row r="4686" spans="6:7" x14ac:dyDescent="0.3">
      <c r="F4686" s="124">
        <v>4680</v>
      </c>
      <c r="G4686" s="33">
        <f t="shared" ca="1" si="86"/>
        <v>1.4916065890064029E-2</v>
      </c>
    </row>
    <row r="4687" spans="6:7" x14ac:dyDescent="0.3">
      <c r="F4687" s="124">
        <v>4681</v>
      </c>
      <c r="G4687" s="33">
        <f t="shared" ca="1" si="86"/>
        <v>3.6956962520884821E-3</v>
      </c>
    </row>
    <row r="4688" spans="6:7" x14ac:dyDescent="0.3">
      <c r="F4688" s="124">
        <v>4682</v>
      </c>
      <c r="G4688" s="33">
        <f t="shared" ca="1" si="86"/>
        <v>-2.6700883007729371E-2</v>
      </c>
    </row>
    <row r="4689" spans="6:7" x14ac:dyDescent="0.3">
      <c r="F4689" s="124">
        <v>4683</v>
      </c>
      <c r="G4689" s="33">
        <f t="shared" ca="1" si="86"/>
        <v>-5.0155262725942187E-2</v>
      </c>
    </row>
    <row r="4690" spans="6:7" x14ac:dyDescent="0.3">
      <c r="F4690" s="124">
        <v>4684</v>
      </c>
      <c r="G4690" s="33">
        <f t="shared" ca="1" si="86"/>
        <v>2.0749800208933401E-2</v>
      </c>
    </row>
    <row r="4691" spans="6:7" x14ac:dyDescent="0.3">
      <c r="F4691" s="124">
        <v>4685</v>
      </c>
      <c r="G4691" s="33">
        <f t="shared" ca="1" si="86"/>
        <v>-1.0639203607223192E-2</v>
      </c>
    </row>
    <row r="4692" spans="6:7" x14ac:dyDescent="0.3">
      <c r="F4692" s="124">
        <v>4686</v>
      </c>
      <c r="G4692" s="33">
        <f t="shared" ca="1" si="86"/>
        <v>-5.1191206190582601E-2</v>
      </c>
    </row>
    <row r="4693" spans="6:7" x14ac:dyDescent="0.3">
      <c r="F4693" s="124">
        <v>4687</v>
      </c>
      <c r="G4693" s="33">
        <f t="shared" ca="1" si="86"/>
        <v>-2.9023255995452444E-2</v>
      </c>
    </row>
    <row r="4694" spans="6:7" x14ac:dyDescent="0.3">
      <c r="F4694" s="124">
        <v>4688</v>
      </c>
      <c r="G4694" s="33">
        <f t="shared" ca="1" si="86"/>
        <v>2.2719628261317893E-2</v>
      </c>
    </row>
    <row r="4695" spans="6:7" x14ac:dyDescent="0.3">
      <c r="F4695" s="124">
        <v>4689</v>
      </c>
      <c r="G4695" s="33">
        <f t="shared" ca="1" si="86"/>
        <v>5.7153087562023062E-3</v>
      </c>
    </row>
    <row r="4696" spans="6:7" x14ac:dyDescent="0.3">
      <c r="F4696" s="124">
        <v>4690</v>
      </c>
      <c r="G4696" s="33">
        <f t="shared" ca="1" si="86"/>
        <v>-1.0280869825079107E-2</v>
      </c>
    </row>
    <row r="4697" spans="6:7" x14ac:dyDescent="0.3">
      <c r="F4697" s="124">
        <v>4691</v>
      </c>
      <c r="G4697" s="33">
        <f t="shared" ca="1" si="86"/>
        <v>6.4405071694502811E-2</v>
      </c>
    </row>
    <row r="4698" spans="6:7" x14ac:dyDescent="0.3">
      <c r="F4698" s="124">
        <v>4692</v>
      </c>
      <c r="G4698" s="33">
        <f t="shared" ca="1" si="86"/>
        <v>-8.8835112301648589E-2</v>
      </c>
    </row>
    <row r="4699" spans="6:7" x14ac:dyDescent="0.3">
      <c r="F4699" s="124">
        <v>4693</v>
      </c>
      <c r="G4699" s="33">
        <f t="shared" ca="1" si="86"/>
        <v>-1.7392119049142691E-2</v>
      </c>
    </row>
    <row r="4700" spans="6:7" x14ac:dyDescent="0.3">
      <c r="F4700" s="124">
        <v>4694</v>
      </c>
      <c r="G4700" s="33">
        <f t="shared" ca="1" si="86"/>
        <v>-5.075632533402058E-2</v>
      </c>
    </row>
    <row r="4701" spans="6:7" x14ac:dyDescent="0.3">
      <c r="F4701" s="124">
        <v>4695</v>
      </c>
      <c r="G4701" s="33">
        <f t="shared" ca="1" si="86"/>
        <v>-1.8680506886608998E-2</v>
      </c>
    </row>
    <row r="4702" spans="6:7" x14ac:dyDescent="0.3">
      <c r="F4702" s="124">
        <v>4696</v>
      </c>
      <c r="G4702" s="33">
        <f t="shared" ca="1" si="86"/>
        <v>2.9914052911368179E-2</v>
      </c>
    </row>
    <row r="4703" spans="6:7" x14ac:dyDescent="0.3">
      <c r="F4703" s="124">
        <v>4697</v>
      </c>
      <c r="G4703" s="33">
        <f t="shared" ca="1" si="86"/>
        <v>2.2890105606988752E-2</v>
      </c>
    </row>
    <row r="4704" spans="6:7" x14ac:dyDescent="0.3">
      <c r="F4704" s="124">
        <v>4698</v>
      </c>
      <c r="G4704" s="33">
        <f t="shared" ca="1" si="86"/>
        <v>-5.8733930745402153E-3</v>
      </c>
    </row>
    <row r="4705" spans="6:7" x14ac:dyDescent="0.3">
      <c r="F4705" s="124">
        <v>4699</v>
      </c>
      <c r="G4705" s="33">
        <f t="shared" ca="1" si="86"/>
        <v>-1.6242205062869466E-2</v>
      </c>
    </row>
    <row r="4706" spans="6:7" x14ac:dyDescent="0.3">
      <c r="F4706" s="124">
        <v>4700</v>
      </c>
      <c r="G4706" s="33">
        <f t="shared" ca="1" si="86"/>
        <v>-1.2513502260925891E-3</v>
      </c>
    </row>
    <row r="4707" spans="6:7" x14ac:dyDescent="0.3">
      <c r="F4707" s="124">
        <v>4701</v>
      </c>
      <c r="G4707" s="33">
        <f t="shared" ca="1" si="86"/>
        <v>-3.1152596982881472E-2</v>
      </c>
    </row>
    <row r="4708" spans="6:7" x14ac:dyDescent="0.3">
      <c r="F4708" s="124">
        <v>4702</v>
      </c>
      <c r="G4708" s="33">
        <f t="shared" ca="1" si="86"/>
        <v>-2.1401636565381153E-2</v>
      </c>
    </row>
    <row r="4709" spans="6:7" x14ac:dyDescent="0.3">
      <c r="F4709" s="124">
        <v>4703</v>
      </c>
      <c r="G4709" s="33">
        <f t="shared" ca="1" si="86"/>
        <v>2.8381156162879284E-2</v>
      </c>
    </row>
    <row r="4710" spans="6:7" x14ac:dyDescent="0.3">
      <c r="F4710" s="124">
        <v>4704</v>
      </c>
      <c r="G4710" s="33">
        <f t="shared" ca="1" si="86"/>
        <v>-6.4880670179465983E-3</v>
      </c>
    </row>
    <row r="4711" spans="6:7" x14ac:dyDescent="0.3">
      <c r="F4711" s="124">
        <v>4705</v>
      </c>
      <c r="G4711" s="33">
        <f t="shared" ca="1" si="86"/>
        <v>2.0756645153207159E-2</v>
      </c>
    </row>
    <row r="4712" spans="6:7" x14ac:dyDescent="0.3">
      <c r="F4712" s="124">
        <v>4706</v>
      </c>
      <c r="G4712" s="33">
        <f t="shared" ca="1" si="86"/>
        <v>-3.2537817771192967E-2</v>
      </c>
    </row>
    <row r="4713" spans="6:7" x14ac:dyDescent="0.3">
      <c r="F4713" s="124">
        <v>4707</v>
      </c>
      <c r="G4713" s="33">
        <f t="shared" ca="1" si="86"/>
        <v>-5.2643782988689089E-3</v>
      </c>
    </row>
    <row r="4714" spans="6:7" x14ac:dyDescent="0.3">
      <c r="F4714" s="124">
        <v>4708</v>
      </c>
      <c r="G4714" s="33">
        <f t="shared" ca="1" si="86"/>
        <v>4.6212533944894968E-2</v>
      </c>
    </row>
    <row r="4715" spans="6:7" x14ac:dyDescent="0.3">
      <c r="F4715" s="124">
        <v>4709</v>
      </c>
      <c r="G4715" s="33">
        <f t="shared" ca="1" si="86"/>
        <v>-1.1426148913347482E-2</v>
      </c>
    </row>
    <row r="4716" spans="6:7" x14ac:dyDescent="0.3">
      <c r="F4716" s="124">
        <v>4710</v>
      </c>
      <c r="G4716" s="33">
        <f t="shared" ca="1" si="86"/>
        <v>-1.4035316853188637E-3</v>
      </c>
    </row>
    <row r="4717" spans="6:7" x14ac:dyDescent="0.3">
      <c r="F4717" s="124">
        <v>4711</v>
      </c>
      <c r="G4717" s="33">
        <f t="shared" ca="1" si="86"/>
        <v>5.0065663343924455E-2</v>
      </c>
    </row>
    <row r="4718" spans="6:7" x14ac:dyDescent="0.3">
      <c r="F4718" s="124">
        <v>4712</v>
      </c>
      <c r="G4718" s="33">
        <f t="shared" ca="1" si="86"/>
        <v>-4.7768468816586827E-2</v>
      </c>
    </row>
    <row r="4719" spans="6:7" x14ac:dyDescent="0.3">
      <c r="F4719" s="124">
        <v>4713</v>
      </c>
      <c r="G4719" s="33">
        <f t="shared" ca="1" si="86"/>
        <v>-1.4382826518552524E-3</v>
      </c>
    </row>
    <row r="4720" spans="6:7" x14ac:dyDescent="0.3">
      <c r="F4720" s="124">
        <v>4714</v>
      </c>
      <c r="G4720" s="33">
        <f t="shared" ca="1" si="86"/>
        <v>-2.5001842355284971E-2</v>
      </c>
    </row>
    <row r="4721" spans="6:7" x14ac:dyDescent="0.3">
      <c r="F4721" s="124">
        <v>4715</v>
      </c>
      <c r="G4721" s="33">
        <f t="shared" ca="1" si="86"/>
        <v>5.2932210425902658E-4</v>
      </c>
    </row>
    <row r="4722" spans="6:7" x14ac:dyDescent="0.3">
      <c r="F4722" s="124">
        <v>4716</v>
      </c>
      <c r="G4722" s="33">
        <f t="shared" ca="1" si="86"/>
        <v>1.0437575234040705E-2</v>
      </c>
    </row>
    <row r="4723" spans="6:7" x14ac:dyDescent="0.3">
      <c r="F4723" s="124">
        <v>4717</v>
      </c>
      <c r="G4723" s="33">
        <f t="shared" ca="1" si="86"/>
        <v>-2.021261352149736E-2</v>
      </c>
    </row>
    <row r="4724" spans="6:7" x14ac:dyDescent="0.3">
      <c r="F4724" s="124">
        <v>4718</v>
      </c>
      <c r="G4724" s="33">
        <f t="shared" ca="1" si="86"/>
        <v>-5.7208185821993641E-3</v>
      </c>
    </row>
    <row r="4725" spans="6:7" x14ac:dyDescent="0.3">
      <c r="F4725" s="124">
        <v>4719</v>
      </c>
      <c r="G4725" s="33">
        <f t="shared" ca="1" si="86"/>
        <v>-4.6312963074700363E-2</v>
      </c>
    </row>
    <row r="4726" spans="6:7" x14ac:dyDescent="0.3">
      <c r="F4726" s="124">
        <v>4720</v>
      </c>
      <c r="G4726" s="33">
        <f t="shared" ca="1" si="86"/>
        <v>-5.6731127325547241E-2</v>
      </c>
    </row>
    <row r="4727" spans="6:7" x14ac:dyDescent="0.3">
      <c r="F4727" s="124">
        <v>4721</v>
      </c>
      <c r="G4727" s="33">
        <f t="shared" ca="1" si="86"/>
        <v>-2.6172172221457384E-2</v>
      </c>
    </row>
    <row r="4728" spans="6:7" x14ac:dyDescent="0.3">
      <c r="F4728" s="124">
        <v>4722</v>
      </c>
      <c r="G4728" s="33">
        <f t="shared" ca="1" si="86"/>
        <v>-4.8793420835632734E-2</v>
      </c>
    </row>
    <row r="4729" spans="6:7" x14ac:dyDescent="0.3">
      <c r="F4729" s="124">
        <v>4723</v>
      </c>
      <c r="G4729" s="33">
        <f t="shared" ca="1" si="86"/>
        <v>-2.3256055654400021E-2</v>
      </c>
    </row>
    <row r="4730" spans="6:7" x14ac:dyDescent="0.3">
      <c r="F4730" s="124">
        <v>4724</v>
      </c>
      <c r="G4730" s="33">
        <f t="shared" ca="1" si="86"/>
        <v>1.921813870121027E-2</v>
      </c>
    </row>
    <row r="4731" spans="6:7" x14ac:dyDescent="0.3">
      <c r="F4731" s="124">
        <v>4725</v>
      </c>
      <c r="G4731" s="33">
        <f t="shared" ca="1" si="86"/>
        <v>-2.5013785973124182E-2</v>
      </c>
    </row>
    <row r="4732" spans="6:7" x14ac:dyDescent="0.3">
      <c r="F4732" s="124">
        <v>4726</v>
      </c>
      <c r="G4732" s="33">
        <f t="shared" ca="1" si="86"/>
        <v>2.5092394192979969E-2</v>
      </c>
    </row>
    <row r="4733" spans="6:7" x14ac:dyDescent="0.3">
      <c r="F4733" s="124">
        <v>4727</v>
      </c>
      <c r="G4733" s="33">
        <f t="shared" ca="1" si="86"/>
        <v>-1.0526068469987344E-2</v>
      </c>
    </row>
    <row r="4734" spans="6:7" x14ac:dyDescent="0.3">
      <c r="F4734" s="124">
        <v>4728</v>
      </c>
      <c r="G4734" s="33">
        <f t="shared" ca="1" si="86"/>
        <v>-1.2511612454543634E-2</v>
      </c>
    </row>
    <row r="4735" spans="6:7" x14ac:dyDescent="0.3">
      <c r="F4735" s="124">
        <v>4729</v>
      </c>
      <c r="G4735" s="33">
        <f t="shared" ca="1" si="86"/>
        <v>7.9458897789518252E-4</v>
      </c>
    </row>
    <row r="4736" spans="6:7" x14ac:dyDescent="0.3">
      <c r="F4736" s="124">
        <v>4730</v>
      </c>
      <c r="G4736" s="33">
        <f t="shared" ca="1" si="86"/>
        <v>-1.146961879077342E-2</v>
      </c>
    </row>
    <row r="4737" spans="6:7" x14ac:dyDescent="0.3">
      <c r="F4737" s="124">
        <v>4731</v>
      </c>
      <c r="G4737" s="33">
        <f t="shared" ca="1" si="86"/>
        <v>7.9624125960869076E-3</v>
      </c>
    </row>
    <row r="4738" spans="6:7" x14ac:dyDescent="0.3">
      <c r="F4738" s="124">
        <v>4732</v>
      </c>
      <c r="G4738" s="33">
        <f t="shared" ca="1" si="86"/>
        <v>1.1206632333681517E-3</v>
      </c>
    </row>
    <row r="4739" spans="6:7" x14ac:dyDescent="0.3">
      <c r="F4739" s="124">
        <v>4733</v>
      </c>
      <c r="G4739" s="33">
        <f t="shared" ca="1" si="86"/>
        <v>1.3007287851354236E-2</v>
      </c>
    </row>
    <row r="4740" spans="6:7" x14ac:dyDescent="0.3">
      <c r="F4740" s="124">
        <v>4734</v>
      </c>
      <c r="G4740" s="33">
        <f t="shared" ca="1" si="86"/>
        <v>3.6030629298417612E-2</v>
      </c>
    </row>
    <row r="4741" spans="6:7" x14ac:dyDescent="0.3">
      <c r="F4741" s="124">
        <v>4735</v>
      </c>
      <c r="G4741" s="33">
        <f t="shared" ca="1" si="86"/>
        <v>-1.3896034681643278E-2</v>
      </c>
    </row>
    <row r="4742" spans="6:7" x14ac:dyDescent="0.3">
      <c r="F4742" s="124">
        <v>4736</v>
      </c>
      <c r="G4742" s="33">
        <f t="shared" ca="1" si="86"/>
        <v>-7.4242162268101279E-3</v>
      </c>
    </row>
    <row r="4743" spans="6:7" x14ac:dyDescent="0.3">
      <c r="F4743" s="124">
        <v>4737</v>
      </c>
      <c r="G4743" s="33">
        <f t="shared" ca="1" si="86"/>
        <v>-7.5449218262108944E-2</v>
      </c>
    </row>
    <row r="4744" spans="6:7" x14ac:dyDescent="0.3">
      <c r="F4744" s="124">
        <v>4738</v>
      </c>
      <c r="G4744" s="33">
        <f t="shared" ref="G4744:G4807" ca="1" si="87">_xlfn.NORM.INV(RAND(),$M$9,$M$10)</f>
        <v>2.5767949787565445E-2</v>
      </c>
    </row>
    <row r="4745" spans="6:7" x14ac:dyDescent="0.3">
      <c r="F4745" s="124">
        <v>4739</v>
      </c>
      <c r="G4745" s="33">
        <f t="shared" ca="1" si="87"/>
        <v>1.1625477291964059E-2</v>
      </c>
    </row>
    <row r="4746" spans="6:7" x14ac:dyDescent="0.3">
      <c r="F4746" s="124">
        <v>4740</v>
      </c>
      <c r="G4746" s="33">
        <f t="shared" ca="1" si="87"/>
        <v>-1.2468484898095503E-2</v>
      </c>
    </row>
    <row r="4747" spans="6:7" x14ac:dyDescent="0.3">
      <c r="F4747" s="124">
        <v>4741</v>
      </c>
      <c r="G4747" s="33">
        <f t="shared" ca="1" si="87"/>
        <v>-2.4564850139162951E-2</v>
      </c>
    </row>
    <row r="4748" spans="6:7" x14ac:dyDescent="0.3">
      <c r="F4748" s="124">
        <v>4742</v>
      </c>
      <c r="G4748" s="33">
        <f t="shared" ca="1" si="87"/>
        <v>-2.4762130100751095E-2</v>
      </c>
    </row>
    <row r="4749" spans="6:7" x14ac:dyDescent="0.3">
      <c r="F4749" s="124">
        <v>4743</v>
      </c>
      <c r="G4749" s="33">
        <f t="shared" ca="1" si="87"/>
        <v>4.7279072204633767E-3</v>
      </c>
    </row>
    <row r="4750" spans="6:7" x14ac:dyDescent="0.3">
      <c r="F4750" s="124">
        <v>4744</v>
      </c>
      <c r="G4750" s="33">
        <f t="shared" ca="1" si="87"/>
        <v>4.0900481302321615E-2</v>
      </c>
    </row>
    <row r="4751" spans="6:7" x14ac:dyDescent="0.3">
      <c r="F4751" s="124">
        <v>4745</v>
      </c>
      <c r="G4751" s="33">
        <f t="shared" ca="1" si="87"/>
        <v>-1.6129550671469716E-2</v>
      </c>
    </row>
    <row r="4752" spans="6:7" x14ac:dyDescent="0.3">
      <c r="F4752" s="124">
        <v>4746</v>
      </c>
      <c r="G4752" s="33">
        <f t="shared" ca="1" si="87"/>
        <v>-2.5084159150476982E-3</v>
      </c>
    </row>
    <row r="4753" spans="6:7" x14ac:dyDescent="0.3">
      <c r="F4753" s="124">
        <v>4747</v>
      </c>
      <c r="G4753" s="33">
        <f t="shared" ca="1" si="87"/>
        <v>4.6905986348158412E-3</v>
      </c>
    </row>
    <row r="4754" spans="6:7" x14ac:dyDescent="0.3">
      <c r="F4754" s="124">
        <v>4748</v>
      </c>
      <c r="G4754" s="33">
        <f t="shared" ca="1" si="87"/>
        <v>-3.8975588636431255E-3</v>
      </c>
    </row>
    <row r="4755" spans="6:7" x14ac:dyDescent="0.3">
      <c r="F4755" s="124">
        <v>4749</v>
      </c>
      <c r="G4755" s="33">
        <f t="shared" ca="1" si="87"/>
        <v>5.4609397384763839E-3</v>
      </c>
    </row>
    <row r="4756" spans="6:7" x14ac:dyDescent="0.3">
      <c r="F4756" s="124">
        <v>4750</v>
      </c>
      <c r="G4756" s="33">
        <f t="shared" ca="1" si="87"/>
        <v>-4.1403586238723943E-2</v>
      </c>
    </row>
    <row r="4757" spans="6:7" x14ac:dyDescent="0.3">
      <c r="F4757" s="124">
        <v>4751</v>
      </c>
      <c r="G4757" s="33">
        <f t="shared" ca="1" si="87"/>
        <v>3.6215380392418645E-2</v>
      </c>
    </row>
    <row r="4758" spans="6:7" x14ac:dyDescent="0.3">
      <c r="F4758" s="124">
        <v>4752</v>
      </c>
      <c r="G4758" s="33">
        <f t="shared" ca="1" si="87"/>
        <v>-1.4592307619220497E-2</v>
      </c>
    </row>
    <row r="4759" spans="6:7" x14ac:dyDescent="0.3">
      <c r="F4759" s="124">
        <v>4753</v>
      </c>
      <c r="G4759" s="33">
        <f t="shared" ca="1" si="87"/>
        <v>1.0342754580438273E-2</v>
      </c>
    </row>
    <row r="4760" spans="6:7" x14ac:dyDescent="0.3">
      <c r="F4760" s="124">
        <v>4754</v>
      </c>
      <c r="G4760" s="33">
        <f t="shared" ca="1" si="87"/>
        <v>4.6181601898953786E-3</v>
      </c>
    </row>
    <row r="4761" spans="6:7" x14ac:dyDescent="0.3">
      <c r="F4761" s="124">
        <v>4755</v>
      </c>
      <c r="G4761" s="33">
        <f t="shared" ca="1" si="87"/>
        <v>1.7562039368486958E-2</v>
      </c>
    </row>
    <row r="4762" spans="6:7" x14ac:dyDescent="0.3">
      <c r="F4762" s="124">
        <v>4756</v>
      </c>
      <c r="G4762" s="33">
        <f t="shared" ca="1" si="87"/>
        <v>-1.7690372883288032E-2</v>
      </c>
    </row>
    <row r="4763" spans="6:7" x14ac:dyDescent="0.3">
      <c r="F4763" s="124">
        <v>4757</v>
      </c>
      <c r="G4763" s="33">
        <f t="shared" ca="1" si="87"/>
        <v>2.1973606654568166E-3</v>
      </c>
    </row>
    <row r="4764" spans="6:7" x14ac:dyDescent="0.3">
      <c r="F4764" s="124">
        <v>4758</v>
      </c>
      <c r="G4764" s="33">
        <f t="shared" ca="1" si="87"/>
        <v>-1.806946957770212E-2</v>
      </c>
    </row>
    <row r="4765" spans="6:7" x14ac:dyDescent="0.3">
      <c r="F4765" s="124">
        <v>4759</v>
      </c>
      <c r="G4765" s="33">
        <f t="shared" ca="1" si="87"/>
        <v>3.1719249600045789E-2</v>
      </c>
    </row>
    <row r="4766" spans="6:7" x14ac:dyDescent="0.3">
      <c r="F4766" s="124">
        <v>4760</v>
      </c>
      <c r="G4766" s="33">
        <f t="shared" ca="1" si="87"/>
        <v>-6.6756700916173048E-3</v>
      </c>
    </row>
    <row r="4767" spans="6:7" x14ac:dyDescent="0.3">
      <c r="F4767" s="124">
        <v>4761</v>
      </c>
      <c r="G4767" s="33">
        <f t="shared" ca="1" si="87"/>
        <v>-2.5796782310786186E-2</v>
      </c>
    </row>
    <row r="4768" spans="6:7" x14ac:dyDescent="0.3">
      <c r="F4768" s="124">
        <v>4762</v>
      </c>
      <c r="G4768" s="33">
        <f t="shared" ca="1" si="87"/>
        <v>4.1884324158370408E-2</v>
      </c>
    </row>
    <row r="4769" spans="6:7" x14ac:dyDescent="0.3">
      <c r="F4769" s="124">
        <v>4763</v>
      </c>
      <c r="G4769" s="33">
        <f t="shared" ca="1" si="87"/>
        <v>1.8383181062223814E-3</v>
      </c>
    </row>
    <row r="4770" spans="6:7" x14ac:dyDescent="0.3">
      <c r="F4770" s="124">
        <v>4764</v>
      </c>
      <c r="G4770" s="33">
        <f t="shared" ca="1" si="87"/>
        <v>-4.9342897769617221E-3</v>
      </c>
    </row>
    <row r="4771" spans="6:7" x14ac:dyDescent="0.3">
      <c r="F4771" s="124">
        <v>4765</v>
      </c>
      <c r="G4771" s="33">
        <f t="shared" ca="1" si="87"/>
        <v>2.5206125268942167E-2</v>
      </c>
    </row>
    <row r="4772" spans="6:7" x14ac:dyDescent="0.3">
      <c r="F4772" s="124">
        <v>4766</v>
      </c>
      <c r="G4772" s="33">
        <f t="shared" ca="1" si="87"/>
        <v>-2.5026760279388723E-2</v>
      </c>
    </row>
    <row r="4773" spans="6:7" x14ac:dyDescent="0.3">
      <c r="F4773" s="124">
        <v>4767</v>
      </c>
      <c r="G4773" s="33">
        <f t="shared" ca="1" si="87"/>
        <v>3.4660284246966332E-3</v>
      </c>
    </row>
    <row r="4774" spans="6:7" x14ac:dyDescent="0.3">
      <c r="F4774" s="124">
        <v>4768</v>
      </c>
      <c r="G4774" s="33">
        <f t="shared" ca="1" si="87"/>
        <v>2.3423017445101019E-2</v>
      </c>
    </row>
    <row r="4775" spans="6:7" x14ac:dyDescent="0.3">
      <c r="F4775" s="124">
        <v>4769</v>
      </c>
      <c r="G4775" s="33">
        <f t="shared" ca="1" si="87"/>
        <v>-2.0130374833209615E-2</v>
      </c>
    </row>
    <row r="4776" spans="6:7" x14ac:dyDescent="0.3">
      <c r="F4776" s="124">
        <v>4770</v>
      </c>
      <c r="G4776" s="33">
        <f t="shared" ca="1" si="87"/>
        <v>-4.8437959423254153E-3</v>
      </c>
    </row>
    <row r="4777" spans="6:7" x14ac:dyDescent="0.3">
      <c r="F4777" s="124">
        <v>4771</v>
      </c>
      <c r="G4777" s="33">
        <f t="shared" ca="1" si="87"/>
        <v>-3.3483376625222841E-2</v>
      </c>
    </row>
    <row r="4778" spans="6:7" x14ac:dyDescent="0.3">
      <c r="F4778" s="124">
        <v>4772</v>
      </c>
      <c r="G4778" s="33">
        <f t="shared" ca="1" si="87"/>
        <v>-3.4252488442690771E-2</v>
      </c>
    </row>
    <row r="4779" spans="6:7" x14ac:dyDescent="0.3">
      <c r="F4779" s="124">
        <v>4773</v>
      </c>
      <c r="G4779" s="33">
        <f t="shared" ca="1" si="87"/>
        <v>-1.0362497525908242E-3</v>
      </c>
    </row>
    <row r="4780" spans="6:7" x14ac:dyDescent="0.3">
      <c r="F4780" s="124">
        <v>4774</v>
      </c>
      <c r="G4780" s="33">
        <f t="shared" ca="1" si="87"/>
        <v>6.5335794991770987E-2</v>
      </c>
    </row>
    <row r="4781" spans="6:7" x14ac:dyDescent="0.3">
      <c r="F4781" s="124">
        <v>4775</v>
      </c>
      <c r="G4781" s="33">
        <f t="shared" ca="1" si="87"/>
        <v>-1.0593923285554242E-2</v>
      </c>
    </row>
    <row r="4782" spans="6:7" x14ac:dyDescent="0.3">
      <c r="F4782" s="124">
        <v>4776</v>
      </c>
      <c r="G4782" s="33">
        <f t="shared" ca="1" si="87"/>
        <v>-4.0133761341261932E-2</v>
      </c>
    </row>
    <row r="4783" spans="6:7" x14ac:dyDescent="0.3">
      <c r="F4783" s="124">
        <v>4777</v>
      </c>
      <c r="G4783" s="33">
        <f t="shared" ca="1" si="87"/>
        <v>-3.0285652117742649E-2</v>
      </c>
    </row>
    <row r="4784" spans="6:7" x14ac:dyDescent="0.3">
      <c r="F4784" s="124">
        <v>4778</v>
      </c>
      <c r="G4784" s="33">
        <f t="shared" ca="1" si="87"/>
        <v>-1.7473848128343832E-2</v>
      </c>
    </row>
    <row r="4785" spans="6:7" x14ac:dyDescent="0.3">
      <c r="F4785" s="124">
        <v>4779</v>
      </c>
      <c r="G4785" s="33">
        <f t="shared" ca="1" si="87"/>
        <v>-3.5418316929782548E-2</v>
      </c>
    </row>
    <row r="4786" spans="6:7" x14ac:dyDescent="0.3">
      <c r="F4786" s="124">
        <v>4780</v>
      </c>
      <c r="G4786" s="33">
        <f t="shared" ca="1" si="87"/>
        <v>-5.830862687970252E-3</v>
      </c>
    </row>
    <row r="4787" spans="6:7" x14ac:dyDescent="0.3">
      <c r="F4787" s="124">
        <v>4781</v>
      </c>
      <c r="G4787" s="33">
        <f t="shared" ca="1" si="87"/>
        <v>1.6622568662465004E-2</v>
      </c>
    </row>
    <row r="4788" spans="6:7" x14ac:dyDescent="0.3">
      <c r="F4788" s="124">
        <v>4782</v>
      </c>
      <c r="G4788" s="33">
        <f t="shared" ca="1" si="87"/>
        <v>-4.5319788680637848E-3</v>
      </c>
    </row>
    <row r="4789" spans="6:7" x14ac:dyDescent="0.3">
      <c r="F4789" s="124">
        <v>4783</v>
      </c>
      <c r="G4789" s="33">
        <f t="shared" ca="1" si="87"/>
        <v>-3.7567554763844576E-3</v>
      </c>
    </row>
    <row r="4790" spans="6:7" x14ac:dyDescent="0.3">
      <c r="F4790" s="124">
        <v>4784</v>
      </c>
      <c r="G4790" s="33">
        <f t="shared" ca="1" si="87"/>
        <v>3.5356247585611622E-2</v>
      </c>
    </row>
    <row r="4791" spans="6:7" x14ac:dyDescent="0.3">
      <c r="F4791" s="124">
        <v>4785</v>
      </c>
      <c r="G4791" s="33">
        <f t="shared" ca="1" si="87"/>
        <v>3.0908237393571205E-2</v>
      </c>
    </row>
    <row r="4792" spans="6:7" x14ac:dyDescent="0.3">
      <c r="F4792" s="124">
        <v>4786</v>
      </c>
      <c r="G4792" s="33">
        <f t="shared" ca="1" si="87"/>
        <v>4.9556581001671547E-2</v>
      </c>
    </row>
    <row r="4793" spans="6:7" x14ac:dyDescent="0.3">
      <c r="F4793" s="124">
        <v>4787</v>
      </c>
      <c r="G4793" s="33">
        <f t="shared" ca="1" si="87"/>
        <v>1.7020828045393257E-2</v>
      </c>
    </row>
    <row r="4794" spans="6:7" x14ac:dyDescent="0.3">
      <c r="F4794" s="124">
        <v>4788</v>
      </c>
      <c r="G4794" s="33">
        <f t="shared" ca="1" si="87"/>
        <v>-3.7251990875532971E-2</v>
      </c>
    </row>
    <row r="4795" spans="6:7" x14ac:dyDescent="0.3">
      <c r="F4795" s="124">
        <v>4789</v>
      </c>
      <c r="G4795" s="33">
        <f t="shared" ca="1" si="87"/>
        <v>1.8782601446268716E-2</v>
      </c>
    </row>
    <row r="4796" spans="6:7" x14ac:dyDescent="0.3">
      <c r="F4796" s="124">
        <v>4790</v>
      </c>
      <c r="G4796" s="33">
        <f t="shared" ca="1" si="87"/>
        <v>-7.9255100407046204E-3</v>
      </c>
    </row>
    <row r="4797" spans="6:7" x14ac:dyDescent="0.3">
      <c r="F4797" s="124">
        <v>4791</v>
      </c>
      <c r="G4797" s="33">
        <f t="shared" ca="1" si="87"/>
        <v>-3.9587713515718111E-2</v>
      </c>
    </row>
    <row r="4798" spans="6:7" x14ac:dyDescent="0.3">
      <c r="F4798" s="124">
        <v>4792</v>
      </c>
      <c r="G4798" s="33">
        <f t="shared" ca="1" si="87"/>
        <v>8.4548202883033569E-3</v>
      </c>
    </row>
    <row r="4799" spans="6:7" x14ac:dyDescent="0.3">
      <c r="F4799" s="124">
        <v>4793</v>
      </c>
      <c r="G4799" s="33">
        <f t="shared" ca="1" si="87"/>
        <v>3.7572944724337413E-2</v>
      </c>
    </row>
    <row r="4800" spans="6:7" x14ac:dyDescent="0.3">
      <c r="F4800" s="124">
        <v>4794</v>
      </c>
      <c r="G4800" s="33">
        <f t="shared" ca="1" si="87"/>
        <v>6.0598201498505708E-3</v>
      </c>
    </row>
    <row r="4801" spans="6:7" x14ac:dyDescent="0.3">
      <c r="F4801" s="124">
        <v>4795</v>
      </c>
      <c r="G4801" s="33">
        <f t="shared" ca="1" si="87"/>
        <v>4.5594477683236899E-2</v>
      </c>
    </row>
    <row r="4802" spans="6:7" x14ac:dyDescent="0.3">
      <c r="F4802" s="124">
        <v>4796</v>
      </c>
      <c r="G4802" s="33">
        <f t="shared" ca="1" si="87"/>
        <v>-9.1536681982467248E-3</v>
      </c>
    </row>
    <row r="4803" spans="6:7" x14ac:dyDescent="0.3">
      <c r="F4803" s="124">
        <v>4797</v>
      </c>
      <c r="G4803" s="33">
        <f t="shared" ca="1" si="87"/>
        <v>2.0334610500739682E-2</v>
      </c>
    </row>
    <row r="4804" spans="6:7" x14ac:dyDescent="0.3">
      <c r="F4804" s="124">
        <v>4798</v>
      </c>
      <c r="G4804" s="33">
        <f t="shared" ca="1" si="87"/>
        <v>-1.3830948968486714E-2</v>
      </c>
    </row>
    <row r="4805" spans="6:7" x14ac:dyDescent="0.3">
      <c r="F4805" s="124">
        <v>4799</v>
      </c>
      <c r="G4805" s="33">
        <f t="shared" ca="1" si="87"/>
        <v>-8.9887294391395546E-4</v>
      </c>
    </row>
    <row r="4806" spans="6:7" x14ac:dyDescent="0.3">
      <c r="F4806" s="124">
        <v>4800</v>
      </c>
      <c r="G4806" s="33">
        <f t="shared" ca="1" si="87"/>
        <v>9.0736897841054397E-3</v>
      </c>
    </row>
    <row r="4807" spans="6:7" x14ac:dyDescent="0.3">
      <c r="F4807" s="124">
        <v>4801</v>
      </c>
      <c r="G4807" s="33">
        <f t="shared" ca="1" si="87"/>
        <v>-2.6878998411276177E-3</v>
      </c>
    </row>
    <row r="4808" spans="6:7" x14ac:dyDescent="0.3">
      <c r="F4808" s="124">
        <v>4802</v>
      </c>
      <c r="G4808" s="33">
        <f t="shared" ref="G4808:G4871" ca="1" si="88">_xlfn.NORM.INV(RAND(),$M$9,$M$10)</f>
        <v>1.9844209005962085E-4</v>
      </c>
    </row>
    <row r="4809" spans="6:7" x14ac:dyDescent="0.3">
      <c r="F4809" s="124">
        <v>4803</v>
      </c>
      <c r="G4809" s="33">
        <f t="shared" ca="1" si="88"/>
        <v>-1.1371987925320324E-2</v>
      </c>
    </row>
    <row r="4810" spans="6:7" x14ac:dyDescent="0.3">
      <c r="F4810" s="124">
        <v>4804</v>
      </c>
      <c r="G4810" s="33">
        <f t="shared" ca="1" si="88"/>
        <v>-1.2041960915237942E-2</v>
      </c>
    </row>
    <row r="4811" spans="6:7" x14ac:dyDescent="0.3">
      <c r="F4811" s="124">
        <v>4805</v>
      </c>
      <c r="G4811" s="33">
        <f t="shared" ca="1" si="88"/>
        <v>1.8935650837435204E-3</v>
      </c>
    </row>
    <row r="4812" spans="6:7" x14ac:dyDescent="0.3">
      <c r="F4812" s="124">
        <v>4806</v>
      </c>
      <c r="G4812" s="33">
        <f t="shared" ca="1" si="88"/>
        <v>-2.6364059326757422E-2</v>
      </c>
    </row>
    <row r="4813" spans="6:7" x14ac:dyDescent="0.3">
      <c r="F4813" s="124">
        <v>4807</v>
      </c>
      <c r="G4813" s="33">
        <f t="shared" ca="1" si="88"/>
        <v>1.8099339398323765E-2</v>
      </c>
    </row>
    <row r="4814" spans="6:7" x14ac:dyDescent="0.3">
      <c r="F4814" s="124">
        <v>4808</v>
      </c>
      <c r="G4814" s="33">
        <f t="shared" ca="1" si="88"/>
        <v>-1.9197993551884365E-2</v>
      </c>
    </row>
    <row r="4815" spans="6:7" x14ac:dyDescent="0.3">
      <c r="F4815" s="124">
        <v>4809</v>
      </c>
      <c r="G4815" s="33">
        <f t="shared" ca="1" si="88"/>
        <v>-5.4280871740192893E-3</v>
      </c>
    </row>
    <row r="4816" spans="6:7" x14ac:dyDescent="0.3">
      <c r="F4816" s="124">
        <v>4810</v>
      </c>
      <c r="G4816" s="33">
        <f t="shared" ca="1" si="88"/>
        <v>5.4153570684448267E-2</v>
      </c>
    </row>
    <row r="4817" spans="6:7" x14ac:dyDescent="0.3">
      <c r="F4817" s="124">
        <v>4811</v>
      </c>
      <c r="G4817" s="33">
        <f t="shared" ca="1" si="88"/>
        <v>-1.8748736898481274E-2</v>
      </c>
    </row>
    <row r="4818" spans="6:7" x14ac:dyDescent="0.3">
      <c r="F4818" s="124">
        <v>4812</v>
      </c>
      <c r="G4818" s="33">
        <f t="shared" ca="1" si="88"/>
        <v>-1.0374422809234021E-2</v>
      </c>
    </row>
    <row r="4819" spans="6:7" x14ac:dyDescent="0.3">
      <c r="F4819" s="124">
        <v>4813</v>
      </c>
      <c r="G4819" s="33">
        <f t="shared" ca="1" si="88"/>
        <v>-8.1257284517000181E-4</v>
      </c>
    </row>
    <row r="4820" spans="6:7" x14ac:dyDescent="0.3">
      <c r="F4820" s="124">
        <v>4814</v>
      </c>
      <c r="G4820" s="33">
        <f t="shared" ca="1" si="88"/>
        <v>-4.3098795087548061E-2</v>
      </c>
    </row>
    <row r="4821" spans="6:7" x14ac:dyDescent="0.3">
      <c r="F4821" s="124">
        <v>4815</v>
      </c>
      <c r="G4821" s="33">
        <f t="shared" ca="1" si="88"/>
        <v>-1.5265252469650787E-2</v>
      </c>
    </row>
    <row r="4822" spans="6:7" x14ac:dyDescent="0.3">
      <c r="F4822" s="124">
        <v>4816</v>
      </c>
      <c r="G4822" s="33">
        <f t="shared" ca="1" si="88"/>
        <v>-2.4639198188945614E-2</v>
      </c>
    </row>
    <row r="4823" spans="6:7" x14ac:dyDescent="0.3">
      <c r="F4823" s="124">
        <v>4817</v>
      </c>
      <c r="G4823" s="33">
        <f t="shared" ca="1" si="88"/>
        <v>-6.3980198883805848E-3</v>
      </c>
    </row>
    <row r="4824" spans="6:7" x14ac:dyDescent="0.3">
      <c r="F4824" s="124">
        <v>4818</v>
      </c>
      <c r="G4824" s="33">
        <f t="shared" ca="1" si="88"/>
        <v>2.3070960780227735E-2</v>
      </c>
    </row>
    <row r="4825" spans="6:7" x14ac:dyDescent="0.3">
      <c r="F4825" s="124">
        <v>4819</v>
      </c>
      <c r="G4825" s="33">
        <f t="shared" ca="1" si="88"/>
        <v>-5.8435640624242002E-2</v>
      </c>
    </row>
    <row r="4826" spans="6:7" x14ac:dyDescent="0.3">
      <c r="F4826" s="124">
        <v>4820</v>
      </c>
      <c r="G4826" s="33">
        <f t="shared" ca="1" si="88"/>
        <v>-4.9799458037428461E-2</v>
      </c>
    </row>
    <row r="4827" spans="6:7" x14ac:dyDescent="0.3">
      <c r="F4827" s="124">
        <v>4821</v>
      </c>
      <c r="G4827" s="33">
        <f t="shared" ca="1" si="88"/>
        <v>-3.7014243862914804E-2</v>
      </c>
    </row>
    <row r="4828" spans="6:7" x14ac:dyDescent="0.3">
      <c r="F4828" s="124">
        <v>4822</v>
      </c>
      <c r="G4828" s="33">
        <f t="shared" ca="1" si="88"/>
        <v>1.3199357229823232E-2</v>
      </c>
    </row>
    <row r="4829" spans="6:7" x14ac:dyDescent="0.3">
      <c r="F4829" s="124">
        <v>4823</v>
      </c>
      <c r="G4829" s="33">
        <f t="shared" ca="1" si="88"/>
        <v>7.05320134423846E-3</v>
      </c>
    </row>
    <row r="4830" spans="6:7" x14ac:dyDescent="0.3">
      <c r="F4830" s="124">
        <v>4824</v>
      </c>
      <c r="G4830" s="33">
        <f t="shared" ca="1" si="88"/>
        <v>-5.3573767547916758E-3</v>
      </c>
    </row>
    <row r="4831" spans="6:7" x14ac:dyDescent="0.3">
      <c r="F4831" s="124">
        <v>4825</v>
      </c>
      <c r="G4831" s="33">
        <f t="shared" ca="1" si="88"/>
        <v>1.2105144824169908E-2</v>
      </c>
    </row>
    <row r="4832" spans="6:7" x14ac:dyDescent="0.3">
      <c r="F4832" s="124">
        <v>4826</v>
      </c>
      <c r="G4832" s="33">
        <f t="shared" ca="1" si="88"/>
        <v>6.5177760708350898E-4</v>
      </c>
    </row>
    <row r="4833" spans="6:7" x14ac:dyDescent="0.3">
      <c r="F4833" s="124">
        <v>4827</v>
      </c>
      <c r="G4833" s="33">
        <f t="shared" ca="1" si="88"/>
        <v>3.6755032199471994E-2</v>
      </c>
    </row>
    <row r="4834" spans="6:7" x14ac:dyDescent="0.3">
      <c r="F4834" s="124">
        <v>4828</v>
      </c>
      <c r="G4834" s="33">
        <f t="shared" ca="1" si="88"/>
        <v>2.0559018549584931E-2</v>
      </c>
    </row>
    <row r="4835" spans="6:7" x14ac:dyDescent="0.3">
      <c r="F4835" s="124">
        <v>4829</v>
      </c>
      <c r="G4835" s="33">
        <f t="shared" ca="1" si="88"/>
        <v>4.2610243018709353E-2</v>
      </c>
    </row>
    <row r="4836" spans="6:7" x14ac:dyDescent="0.3">
      <c r="F4836" s="124">
        <v>4830</v>
      </c>
      <c r="G4836" s="33">
        <f t="shared" ca="1" si="88"/>
        <v>2.1673227030791189E-2</v>
      </c>
    </row>
    <row r="4837" spans="6:7" x14ac:dyDescent="0.3">
      <c r="F4837" s="124">
        <v>4831</v>
      </c>
      <c r="G4837" s="33">
        <f t="shared" ca="1" si="88"/>
        <v>-5.688472735007883E-2</v>
      </c>
    </row>
    <row r="4838" spans="6:7" x14ac:dyDescent="0.3">
      <c r="F4838" s="124">
        <v>4832</v>
      </c>
      <c r="G4838" s="33">
        <f t="shared" ca="1" si="88"/>
        <v>7.9224772688421298E-3</v>
      </c>
    </row>
    <row r="4839" spans="6:7" x14ac:dyDescent="0.3">
      <c r="F4839" s="124">
        <v>4833</v>
      </c>
      <c r="G4839" s="33">
        <f t="shared" ca="1" si="88"/>
        <v>-1.7414617659176776E-2</v>
      </c>
    </row>
    <row r="4840" spans="6:7" x14ac:dyDescent="0.3">
      <c r="F4840" s="124">
        <v>4834</v>
      </c>
      <c r="G4840" s="33">
        <f t="shared" ca="1" si="88"/>
        <v>-5.1965675423605535E-2</v>
      </c>
    </row>
    <row r="4841" spans="6:7" x14ac:dyDescent="0.3">
      <c r="F4841" s="124">
        <v>4835</v>
      </c>
      <c r="G4841" s="33">
        <f t="shared" ca="1" si="88"/>
        <v>-2.3943625911748177E-2</v>
      </c>
    </row>
    <row r="4842" spans="6:7" x14ac:dyDescent="0.3">
      <c r="F4842" s="124">
        <v>4836</v>
      </c>
      <c r="G4842" s="33">
        <f t="shared" ca="1" si="88"/>
        <v>9.3268068017619485E-3</v>
      </c>
    </row>
    <row r="4843" spans="6:7" x14ac:dyDescent="0.3">
      <c r="F4843" s="124">
        <v>4837</v>
      </c>
      <c r="G4843" s="33">
        <f t="shared" ca="1" si="88"/>
        <v>-3.7804509563908991E-3</v>
      </c>
    </row>
    <row r="4844" spans="6:7" x14ac:dyDescent="0.3">
      <c r="F4844" s="124">
        <v>4838</v>
      </c>
      <c r="G4844" s="33">
        <f t="shared" ca="1" si="88"/>
        <v>2.623213870807713E-2</v>
      </c>
    </row>
    <row r="4845" spans="6:7" x14ac:dyDescent="0.3">
      <c r="F4845" s="124">
        <v>4839</v>
      </c>
      <c r="G4845" s="33">
        <f t="shared" ca="1" si="88"/>
        <v>1.2900164109763523E-2</v>
      </c>
    </row>
    <row r="4846" spans="6:7" x14ac:dyDescent="0.3">
      <c r="F4846" s="124">
        <v>4840</v>
      </c>
      <c r="G4846" s="33">
        <f t="shared" ca="1" si="88"/>
        <v>9.3120117693467563E-2</v>
      </c>
    </row>
    <row r="4847" spans="6:7" x14ac:dyDescent="0.3">
      <c r="F4847" s="124">
        <v>4841</v>
      </c>
      <c r="G4847" s="33">
        <f t="shared" ca="1" si="88"/>
        <v>-9.3972864034377566E-3</v>
      </c>
    </row>
    <row r="4848" spans="6:7" x14ac:dyDescent="0.3">
      <c r="F4848" s="124">
        <v>4842</v>
      </c>
      <c r="G4848" s="33">
        <f t="shared" ca="1" si="88"/>
        <v>-1.1671080253716246E-2</v>
      </c>
    </row>
    <row r="4849" spans="6:7" x14ac:dyDescent="0.3">
      <c r="F4849" s="124">
        <v>4843</v>
      </c>
      <c r="G4849" s="33">
        <f t="shared" ca="1" si="88"/>
        <v>-1.3188530334813726E-2</v>
      </c>
    </row>
    <row r="4850" spans="6:7" x14ac:dyDescent="0.3">
      <c r="F4850" s="124">
        <v>4844</v>
      </c>
      <c r="G4850" s="33">
        <f t="shared" ca="1" si="88"/>
        <v>-1.6345495687714009E-2</v>
      </c>
    </row>
    <row r="4851" spans="6:7" x14ac:dyDescent="0.3">
      <c r="F4851" s="124">
        <v>4845</v>
      </c>
      <c r="G4851" s="33">
        <f t="shared" ca="1" si="88"/>
        <v>3.9387651654870209E-2</v>
      </c>
    </row>
    <row r="4852" spans="6:7" x14ac:dyDescent="0.3">
      <c r="F4852" s="124">
        <v>4846</v>
      </c>
      <c r="G4852" s="33">
        <f t="shared" ca="1" si="88"/>
        <v>2.8084376653494742E-2</v>
      </c>
    </row>
    <row r="4853" spans="6:7" x14ac:dyDescent="0.3">
      <c r="F4853" s="124">
        <v>4847</v>
      </c>
      <c r="G4853" s="33">
        <f t="shared" ca="1" si="88"/>
        <v>-6.6831214246799659E-3</v>
      </c>
    </row>
    <row r="4854" spans="6:7" x14ac:dyDescent="0.3">
      <c r="F4854" s="124">
        <v>4848</v>
      </c>
      <c r="G4854" s="33">
        <f t="shared" ca="1" si="88"/>
        <v>-2.4525308867871562E-2</v>
      </c>
    </row>
    <row r="4855" spans="6:7" x14ac:dyDescent="0.3">
      <c r="F4855" s="124">
        <v>4849</v>
      </c>
      <c r="G4855" s="33">
        <f t="shared" ca="1" si="88"/>
        <v>5.6829034880133654E-2</v>
      </c>
    </row>
    <row r="4856" spans="6:7" x14ac:dyDescent="0.3">
      <c r="F4856" s="124">
        <v>4850</v>
      </c>
      <c r="G4856" s="33">
        <f t="shared" ca="1" si="88"/>
        <v>-1.9285953286538558E-2</v>
      </c>
    </row>
    <row r="4857" spans="6:7" x14ac:dyDescent="0.3">
      <c r="F4857" s="124">
        <v>4851</v>
      </c>
      <c r="G4857" s="33">
        <f t="shared" ca="1" si="88"/>
        <v>9.1027803646915283E-3</v>
      </c>
    </row>
    <row r="4858" spans="6:7" x14ac:dyDescent="0.3">
      <c r="F4858" s="124">
        <v>4852</v>
      </c>
      <c r="G4858" s="33">
        <f t="shared" ca="1" si="88"/>
        <v>6.625694850202128E-3</v>
      </c>
    </row>
    <row r="4859" spans="6:7" x14ac:dyDescent="0.3">
      <c r="F4859" s="124">
        <v>4853</v>
      </c>
      <c r="G4859" s="33">
        <f t="shared" ca="1" si="88"/>
        <v>-7.8502377522891957E-3</v>
      </c>
    </row>
    <row r="4860" spans="6:7" x14ac:dyDescent="0.3">
      <c r="F4860" s="124">
        <v>4854</v>
      </c>
      <c r="G4860" s="33">
        <f t="shared" ca="1" si="88"/>
        <v>-4.4701551392149055E-2</v>
      </c>
    </row>
    <row r="4861" spans="6:7" x14ac:dyDescent="0.3">
      <c r="F4861" s="124">
        <v>4855</v>
      </c>
      <c r="G4861" s="33">
        <f t="shared" ca="1" si="88"/>
        <v>1.4139120157334987E-2</v>
      </c>
    </row>
    <row r="4862" spans="6:7" x14ac:dyDescent="0.3">
      <c r="F4862" s="124">
        <v>4856</v>
      </c>
      <c r="G4862" s="33">
        <f t="shared" ca="1" si="88"/>
        <v>-9.814109207625682E-3</v>
      </c>
    </row>
    <row r="4863" spans="6:7" x14ac:dyDescent="0.3">
      <c r="F4863" s="124">
        <v>4857</v>
      </c>
      <c r="G4863" s="33">
        <f t="shared" ca="1" si="88"/>
        <v>1.861506680543925E-2</v>
      </c>
    </row>
    <row r="4864" spans="6:7" x14ac:dyDescent="0.3">
      <c r="F4864" s="124">
        <v>4858</v>
      </c>
      <c r="G4864" s="33">
        <f t="shared" ca="1" si="88"/>
        <v>2.2731606357229334E-2</v>
      </c>
    </row>
    <row r="4865" spans="6:7" x14ac:dyDescent="0.3">
      <c r="F4865" s="124">
        <v>4859</v>
      </c>
      <c r="G4865" s="33">
        <f t="shared" ca="1" si="88"/>
        <v>1.8632493965084568E-2</v>
      </c>
    </row>
    <row r="4866" spans="6:7" x14ac:dyDescent="0.3">
      <c r="F4866" s="124">
        <v>4860</v>
      </c>
      <c r="G4866" s="33">
        <f t="shared" ca="1" si="88"/>
        <v>4.0136227135923075E-2</v>
      </c>
    </row>
    <row r="4867" spans="6:7" x14ac:dyDescent="0.3">
      <c r="F4867" s="124">
        <v>4861</v>
      </c>
      <c r="G4867" s="33">
        <f t="shared" ca="1" si="88"/>
        <v>1.4587902949654358E-2</v>
      </c>
    </row>
    <row r="4868" spans="6:7" x14ac:dyDescent="0.3">
      <c r="F4868" s="124">
        <v>4862</v>
      </c>
      <c r="G4868" s="33">
        <f t="shared" ca="1" si="88"/>
        <v>-6.7605318636737383E-2</v>
      </c>
    </row>
    <row r="4869" spans="6:7" x14ac:dyDescent="0.3">
      <c r="F4869" s="124">
        <v>4863</v>
      </c>
      <c r="G4869" s="33">
        <f t="shared" ca="1" si="88"/>
        <v>-4.0788537337051768E-2</v>
      </c>
    </row>
    <row r="4870" spans="6:7" x14ac:dyDescent="0.3">
      <c r="F4870" s="124">
        <v>4864</v>
      </c>
      <c r="G4870" s="33">
        <f t="shared" ca="1" si="88"/>
        <v>3.2053797101290742E-2</v>
      </c>
    </row>
    <row r="4871" spans="6:7" x14ac:dyDescent="0.3">
      <c r="F4871" s="124">
        <v>4865</v>
      </c>
      <c r="G4871" s="33">
        <f t="shared" ca="1" si="88"/>
        <v>-4.6439900799842629E-2</v>
      </c>
    </row>
    <row r="4872" spans="6:7" x14ac:dyDescent="0.3">
      <c r="F4872" s="124">
        <v>4866</v>
      </c>
      <c r="G4872" s="33">
        <f t="shared" ref="G4872:G4935" ca="1" si="89">_xlfn.NORM.INV(RAND(),$M$9,$M$10)</f>
        <v>-2.1195138828393002E-2</v>
      </c>
    </row>
    <row r="4873" spans="6:7" x14ac:dyDescent="0.3">
      <c r="F4873" s="124">
        <v>4867</v>
      </c>
      <c r="G4873" s="33">
        <f t="shared" ca="1" si="89"/>
        <v>1.974761937719249E-2</v>
      </c>
    </row>
    <row r="4874" spans="6:7" x14ac:dyDescent="0.3">
      <c r="F4874" s="124">
        <v>4868</v>
      </c>
      <c r="G4874" s="33">
        <f t="shared" ca="1" si="89"/>
        <v>7.09504487078709E-2</v>
      </c>
    </row>
    <row r="4875" spans="6:7" x14ac:dyDescent="0.3">
      <c r="F4875" s="124">
        <v>4869</v>
      </c>
      <c r="G4875" s="33">
        <f t="shared" ca="1" si="89"/>
        <v>1.1861239552756014E-2</v>
      </c>
    </row>
    <row r="4876" spans="6:7" x14ac:dyDescent="0.3">
      <c r="F4876" s="124">
        <v>4870</v>
      </c>
      <c r="G4876" s="33">
        <f t="shared" ca="1" si="89"/>
        <v>1.3618546356543193E-2</v>
      </c>
    </row>
    <row r="4877" spans="6:7" x14ac:dyDescent="0.3">
      <c r="F4877" s="124">
        <v>4871</v>
      </c>
      <c r="G4877" s="33">
        <f t="shared" ca="1" si="89"/>
        <v>3.6282802788822371E-2</v>
      </c>
    </row>
    <row r="4878" spans="6:7" x14ac:dyDescent="0.3">
      <c r="F4878" s="124">
        <v>4872</v>
      </c>
      <c r="G4878" s="33">
        <f t="shared" ca="1" si="89"/>
        <v>1.1123451045040758E-3</v>
      </c>
    </row>
    <row r="4879" spans="6:7" x14ac:dyDescent="0.3">
      <c r="F4879" s="124">
        <v>4873</v>
      </c>
      <c r="G4879" s="33">
        <f t="shared" ca="1" si="89"/>
        <v>3.6820272159721057E-2</v>
      </c>
    </row>
    <row r="4880" spans="6:7" x14ac:dyDescent="0.3">
      <c r="F4880" s="124">
        <v>4874</v>
      </c>
      <c r="G4880" s="33">
        <f t="shared" ca="1" si="89"/>
        <v>1.6544676886613839E-2</v>
      </c>
    </row>
    <row r="4881" spans="6:7" x14ac:dyDescent="0.3">
      <c r="F4881" s="124">
        <v>4875</v>
      </c>
      <c r="G4881" s="33">
        <f t="shared" ca="1" si="89"/>
        <v>2.4775495581582296E-3</v>
      </c>
    </row>
    <row r="4882" spans="6:7" x14ac:dyDescent="0.3">
      <c r="F4882" s="124">
        <v>4876</v>
      </c>
      <c r="G4882" s="33">
        <f t="shared" ca="1" si="89"/>
        <v>7.2587157138880483E-3</v>
      </c>
    </row>
    <row r="4883" spans="6:7" x14ac:dyDescent="0.3">
      <c r="F4883" s="124">
        <v>4877</v>
      </c>
      <c r="G4883" s="33">
        <f t="shared" ca="1" si="89"/>
        <v>-3.3398624386995097E-2</v>
      </c>
    </row>
    <row r="4884" spans="6:7" x14ac:dyDescent="0.3">
      <c r="F4884" s="124">
        <v>4878</v>
      </c>
      <c r="G4884" s="33">
        <f t="shared" ca="1" si="89"/>
        <v>-1.2671923730137709E-2</v>
      </c>
    </row>
    <row r="4885" spans="6:7" x14ac:dyDescent="0.3">
      <c r="F4885" s="124">
        <v>4879</v>
      </c>
      <c r="G4885" s="33">
        <f t="shared" ca="1" si="89"/>
        <v>3.1992862495263514E-3</v>
      </c>
    </row>
    <row r="4886" spans="6:7" x14ac:dyDescent="0.3">
      <c r="F4886" s="124">
        <v>4880</v>
      </c>
      <c r="G4886" s="33">
        <f t="shared" ca="1" si="89"/>
        <v>7.3474136779781828E-3</v>
      </c>
    </row>
    <row r="4887" spans="6:7" x14ac:dyDescent="0.3">
      <c r="F4887" s="124">
        <v>4881</v>
      </c>
      <c r="G4887" s="33">
        <f t="shared" ca="1" si="89"/>
        <v>-6.6379033123024093E-3</v>
      </c>
    </row>
    <row r="4888" spans="6:7" x14ac:dyDescent="0.3">
      <c r="F4888" s="124">
        <v>4882</v>
      </c>
      <c r="G4888" s="33">
        <f t="shared" ca="1" si="89"/>
        <v>2.2188117190071473E-2</v>
      </c>
    </row>
    <row r="4889" spans="6:7" x14ac:dyDescent="0.3">
      <c r="F4889" s="124">
        <v>4883</v>
      </c>
      <c r="G4889" s="33">
        <f t="shared" ca="1" si="89"/>
        <v>-4.1157178148371306E-3</v>
      </c>
    </row>
    <row r="4890" spans="6:7" x14ac:dyDescent="0.3">
      <c r="F4890" s="124">
        <v>4884</v>
      </c>
      <c r="G4890" s="33">
        <f t="shared" ca="1" si="89"/>
        <v>2.6756751878357195E-2</v>
      </c>
    </row>
    <row r="4891" spans="6:7" x14ac:dyDescent="0.3">
      <c r="F4891" s="124">
        <v>4885</v>
      </c>
      <c r="G4891" s="33">
        <f t="shared" ca="1" si="89"/>
        <v>9.9633510618593046E-3</v>
      </c>
    </row>
    <row r="4892" spans="6:7" x14ac:dyDescent="0.3">
      <c r="F4892" s="124">
        <v>4886</v>
      </c>
      <c r="G4892" s="33">
        <f t="shared" ca="1" si="89"/>
        <v>-1.01119062657146E-2</v>
      </c>
    </row>
    <row r="4893" spans="6:7" x14ac:dyDescent="0.3">
      <c r="F4893" s="124">
        <v>4887</v>
      </c>
      <c r="G4893" s="33">
        <f t="shared" ca="1" si="89"/>
        <v>4.7641459350863061E-3</v>
      </c>
    </row>
    <row r="4894" spans="6:7" x14ac:dyDescent="0.3">
      <c r="F4894" s="124">
        <v>4888</v>
      </c>
      <c r="G4894" s="33">
        <f t="shared" ca="1" si="89"/>
        <v>2.7190934825488778E-2</v>
      </c>
    </row>
    <row r="4895" spans="6:7" x14ac:dyDescent="0.3">
      <c r="F4895" s="124">
        <v>4889</v>
      </c>
      <c r="G4895" s="33">
        <f t="shared" ca="1" si="89"/>
        <v>2.1439302159887846E-2</v>
      </c>
    </row>
    <row r="4896" spans="6:7" x14ac:dyDescent="0.3">
      <c r="F4896" s="124">
        <v>4890</v>
      </c>
      <c r="G4896" s="33">
        <f t="shared" ca="1" si="89"/>
        <v>-1.936852463217862E-2</v>
      </c>
    </row>
    <row r="4897" spans="6:7" x14ac:dyDescent="0.3">
      <c r="F4897" s="124">
        <v>4891</v>
      </c>
      <c r="G4897" s="33">
        <f t="shared" ca="1" si="89"/>
        <v>1.7712273775491144E-2</v>
      </c>
    </row>
    <row r="4898" spans="6:7" x14ac:dyDescent="0.3">
      <c r="F4898" s="124">
        <v>4892</v>
      </c>
      <c r="G4898" s="33">
        <f t="shared" ca="1" si="89"/>
        <v>-4.5390196487104552E-2</v>
      </c>
    </row>
    <row r="4899" spans="6:7" x14ac:dyDescent="0.3">
      <c r="F4899" s="124">
        <v>4893</v>
      </c>
      <c r="G4899" s="33">
        <f t="shared" ca="1" si="89"/>
        <v>1.9235041380419426E-2</v>
      </c>
    </row>
    <row r="4900" spans="6:7" x14ac:dyDescent="0.3">
      <c r="F4900" s="124">
        <v>4894</v>
      </c>
      <c r="G4900" s="33">
        <f t="shared" ca="1" si="89"/>
        <v>2.7121262270793371E-2</v>
      </c>
    </row>
    <row r="4901" spans="6:7" x14ac:dyDescent="0.3">
      <c r="F4901" s="124">
        <v>4895</v>
      </c>
      <c r="G4901" s="33">
        <f t="shared" ca="1" si="89"/>
        <v>-2.07323814234E-2</v>
      </c>
    </row>
    <row r="4902" spans="6:7" x14ac:dyDescent="0.3">
      <c r="F4902" s="124">
        <v>4896</v>
      </c>
      <c r="G4902" s="33">
        <f t="shared" ca="1" si="89"/>
        <v>7.8545867201970584E-3</v>
      </c>
    </row>
    <row r="4903" spans="6:7" x14ac:dyDescent="0.3">
      <c r="F4903" s="124">
        <v>4897</v>
      </c>
      <c r="G4903" s="33">
        <f t="shared" ca="1" si="89"/>
        <v>1.2195337535695815E-2</v>
      </c>
    </row>
    <row r="4904" spans="6:7" x14ac:dyDescent="0.3">
      <c r="F4904" s="124">
        <v>4898</v>
      </c>
      <c r="G4904" s="33">
        <f t="shared" ca="1" si="89"/>
        <v>5.6795777585027414E-3</v>
      </c>
    </row>
    <row r="4905" spans="6:7" x14ac:dyDescent="0.3">
      <c r="F4905" s="124">
        <v>4899</v>
      </c>
      <c r="G4905" s="33">
        <f t="shared" ca="1" si="89"/>
        <v>2.035762069077638E-2</v>
      </c>
    </row>
    <row r="4906" spans="6:7" x14ac:dyDescent="0.3">
      <c r="F4906" s="124">
        <v>4900</v>
      </c>
      <c r="G4906" s="33">
        <f t="shared" ca="1" si="89"/>
        <v>-3.2142224206721477E-2</v>
      </c>
    </row>
    <row r="4907" spans="6:7" x14ac:dyDescent="0.3">
      <c r="F4907" s="124">
        <v>4901</v>
      </c>
      <c r="G4907" s="33">
        <f t="shared" ca="1" si="89"/>
        <v>-2.380678105240874E-2</v>
      </c>
    </row>
    <row r="4908" spans="6:7" x14ac:dyDescent="0.3">
      <c r="F4908" s="124">
        <v>4902</v>
      </c>
      <c r="G4908" s="33">
        <f t="shared" ca="1" si="89"/>
        <v>6.2696752018555502E-3</v>
      </c>
    </row>
    <row r="4909" spans="6:7" x14ac:dyDescent="0.3">
      <c r="F4909" s="124">
        <v>4903</v>
      </c>
      <c r="G4909" s="33">
        <f t="shared" ca="1" si="89"/>
        <v>4.6012149405401055E-2</v>
      </c>
    </row>
    <row r="4910" spans="6:7" x14ac:dyDescent="0.3">
      <c r="F4910" s="124">
        <v>4904</v>
      </c>
      <c r="G4910" s="33">
        <f t="shared" ca="1" si="89"/>
        <v>6.8738206543322612E-3</v>
      </c>
    </row>
    <row r="4911" spans="6:7" x14ac:dyDescent="0.3">
      <c r="F4911" s="124">
        <v>4905</v>
      </c>
      <c r="G4911" s="33">
        <f t="shared" ca="1" si="89"/>
        <v>2.3622791246845683E-2</v>
      </c>
    </row>
    <row r="4912" spans="6:7" x14ac:dyDescent="0.3">
      <c r="F4912" s="124">
        <v>4906</v>
      </c>
      <c r="G4912" s="33">
        <f t="shared" ca="1" si="89"/>
        <v>-3.2390641901167708E-2</v>
      </c>
    </row>
    <row r="4913" spans="6:7" x14ac:dyDescent="0.3">
      <c r="F4913" s="124">
        <v>4907</v>
      </c>
      <c r="G4913" s="33">
        <f t="shared" ca="1" si="89"/>
        <v>4.5120437039881396E-2</v>
      </c>
    </row>
    <row r="4914" spans="6:7" x14ac:dyDescent="0.3">
      <c r="F4914" s="124">
        <v>4908</v>
      </c>
      <c r="G4914" s="33">
        <f t="shared" ca="1" si="89"/>
        <v>2.3563442959122029E-2</v>
      </c>
    </row>
    <row r="4915" spans="6:7" x14ac:dyDescent="0.3">
      <c r="F4915" s="124">
        <v>4909</v>
      </c>
      <c r="G4915" s="33">
        <f t="shared" ca="1" si="89"/>
        <v>-4.6871316556054754E-2</v>
      </c>
    </row>
    <row r="4916" spans="6:7" x14ac:dyDescent="0.3">
      <c r="F4916" s="124">
        <v>4910</v>
      </c>
      <c r="G4916" s="33">
        <f t="shared" ca="1" si="89"/>
        <v>6.322802358803005E-2</v>
      </c>
    </row>
    <row r="4917" spans="6:7" x14ac:dyDescent="0.3">
      <c r="F4917" s="124">
        <v>4911</v>
      </c>
      <c r="G4917" s="33">
        <f t="shared" ca="1" si="89"/>
        <v>9.4205795085295849E-3</v>
      </c>
    </row>
    <row r="4918" spans="6:7" x14ac:dyDescent="0.3">
      <c r="F4918" s="124">
        <v>4912</v>
      </c>
      <c r="G4918" s="33">
        <f t="shared" ca="1" si="89"/>
        <v>3.003966609053609E-3</v>
      </c>
    </row>
    <row r="4919" spans="6:7" x14ac:dyDescent="0.3">
      <c r="F4919" s="124">
        <v>4913</v>
      </c>
      <c r="G4919" s="33">
        <f t="shared" ca="1" si="89"/>
        <v>6.8373001985656295E-2</v>
      </c>
    </row>
    <row r="4920" spans="6:7" x14ac:dyDescent="0.3">
      <c r="F4920" s="124">
        <v>4914</v>
      </c>
      <c r="G4920" s="33">
        <f t="shared" ca="1" si="89"/>
        <v>4.5308426669181792E-2</v>
      </c>
    </row>
    <row r="4921" spans="6:7" x14ac:dyDescent="0.3">
      <c r="F4921" s="124">
        <v>4915</v>
      </c>
      <c r="G4921" s="33">
        <f t="shared" ca="1" si="89"/>
        <v>-2.6862536784717252E-2</v>
      </c>
    </row>
    <row r="4922" spans="6:7" x14ac:dyDescent="0.3">
      <c r="F4922" s="124">
        <v>4916</v>
      </c>
      <c r="G4922" s="33">
        <f t="shared" ca="1" si="89"/>
        <v>5.0216358326600572E-3</v>
      </c>
    </row>
    <row r="4923" spans="6:7" x14ac:dyDescent="0.3">
      <c r="F4923" s="124">
        <v>4917</v>
      </c>
      <c r="G4923" s="33">
        <f t="shared" ca="1" si="89"/>
        <v>-1.5185818470467648E-2</v>
      </c>
    </row>
    <row r="4924" spans="6:7" x14ac:dyDescent="0.3">
      <c r="F4924" s="124">
        <v>4918</v>
      </c>
      <c r="G4924" s="33">
        <f t="shared" ca="1" si="89"/>
        <v>4.4730530871260096E-2</v>
      </c>
    </row>
    <row r="4925" spans="6:7" x14ac:dyDescent="0.3">
      <c r="F4925" s="124">
        <v>4919</v>
      </c>
      <c r="G4925" s="33">
        <f t="shared" ca="1" si="89"/>
        <v>8.398584382562909E-3</v>
      </c>
    </row>
    <row r="4926" spans="6:7" x14ac:dyDescent="0.3">
      <c r="F4926" s="124">
        <v>4920</v>
      </c>
      <c r="G4926" s="33">
        <f t="shared" ca="1" si="89"/>
        <v>1.0770756840144231E-2</v>
      </c>
    </row>
    <row r="4927" spans="6:7" x14ac:dyDescent="0.3">
      <c r="F4927" s="124">
        <v>4921</v>
      </c>
      <c r="G4927" s="33">
        <f t="shared" ca="1" si="89"/>
        <v>-2.8339265034353224E-2</v>
      </c>
    </row>
    <row r="4928" spans="6:7" x14ac:dyDescent="0.3">
      <c r="F4928" s="124">
        <v>4922</v>
      </c>
      <c r="G4928" s="33">
        <f t="shared" ca="1" si="89"/>
        <v>7.1854294357263954E-2</v>
      </c>
    </row>
    <row r="4929" spans="6:7" x14ac:dyDescent="0.3">
      <c r="F4929" s="124">
        <v>4923</v>
      </c>
      <c r="G4929" s="33">
        <f t="shared" ca="1" si="89"/>
        <v>2.1419913313247416E-2</v>
      </c>
    </row>
    <row r="4930" spans="6:7" x14ac:dyDescent="0.3">
      <c r="F4930" s="124">
        <v>4924</v>
      </c>
      <c r="G4930" s="33">
        <f t="shared" ca="1" si="89"/>
        <v>7.4631532927080515E-3</v>
      </c>
    </row>
    <row r="4931" spans="6:7" x14ac:dyDescent="0.3">
      <c r="F4931" s="124">
        <v>4925</v>
      </c>
      <c r="G4931" s="33">
        <f t="shared" ca="1" si="89"/>
        <v>-2.3088878013022989E-2</v>
      </c>
    </row>
    <row r="4932" spans="6:7" x14ac:dyDescent="0.3">
      <c r="F4932" s="124">
        <v>4926</v>
      </c>
      <c r="G4932" s="33">
        <f t="shared" ca="1" si="89"/>
        <v>-1.1771923030985391E-2</v>
      </c>
    </row>
    <row r="4933" spans="6:7" x14ac:dyDescent="0.3">
      <c r="F4933" s="124">
        <v>4927</v>
      </c>
      <c r="G4933" s="33">
        <f t="shared" ca="1" si="89"/>
        <v>3.2698197735951695E-4</v>
      </c>
    </row>
    <row r="4934" spans="6:7" x14ac:dyDescent="0.3">
      <c r="F4934" s="124">
        <v>4928</v>
      </c>
      <c r="G4934" s="33">
        <f t="shared" ca="1" si="89"/>
        <v>6.2029791722360006E-2</v>
      </c>
    </row>
    <row r="4935" spans="6:7" x14ac:dyDescent="0.3">
      <c r="F4935" s="124">
        <v>4929</v>
      </c>
      <c r="G4935" s="33">
        <f t="shared" ca="1" si="89"/>
        <v>5.1796051686263007E-2</v>
      </c>
    </row>
    <row r="4936" spans="6:7" x14ac:dyDescent="0.3">
      <c r="F4936" s="124">
        <v>4930</v>
      </c>
      <c r="G4936" s="33">
        <f t="shared" ref="G4936:G4999" ca="1" si="90">_xlfn.NORM.INV(RAND(),$M$9,$M$10)</f>
        <v>1.5025871163350565E-2</v>
      </c>
    </row>
    <row r="4937" spans="6:7" x14ac:dyDescent="0.3">
      <c r="F4937" s="124">
        <v>4931</v>
      </c>
      <c r="G4937" s="33">
        <f t="shared" ca="1" si="90"/>
        <v>4.4297051564539051E-2</v>
      </c>
    </row>
    <row r="4938" spans="6:7" x14ac:dyDescent="0.3">
      <c r="F4938" s="124">
        <v>4932</v>
      </c>
      <c r="G4938" s="33">
        <f t="shared" ca="1" si="90"/>
        <v>7.4759684680021088E-3</v>
      </c>
    </row>
    <row r="4939" spans="6:7" x14ac:dyDescent="0.3">
      <c r="F4939" s="124">
        <v>4933</v>
      </c>
      <c r="G4939" s="33">
        <f t="shared" ca="1" si="90"/>
        <v>-3.6524783412568762E-2</v>
      </c>
    </row>
    <row r="4940" spans="6:7" x14ac:dyDescent="0.3">
      <c r="F4940" s="124">
        <v>4934</v>
      </c>
      <c r="G4940" s="33">
        <f t="shared" ca="1" si="90"/>
        <v>-3.3616847854731673E-2</v>
      </c>
    </row>
    <row r="4941" spans="6:7" x14ac:dyDescent="0.3">
      <c r="F4941" s="124">
        <v>4935</v>
      </c>
      <c r="G4941" s="33">
        <f t="shared" ca="1" si="90"/>
        <v>1.3303869491024568E-2</v>
      </c>
    </row>
    <row r="4942" spans="6:7" x14ac:dyDescent="0.3">
      <c r="F4942" s="124">
        <v>4936</v>
      </c>
      <c r="G4942" s="33">
        <f t="shared" ca="1" si="90"/>
        <v>1.4816581529473759E-2</v>
      </c>
    </row>
    <row r="4943" spans="6:7" x14ac:dyDescent="0.3">
      <c r="F4943" s="124">
        <v>4937</v>
      </c>
      <c r="G4943" s="33">
        <f t="shared" ca="1" si="90"/>
        <v>-5.0737081234481464E-3</v>
      </c>
    </row>
    <row r="4944" spans="6:7" x14ac:dyDescent="0.3">
      <c r="F4944" s="124">
        <v>4938</v>
      </c>
      <c r="G4944" s="33">
        <f t="shared" ca="1" si="90"/>
        <v>2.7325982401758355E-3</v>
      </c>
    </row>
    <row r="4945" spans="6:7" x14ac:dyDescent="0.3">
      <c r="F4945" s="124">
        <v>4939</v>
      </c>
      <c r="G4945" s="33">
        <f t="shared" ca="1" si="90"/>
        <v>3.8060509309202142E-2</v>
      </c>
    </row>
    <row r="4946" spans="6:7" x14ac:dyDescent="0.3">
      <c r="F4946" s="124">
        <v>4940</v>
      </c>
      <c r="G4946" s="33">
        <f t="shared" ca="1" si="90"/>
        <v>4.9919446549946331E-2</v>
      </c>
    </row>
    <row r="4947" spans="6:7" x14ac:dyDescent="0.3">
      <c r="F4947" s="124">
        <v>4941</v>
      </c>
      <c r="G4947" s="33">
        <f t="shared" ca="1" si="90"/>
        <v>-1.1167143300388583E-2</v>
      </c>
    </row>
    <row r="4948" spans="6:7" x14ac:dyDescent="0.3">
      <c r="F4948" s="124">
        <v>4942</v>
      </c>
      <c r="G4948" s="33">
        <f t="shared" ca="1" si="90"/>
        <v>-8.3471379942232464E-3</v>
      </c>
    </row>
    <row r="4949" spans="6:7" x14ac:dyDescent="0.3">
      <c r="F4949" s="124">
        <v>4943</v>
      </c>
      <c r="G4949" s="33">
        <f t="shared" ca="1" si="90"/>
        <v>-1.772946237201669E-2</v>
      </c>
    </row>
    <row r="4950" spans="6:7" x14ac:dyDescent="0.3">
      <c r="F4950" s="124">
        <v>4944</v>
      </c>
      <c r="G4950" s="33">
        <f t="shared" ca="1" si="90"/>
        <v>-5.7924534752032131E-3</v>
      </c>
    </row>
    <row r="4951" spans="6:7" x14ac:dyDescent="0.3">
      <c r="F4951" s="124">
        <v>4945</v>
      </c>
      <c r="G4951" s="33">
        <f t="shared" ca="1" si="90"/>
        <v>1.7504841501240574E-2</v>
      </c>
    </row>
    <row r="4952" spans="6:7" x14ac:dyDescent="0.3">
      <c r="F4952" s="124">
        <v>4946</v>
      </c>
      <c r="G4952" s="33">
        <f t="shared" ca="1" si="90"/>
        <v>5.4850698284094855E-3</v>
      </c>
    </row>
    <row r="4953" spans="6:7" x14ac:dyDescent="0.3">
      <c r="F4953" s="124">
        <v>4947</v>
      </c>
      <c r="G4953" s="33">
        <f t="shared" ca="1" si="90"/>
        <v>-4.3789461683233361E-3</v>
      </c>
    </row>
    <row r="4954" spans="6:7" x14ac:dyDescent="0.3">
      <c r="F4954" s="124">
        <v>4948</v>
      </c>
      <c r="G4954" s="33">
        <f t="shared" ca="1" si="90"/>
        <v>1.6943214578383627E-2</v>
      </c>
    </row>
    <row r="4955" spans="6:7" x14ac:dyDescent="0.3">
      <c r="F4955" s="124">
        <v>4949</v>
      </c>
      <c r="G4955" s="33">
        <f t="shared" ca="1" si="90"/>
        <v>1.6181520516093582E-2</v>
      </c>
    </row>
    <row r="4956" spans="6:7" x14ac:dyDescent="0.3">
      <c r="F4956" s="124">
        <v>4950</v>
      </c>
      <c r="G4956" s="33">
        <f t="shared" ca="1" si="90"/>
        <v>-1.0857041625161334E-2</v>
      </c>
    </row>
    <row r="4957" spans="6:7" x14ac:dyDescent="0.3">
      <c r="F4957" s="124">
        <v>4951</v>
      </c>
      <c r="G4957" s="33">
        <f t="shared" ca="1" si="90"/>
        <v>1.1493618570718421E-2</v>
      </c>
    </row>
    <row r="4958" spans="6:7" x14ac:dyDescent="0.3">
      <c r="F4958" s="124">
        <v>4952</v>
      </c>
      <c r="G4958" s="33">
        <f t="shared" ca="1" si="90"/>
        <v>-7.6366192114258108E-3</v>
      </c>
    </row>
    <row r="4959" spans="6:7" x14ac:dyDescent="0.3">
      <c r="F4959" s="124">
        <v>4953</v>
      </c>
      <c r="G4959" s="33">
        <f t="shared" ca="1" si="90"/>
        <v>7.3199413134067961E-3</v>
      </c>
    </row>
    <row r="4960" spans="6:7" x14ac:dyDescent="0.3">
      <c r="F4960" s="124">
        <v>4954</v>
      </c>
      <c r="G4960" s="33">
        <f t="shared" ca="1" si="90"/>
        <v>2.3853260734405655E-2</v>
      </c>
    </row>
    <row r="4961" spans="6:7" x14ac:dyDescent="0.3">
      <c r="F4961" s="124">
        <v>4955</v>
      </c>
      <c r="G4961" s="33">
        <f t="shared" ca="1" si="90"/>
        <v>-2.4018596547168713E-2</v>
      </c>
    </row>
    <row r="4962" spans="6:7" x14ac:dyDescent="0.3">
      <c r="F4962" s="124">
        <v>4956</v>
      </c>
      <c r="G4962" s="33">
        <f t="shared" ca="1" si="90"/>
        <v>-2.7609818314540933E-2</v>
      </c>
    </row>
    <row r="4963" spans="6:7" x14ac:dyDescent="0.3">
      <c r="F4963" s="124">
        <v>4957</v>
      </c>
      <c r="G4963" s="33">
        <f t="shared" ca="1" si="90"/>
        <v>-2.7944752117898441E-2</v>
      </c>
    </row>
    <row r="4964" spans="6:7" x14ac:dyDescent="0.3">
      <c r="F4964" s="124">
        <v>4958</v>
      </c>
      <c r="G4964" s="33">
        <f t="shared" ca="1" si="90"/>
        <v>-9.9878456822774853E-2</v>
      </c>
    </row>
    <row r="4965" spans="6:7" x14ac:dyDescent="0.3">
      <c r="F4965" s="124">
        <v>4959</v>
      </c>
      <c r="G4965" s="33">
        <f t="shared" ca="1" si="90"/>
        <v>-5.942398120967924E-2</v>
      </c>
    </row>
    <row r="4966" spans="6:7" x14ac:dyDescent="0.3">
      <c r="F4966" s="124">
        <v>4960</v>
      </c>
      <c r="G4966" s="33">
        <f t="shared" ca="1" si="90"/>
        <v>9.2633264249354572E-2</v>
      </c>
    </row>
    <row r="4967" spans="6:7" x14ac:dyDescent="0.3">
      <c r="F4967" s="124">
        <v>4961</v>
      </c>
      <c r="G4967" s="33">
        <f t="shared" ca="1" si="90"/>
        <v>8.1692427651907269E-3</v>
      </c>
    </row>
    <row r="4968" spans="6:7" x14ac:dyDescent="0.3">
      <c r="F4968" s="124">
        <v>4962</v>
      </c>
      <c r="G4968" s="33">
        <f t="shared" ca="1" si="90"/>
        <v>-4.4219436559553044E-2</v>
      </c>
    </row>
    <row r="4969" spans="6:7" x14ac:dyDescent="0.3">
      <c r="F4969" s="124">
        <v>4963</v>
      </c>
      <c r="G4969" s="33">
        <f t="shared" ca="1" si="90"/>
        <v>5.9172395575483004E-3</v>
      </c>
    </row>
    <row r="4970" spans="6:7" x14ac:dyDescent="0.3">
      <c r="F4970" s="124">
        <v>4964</v>
      </c>
      <c r="G4970" s="33">
        <f t="shared" ca="1" si="90"/>
        <v>3.5308598723320046E-2</v>
      </c>
    </row>
    <row r="4971" spans="6:7" x14ac:dyDescent="0.3">
      <c r="F4971" s="124">
        <v>4965</v>
      </c>
      <c r="G4971" s="33">
        <f t="shared" ca="1" si="90"/>
        <v>5.3869806407875779E-3</v>
      </c>
    </row>
    <row r="4972" spans="6:7" x14ac:dyDescent="0.3">
      <c r="F4972" s="124">
        <v>4966</v>
      </c>
      <c r="G4972" s="33">
        <f t="shared" ca="1" si="90"/>
        <v>4.7548077033699537E-2</v>
      </c>
    </row>
    <row r="4973" spans="6:7" x14ac:dyDescent="0.3">
      <c r="F4973" s="124">
        <v>4967</v>
      </c>
      <c r="G4973" s="33">
        <f t="shared" ca="1" si="90"/>
        <v>1.304982672135771E-2</v>
      </c>
    </row>
    <row r="4974" spans="6:7" x14ac:dyDescent="0.3">
      <c r="F4974" s="124">
        <v>4968</v>
      </c>
      <c r="G4974" s="33">
        <f t="shared" ca="1" si="90"/>
        <v>-4.3388754799280442E-2</v>
      </c>
    </row>
    <row r="4975" spans="6:7" x14ac:dyDescent="0.3">
      <c r="F4975" s="124">
        <v>4969</v>
      </c>
      <c r="G4975" s="33">
        <f t="shared" ca="1" si="90"/>
        <v>1.9474848947489815E-2</v>
      </c>
    </row>
    <row r="4976" spans="6:7" x14ac:dyDescent="0.3">
      <c r="F4976" s="124">
        <v>4970</v>
      </c>
      <c r="G4976" s="33">
        <f t="shared" ca="1" si="90"/>
        <v>7.6998082412831261E-3</v>
      </c>
    </row>
    <row r="4977" spans="6:7" x14ac:dyDescent="0.3">
      <c r="F4977" s="124">
        <v>4971</v>
      </c>
      <c r="G4977" s="33">
        <f t="shared" ca="1" si="90"/>
        <v>2.6096024896348706E-2</v>
      </c>
    </row>
    <row r="4978" spans="6:7" x14ac:dyDescent="0.3">
      <c r="F4978" s="124">
        <v>4972</v>
      </c>
      <c r="G4978" s="33">
        <f t="shared" ca="1" si="90"/>
        <v>9.5102638332801581E-2</v>
      </c>
    </row>
    <row r="4979" spans="6:7" x14ac:dyDescent="0.3">
      <c r="F4979" s="124">
        <v>4973</v>
      </c>
      <c r="G4979" s="33">
        <f t="shared" ca="1" si="90"/>
        <v>2.3365787401473066E-2</v>
      </c>
    </row>
    <row r="4980" spans="6:7" x14ac:dyDescent="0.3">
      <c r="F4980" s="124">
        <v>4974</v>
      </c>
      <c r="G4980" s="33">
        <f t="shared" ca="1" si="90"/>
        <v>-1.6700411081123856E-2</v>
      </c>
    </row>
    <row r="4981" spans="6:7" x14ac:dyDescent="0.3">
      <c r="F4981" s="124">
        <v>4975</v>
      </c>
      <c r="G4981" s="33">
        <f t="shared" ca="1" si="90"/>
        <v>-1.1002061190574054E-2</v>
      </c>
    </row>
    <row r="4982" spans="6:7" x14ac:dyDescent="0.3">
      <c r="F4982" s="124">
        <v>4976</v>
      </c>
      <c r="G4982" s="33">
        <f t="shared" ca="1" si="90"/>
        <v>5.8861064066656971E-3</v>
      </c>
    </row>
    <row r="4983" spans="6:7" x14ac:dyDescent="0.3">
      <c r="F4983" s="124">
        <v>4977</v>
      </c>
      <c r="G4983" s="33">
        <f t="shared" ca="1" si="90"/>
        <v>-9.361724808684491E-4</v>
      </c>
    </row>
    <row r="4984" spans="6:7" x14ac:dyDescent="0.3">
      <c r="F4984" s="124">
        <v>4978</v>
      </c>
      <c r="G4984" s="33">
        <f t="shared" ca="1" si="90"/>
        <v>3.1984582307660513E-2</v>
      </c>
    </row>
    <row r="4985" spans="6:7" x14ac:dyDescent="0.3">
      <c r="F4985" s="124">
        <v>4979</v>
      </c>
      <c r="G4985" s="33">
        <f t="shared" ca="1" si="90"/>
        <v>2.087145695999913E-3</v>
      </c>
    </row>
    <row r="4986" spans="6:7" x14ac:dyDescent="0.3">
      <c r="F4986" s="124">
        <v>4980</v>
      </c>
      <c r="G4986" s="33">
        <f t="shared" ca="1" si="90"/>
        <v>-6.2733312411518735E-2</v>
      </c>
    </row>
    <row r="4987" spans="6:7" x14ac:dyDescent="0.3">
      <c r="F4987" s="124">
        <v>4981</v>
      </c>
      <c r="G4987" s="33">
        <f t="shared" ca="1" si="90"/>
        <v>-1.1235286398535577E-2</v>
      </c>
    </row>
    <row r="4988" spans="6:7" x14ac:dyDescent="0.3">
      <c r="F4988" s="124">
        <v>4982</v>
      </c>
      <c r="G4988" s="33">
        <f t="shared" ca="1" si="90"/>
        <v>-2.8174562665652967E-2</v>
      </c>
    </row>
    <row r="4989" spans="6:7" x14ac:dyDescent="0.3">
      <c r="F4989" s="124">
        <v>4983</v>
      </c>
      <c r="G4989" s="33">
        <f t="shared" ca="1" si="90"/>
        <v>-5.0818286225645564E-3</v>
      </c>
    </row>
    <row r="4990" spans="6:7" x14ac:dyDescent="0.3">
      <c r="F4990" s="124">
        <v>4984</v>
      </c>
      <c r="G4990" s="33">
        <f t="shared" ca="1" si="90"/>
        <v>3.0420779021245133E-2</v>
      </c>
    </row>
    <row r="4991" spans="6:7" x14ac:dyDescent="0.3">
      <c r="F4991" s="124">
        <v>4985</v>
      </c>
      <c r="G4991" s="33">
        <f t="shared" ca="1" si="90"/>
        <v>2.8985712815135112E-2</v>
      </c>
    </row>
    <row r="4992" spans="6:7" x14ac:dyDescent="0.3">
      <c r="F4992" s="124">
        <v>4986</v>
      </c>
      <c r="G4992" s="33">
        <f t="shared" ca="1" si="90"/>
        <v>-2.5601065133302615E-2</v>
      </c>
    </row>
    <row r="4993" spans="6:7" x14ac:dyDescent="0.3">
      <c r="F4993" s="124">
        <v>4987</v>
      </c>
      <c r="G4993" s="33">
        <f t="shared" ca="1" si="90"/>
        <v>-5.9615357187462201E-3</v>
      </c>
    </row>
    <row r="4994" spans="6:7" x14ac:dyDescent="0.3">
      <c r="F4994" s="124">
        <v>4988</v>
      </c>
      <c r="G4994" s="33">
        <f t="shared" ca="1" si="90"/>
        <v>-1.9329973407491824E-3</v>
      </c>
    </row>
    <row r="4995" spans="6:7" x14ac:dyDescent="0.3">
      <c r="F4995" s="124">
        <v>4989</v>
      </c>
      <c r="G4995" s="33">
        <f t="shared" ca="1" si="90"/>
        <v>-3.7813643323558563E-2</v>
      </c>
    </row>
    <row r="4996" spans="6:7" x14ac:dyDescent="0.3">
      <c r="F4996" s="124">
        <v>4990</v>
      </c>
      <c r="G4996" s="33">
        <f t="shared" ca="1" si="90"/>
        <v>-3.9245012819343096E-2</v>
      </c>
    </row>
    <row r="4997" spans="6:7" x14ac:dyDescent="0.3">
      <c r="F4997" s="124">
        <v>4991</v>
      </c>
      <c r="G4997" s="33">
        <f t="shared" ca="1" si="90"/>
        <v>2.6776347343737211E-2</v>
      </c>
    </row>
    <row r="4998" spans="6:7" x14ac:dyDescent="0.3">
      <c r="F4998" s="124">
        <v>4992</v>
      </c>
      <c r="G4998" s="33">
        <f t="shared" ca="1" si="90"/>
        <v>-1.3190695691313599E-2</v>
      </c>
    </row>
    <row r="4999" spans="6:7" x14ac:dyDescent="0.3">
      <c r="F4999" s="124">
        <v>4993</v>
      </c>
      <c r="G4999" s="33">
        <f t="shared" ca="1" si="90"/>
        <v>-5.2982489657525708E-2</v>
      </c>
    </row>
    <row r="5000" spans="6:7" x14ac:dyDescent="0.3">
      <c r="F5000" s="124">
        <v>4994</v>
      </c>
      <c r="G5000" s="33">
        <f t="shared" ref="G5000:G5006" ca="1" si="91">_xlfn.NORM.INV(RAND(),$M$9,$M$10)</f>
        <v>-2.428793585635778E-2</v>
      </c>
    </row>
    <row r="5001" spans="6:7" x14ac:dyDescent="0.3">
      <c r="F5001" s="124">
        <v>4995</v>
      </c>
      <c r="G5001" s="33">
        <f t="shared" ca="1" si="91"/>
        <v>1.3719226702099987E-2</v>
      </c>
    </row>
    <row r="5002" spans="6:7" x14ac:dyDescent="0.3">
      <c r="F5002" s="124">
        <v>4996</v>
      </c>
      <c r="G5002" s="33">
        <f t="shared" ca="1" si="91"/>
        <v>-4.5987218819923993E-2</v>
      </c>
    </row>
    <row r="5003" spans="6:7" x14ac:dyDescent="0.3">
      <c r="F5003" s="124">
        <v>4997</v>
      </c>
      <c r="G5003" s="33">
        <f t="shared" ca="1" si="91"/>
        <v>5.7045907582798955E-2</v>
      </c>
    </row>
    <row r="5004" spans="6:7" x14ac:dyDescent="0.3">
      <c r="F5004" s="124">
        <v>4998</v>
      </c>
      <c r="G5004" s="33">
        <f t="shared" ca="1" si="91"/>
        <v>3.5382280432460118E-2</v>
      </c>
    </row>
    <row r="5005" spans="6:7" x14ac:dyDescent="0.3">
      <c r="F5005" s="124">
        <v>4999</v>
      </c>
      <c r="G5005" s="33">
        <f t="shared" ca="1" si="91"/>
        <v>1.948056098585373E-4</v>
      </c>
    </row>
    <row r="5006" spans="6:7" x14ac:dyDescent="0.3">
      <c r="F5006" s="124">
        <v>5000</v>
      </c>
      <c r="G5006" s="33">
        <f t="shared" ca="1" si="91"/>
        <v>-2.6594227012393019E-2</v>
      </c>
    </row>
  </sheetData>
  <sortState xmlns:xlrd2="http://schemas.microsoft.com/office/spreadsheetml/2017/richdata2" ref="E7:E253">
    <sortCondition descending="1" ref="E7:E253"/>
  </sortState>
  <mergeCells count="39">
    <mergeCell ref="I6:M6"/>
    <mergeCell ref="O1048:T1048"/>
    <mergeCell ref="O1083:T1083"/>
    <mergeCell ref="O1104:T1104"/>
    <mergeCell ref="O1135:T1135"/>
    <mergeCell ref="O770:T770"/>
    <mergeCell ref="O811:T811"/>
    <mergeCell ref="O829:T829"/>
    <mergeCell ref="O851:T851"/>
    <mergeCell ref="O885:T885"/>
    <mergeCell ref="O919:T919"/>
    <mergeCell ref="O647:T647"/>
    <mergeCell ref="O666:T666"/>
    <mergeCell ref="O701:T701"/>
    <mergeCell ref="O720:T720"/>
    <mergeCell ref="O755:T755"/>
    <mergeCell ref="O1154:T1154"/>
    <mergeCell ref="O953:T953"/>
    <mergeCell ref="O961:T961"/>
    <mergeCell ref="O974:T974"/>
    <mergeCell ref="O994:T994"/>
    <mergeCell ref="O1017:T1017"/>
    <mergeCell ref="O1030:T1030"/>
    <mergeCell ref="O764:T764"/>
    <mergeCell ref="O484:T484"/>
    <mergeCell ref="O503:T503"/>
    <mergeCell ref="O545:T545"/>
    <mergeCell ref="O558:T558"/>
    <mergeCell ref="O592:T592"/>
    <mergeCell ref="O613:T613"/>
    <mergeCell ref="O449:T449"/>
    <mergeCell ref="O265:T265"/>
    <mergeCell ref="O280:T280"/>
    <mergeCell ref="O320:T320"/>
    <mergeCell ref="O339:T339"/>
    <mergeCell ref="O341:T341"/>
    <mergeCell ref="O375:T375"/>
    <mergeCell ref="O394:T394"/>
    <mergeCell ref="O430:T430"/>
  </mergeCells>
  <printOptions horizontalCentered="1" verticalCentered="1"/>
  <pageMargins left="0.23622047244094491" right="0.23622047244094491" top="0.39370078740157483" bottom="0.39370078740157483" header="0.31496062992125984" footer="0.31496062992125984"/>
  <pageSetup scale="53"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9A801-6379-4C55-B642-087E44337664}">
  <dimension ref="B2:M112"/>
  <sheetViews>
    <sheetView showGridLines="0" zoomScale="120" zoomScaleNormal="58" workbookViewId="0">
      <selection activeCell="M43" sqref="M43"/>
    </sheetView>
  </sheetViews>
  <sheetFormatPr defaultRowHeight="14.4" x14ac:dyDescent="0.3"/>
  <cols>
    <col min="1" max="1" width="1.88671875" customWidth="1"/>
    <col min="2" max="2" width="36" customWidth="1"/>
  </cols>
  <sheetData>
    <row r="2" spans="2:10" x14ac:dyDescent="0.3">
      <c r="B2" s="225"/>
      <c r="C2" s="225"/>
      <c r="D2" s="225"/>
      <c r="E2" s="225"/>
      <c r="F2" s="225"/>
      <c r="G2" s="225"/>
      <c r="H2" s="225"/>
      <c r="I2" s="225"/>
      <c r="J2" s="225"/>
    </row>
    <row r="3" spans="2:10" ht="32.4" x14ac:dyDescent="0.6">
      <c r="B3" s="226" t="str">
        <f>'Data Sheet'!B1</f>
        <v>DABUR INDIA LTD</v>
      </c>
    </row>
    <row r="4" spans="2:10" x14ac:dyDescent="0.3">
      <c r="B4" s="221" t="s">
        <v>1605</v>
      </c>
    </row>
    <row r="5" spans="2:10" ht="18" x14ac:dyDescent="0.35">
      <c r="B5" s="227" t="str">
        <f>"   INR "&amp;'Data Sheet'!B8</f>
        <v xml:space="preserve">   INR 625.7</v>
      </c>
    </row>
    <row r="6" spans="2:10" x14ac:dyDescent="0.3">
      <c r="B6" s="221" t="s">
        <v>1604</v>
      </c>
    </row>
    <row r="7" spans="2:10" ht="3.6" customHeight="1" thickBot="1" x14ac:dyDescent="0.35">
      <c r="B7" s="180"/>
      <c r="C7" s="180"/>
      <c r="D7" s="180"/>
      <c r="E7" s="180"/>
      <c r="F7" s="180"/>
      <c r="G7" s="180"/>
      <c r="H7" s="180"/>
      <c r="I7" s="180"/>
      <c r="J7" s="180"/>
    </row>
    <row r="8" spans="2:10" ht="1.8" customHeight="1" x14ac:dyDescent="0.3"/>
    <row r="9" spans="2:10" ht="15.6" x14ac:dyDescent="0.3">
      <c r="B9" s="228" t="s">
        <v>1606</v>
      </c>
    </row>
    <row r="10" spans="2:10" ht="14.4" customHeight="1" x14ac:dyDescent="0.3">
      <c r="B10" s="319" t="s">
        <v>1607</v>
      </c>
      <c r="C10" s="319"/>
      <c r="D10" s="319"/>
      <c r="E10" s="319"/>
      <c r="F10" s="319"/>
      <c r="G10" s="319"/>
      <c r="H10" s="319"/>
      <c r="I10" s="319"/>
      <c r="J10" s="319"/>
    </row>
    <row r="11" spans="2:10" x14ac:dyDescent="0.3">
      <c r="B11" s="319"/>
      <c r="C11" s="319"/>
      <c r="D11" s="319"/>
      <c r="E11" s="319"/>
      <c r="F11" s="319"/>
      <c r="G11" s="319"/>
      <c r="H11" s="319"/>
      <c r="I11" s="319"/>
      <c r="J11" s="319"/>
    </row>
    <row r="12" spans="2:10" x14ac:dyDescent="0.3">
      <c r="B12" s="319"/>
      <c r="C12" s="319"/>
      <c r="D12" s="319"/>
      <c r="E12" s="319"/>
      <c r="F12" s="319"/>
      <c r="G12" s="319"/>
      <c r="H12" s="319"/>
      <c r="I12" s="319"/>
      <c r="J12" s="319"/>
    </row>
    <row r="13" spans="2:10" x14ac:dyDescent="0.3">
      <c r="B13" s="319"/>
      <c r="C13" s="319"/>
      <c r="D13" s="319"/>
      <c r="E13" s="319"/>
      <c r="F13" s="319"/>
      <c r="G13" s="319"/>
      <c r="H13" s="319"/>
      <c r="I13" s="319"/>
      <c r="J13" s="319"/>
    </row>
    <row r="14" spans="2:10" ht="15.6" x14ac:dyDescent="0.3">
      <c r="B14" s="228" t="s">
        <v>1608</v>
      </c>
    </row>
    <row r="15" spans="2:10" x14ac:dyDescent="0.3">
      <c r="B15" s="2"/>
    </row>
    <row r="53" spans="2:13" x14ac:dyDescent="0.3">
      <c r="B53" s="225"/>
      <c r="C53" s="225"/>
      <c r="D53" s="225"/>
      <c r="E53" s="225"/>
      <c r="F53" s="225"/>
      <c r="G53" s="225"/>
      <c r="H53" s="225"/>
      <c r="I53" s="225"/>
      <c r="J53" s="225"/>
    </row>
    <row r="55" spans="2:13" x14ac:dyDescent="0.3">
      <c r="B55" s="225"/>
      <c r="C55" s="256"/>
      <c r="D55" s="225"/>
      <c r="E55" s="225"/>
      <c r="F55" s="225"/>
      <c r="G55" s="225"/>
      <c r="H55" s="225"/>
      <c r="I55" s="225"/>
      <c r="J55" s="225"/>
    </row>
    <row r="57" spans="2:13" x14ac:dyDescent="0.3">
      <c r="M57" s="255"/>
    </row>
    <row r="58" spans="2:13" x14ac:dyDescent="0.3">
      <c r="B58" s="312" t="s">
        <v>1609</v>
      </c>
      <c r="C58" s="312"/>
      <c r="D58" s="312"/>
      <c r="E58" s="312"/>
      <c r="F58" s="312"/>
      <c r="G58" s="312"/>
      <c r="H58" s="312"/>
      <c r="I58" s="312"/>
      <c r="J58" s="312"/>
    </row>
    <row r="59" spans="2:13" x14ac:dyDescent="0.3">
      <c r="D59" s="81">
        <f>'Historical FS'!F7</f>
        <v>43190</v>
      </c>
      <c r="E59" s="81">
        <f>'Historical FS'!G7</f>
        <v>43555</v>
      </c>
      <c r="F59" s="81">
        <f>'Historical FS'!H7</f>
        <v>43921</v>
      </c>
      <c r="G59" s="81">
        <f>'Historical FS'!I7</f>
        <v>44286</v>
      </c>
      <c r="H59" s="81">
        <f>'Historical FS'!J7</f>
        <v>44651</v>
      </c>
      <c r="I59" s="81">
        <f>'Historical FS'!K7</f>
        <v>45016</v>
      </c>
      <c r="J59" s="81">
        <f>'Historical FS'!L7</f>
        <v>45382</v>
      </c>
    </row>
    <row r="60" spans="2:13" x14ac:dyDescent="0.3">
      <c r="B60" t="s">
        <v>112</v>
      </c>
      <c r="D60">
        <f>'Historical FS'!F37</f>
        <v>1066.8600000000006</v>
      </c>
      <c r="E60">
        <f>'Historical FS'!G37</f>
        <v>1224.4599999999991</v>
      </c>
      <c r="F60">
        <f>'Historical FS'!H37</f>
        <v>1242.6299999999994</v>
      </c>
      <c r="G60">
        <f>'Historical FS'!I37</f>
        <v>1369.6599999999983</v>
      </c>
      <c r="H60">
        <f>'Historical FS'!J37</f>
        <v>1434.1400000000008</v>
      </c>
      <c r="I60">
        <f>'Historical FS'!K37</f>
        <v>1255.9399999999991</v>
      </c>
      <c r="J60">
        <f>'Historical FS'!L37</f>
        <v>1328.9000000000015</v>
      </c>
    </row>
    <row r="61" spans="2:13" x14ac:dyDescent="0.3">
      <c r="B61" t="s">
        <v>1610</v>
      </c>
      <c r="D61">
        <f>(('Historical FS'!F51+'Historical FS'!F52)+('Historical FS'!E51+'Historical FS'!E52))/2</f>
        <v>5276.9549999999999</v>
      </c>
      <c r="E61">
        <f>(('Historical FS'!G51+'Historical FS'!G52)+('Historical FS'!F51+'Historical FS'!F52))/2</f>
        <v>5669.1</v>
      </c>
      <c r="F61">
        <f>(('Historical FS'!H51+'Historical FS'!H52)+('Historical FS'!G51+'Historical FS'!G52))/2</f>
        <v>6118.7150000000001</v>
      </c>
      <c r="G61">
        <f>(('Historical FS'!I51+'Historical FS'!I52)+('Historical FS'!H51+'Historical FS'!H52))/2</f>
        <v>7134.6399999999994</v>
      </c>
      <c r="H61">
        <f>(('Historical FS'!J51+'Historical FS'!J52)+('Historical FS'!I51+'Historical FS'!I52))/2</f>
        <v>8022.4150000000009</v>
      </c>
      <c r="I61">
        <f>(('Historical FS'!K51+'Historical FS'!K52)+('Historical FS'!J51+'Historical FS'!J52))/2</f>
        <v>8677.2800000000007</v>
      </c>
      <c r="J61">
        <f>(('Historical FS'!L51+'Historical FS'!L52)+('Historical FS'!K51+'Historical FS'!K52))/2</f>
        <v>9419.7800000000007</v>
      </c>
    </row>
    <row r="62" spans="2:13" x14ac:dyDescent="0.3">
      <c r="B62" s="222" t="s">
        <v>59</v>
      </c>
      <c r="C62" s="222"/>
      <c r="D62" s="223">
        <f>D60/D61</f>
        <v>0.20217341250778159</v>
      </c>
      <c r="E62" s="223">
        <f t="shared" ref="E62:J62" si="0">E60/E61</f>
        <v>0.21598842849835054</v>
      </c>
      <c r="F62" s="223">
        <f t="shared" si="0"/>
        <v>0.20308675922967476</v>
      </c>
      <c r="G62" s="223">
        <f t="shared" si="0"/>
        <v>0.19197324602222374</v>
      </c>
      <c r="H62" s="223">
        <f t="shared" si="0"/>
        <v>0.17876661828140286</v>
      </c>
      <c r="I62" s="223">
        <f t="shared" si="0"/>
        <v>0.14473890435712564</v>
      </c>
      <c r="J62" s="223">
        <f t="shared" si="0"/>
        <v>0.14107548159298852</v>
      </c>
    </row>
    <row r="64" spans="2:13" x14ac:dyDescent="0.3">
      <c r="B64" s="312" t="s">
        <v>1611</v>
      </c>
      <c r="C64" s="312"/>
      <c r="D64" s="312"/>
      <c r="E64" s="312"/>
      <c r="F64" s="312"/>
      <c r="G64" s="312"/>
      <c r="H64" s="312"/>
      <c r="I64" s="312"/>
      <c r="J64" s="312"/>
    </row>
    <row r="65" spans="2:10" x14ac:dyDescent="0.3">
      <c r="D65" s="81">
        <f t="shared" ref="D65:J66" si="1">D59</f>
        <v>43190</v>
      </c>
      <c r="E65" s="81">
        <f t="shared" si="1"/>
        <v>43555</v>
      </c>
      <c r="F65" s="81">
        <f t="shared" si="1"/>
        <v>43921</v>
      </c>
      <c r="G65" s="81">
        <f t="shared" si="1"/>
        <v>44286</v>
      </c>
      <c r="H65" s="81">
        <f t="shared" si="1"/>
        <v>44651</v>
      </c>
      <c r="I65" s="81">
        <f t="shared" si="1"/>
        <v>45016</v>
      </c>
      <c r="J65" s="81">
        <f t="shared" si="1"/>
        <v>45382</v>
      </c>
    </row>
    <row r="66" spans="2:10" x14ac:dyDescent="0.3">
      <c r="B66" t="s">
        <v>112</v>
      </c>
      <c r="D66">
        <f t="shared" si="1"/>
        <v>1066.8600000000006</v>
      </c>
      <c r="E66">
        <f t="shared" si="1"/>
        <v>1224.4599999999991</v>
      </c>
      <c r="F66">
        <f t="shared" si="1"/>
        <v>1242.6299999999994</v>
      </c>
      <c r="G66">
        <f t="shared" si="1"/>
        <v>1369.6599999999983</v>
      </c>
      <c r="H66">
        <f t="shared" si="1"/>
        <v>1434.1400000000008</v>
      </c>
      <c r="I66">
        <f t="shared" si="1"/>
        <v>1255.9399999999991</v>
      </c>
      <c r="J66">
        <f t="shared" si="1"/>
        <v>1328.9000000000015</v>
      </c>
    </row>
    <row r="67" spans="2:10" x14ac:dyDescent="0.3">
      <c r="B67" t="s">
        <v>271</v>
      </c>
      <c r="D67">
        <f>'Data Sheet'!E17</f>
        <v>7721.85</v>
      </c>
      <c r="E67">
        <f>'Data Sheet'!F17</f>
        <v>8514.99</v>
      </c>
      <c r="F67">
        <f>'Data Sheet'!G17</f>
        <v>8684.64</v>
      </c>
      <c r="G67">
        <f>'Data Sheet'!H17</f>
        <v>9561.65</v>
      </c>
      <c r="H67">
        <f>'Data Sheet'!I17</f>
        <v>10888.68</v>
      </c>
      <c r="I67">
        <f>'Data Sheet'!J17</f>
        <v>11529.89</v>
      </c>
      <c r="J67">
        <f>'Data Sheet'!K17</f>
        <v>12404.01</v>
      </c>
    </row>
    <row r="68" spans="2:10" x14ac:dyDescent="0.3">
      <c r="B68" s="222" t="s">
        <v>1612</v>
      </c>
      <c r="C68" s="222"/>
      <c r="D68" s="223">
        <f>D66/D67</f>
        <v>0.1381611919423455</v>
      </c>
      <c r="E68" s="223">
        <f t="shared" ref="E68" si="2">E66/E67</f>
        <v>0.14380052119849807</v>
      </c>
      <c r="F68" s="223">
        <f t="shared" ref="F68" si="3">F66/F67</f>
        <v>0.14308365113579832</v>
      </c>
      <c r="G68" s="223">
        <f t="shared" ref="G68" si="4">G66/G67</f>
        <v>0.14324515120298256</v>
      </c>
      <c r="H68" s="223">
        <f t="shared" ref="H68" si="5">H66/H67</f>
        <v>0.13170926136134048</v>
      </c>
      <c r="I68" s="223">
        <f t="shared" ref="I68" si="6">I66/I67</f>
        <v>0.10892905309590978</v>
      </c>
      <c r="J68" s="223">
        <f t="shared" ref="J68" si="7">J66/J67</f>
        <v>0.10713470885624903</v>
      </c>
    </row>
    <row r="70" spans="2:10" x14ac:dyDescent="0.3">
      <c r="B70" t="s">
        <v>271</v>
      </c>
      <c r="D70">
        <f t="shared" ref="D70:I70" si="8">D67</f>
        <v>7721.85</v>
      </c>
      <c r="E70">
        <f t="shared" si="8"/>
        <v>8514.99</v>
      </c>
      <c r="F70">
        <f t="shared" si="8"/>
        <v>8684.64</v>
      </c>
      <c r="G70">
        <f t="shared" si="8"/>
        <v>9561.65</v>
      </c>
      <c r="H70">
        <f t="shared" si="8"/>
        <v>10888.68</v>
      </c>
      <c r="I70">
        <f t="shared" si="8"/>
        <v>11529.89</v>
      </c>
      <c r="J70">
        <f>J67</f>
        <v>12404.01</v>
      </c>
    </row>
    <row r="71" spans="2:10" x14ac:dyDescent="0.3">
      <c r="B71" t="s">
        <v>1614</v>
      </c>
      <c r="D71">
        <f>('Historical FS'!F68+'Historical FS'!E68)/2</f>
        <v>8216.9349999999995</v>
      </c>
      <c r="E71">
        <f>('Historical FS'!G68+'Historical FS'!F68)/2</f>
        <v>8569.1349999999984</v>
      </c>
      <c r="F71">
        <f>('Historical FS'!H68+'Historical FS'!G68)/2</f>
        <v>8886.61</v>
      </c>
      <c r="G71">
        <f>('Historical FS'!I68+'Historical FS'!H68)/2</f>
        <v>10084.900000000001</v>
      </c>
      <c r="H71">
        <f>('Historical FS'!J68+'Historical FS'!I68)/2</f>
        <v>11558.54</v>
      </c>
      <c r="I71">
        <f>('Historical FS'!K68+'Historical FS'!J68)/2</f>
        <v>12968.07</v>
      </c>
      <c r="J71">
        <f>('Historical FS'!L68+'Historical FS'!K68)/2</f>
        <v>14384.32</v>
      </c>
    </row>
    <row r="72" spans="2:10" x14ac:dyDescent="0.3">
      <c r="B72" s="222" t="s">
        <v>1613</v>
      </c>
      <c r="C72" s="222"/>
      <c r="D72" s="224">
        <f>D70/D71</f>
        <v>0.93974821511914119</v>
      </c>
      <c r="E72" s="224">
        <f t="shared" ref="E72" si="9">E70/E71</f>
        <v>0.99368139257929788</v>
      </c>
      <c r="F72" s="224">
        <f t="shared" ref="F72" si="10">F70/F71</f>
        <v>0.97727254824955734</v>
      </c>
      <c r="G72" s="224">
        <f t="shared" ref="G72" si="11">G70/G71</f>
        <v>0.94811549941000883</v>
      </c>
      <c r="H72" s="224">
        <f t="shared" ref="H72" si="12">H70/H71</f>
        <v>0.94204631380779924</v>
      </c>
      <c r="I72" s="224">
        <f t="shared" ref="I72" si="13">I70/I71</f>
        <v>0.8890983777848207</v>
      </c>
      <c r="J72" s="224">
        <f t="shared" ref="J72" si="14">J70/J71</f>
        <v>0.86232856332450891</v>
      </c>
    </row>
    <row r="74" spans="2:10" x14ac:dyDescent="0.3">
      <c r="B74" t="str">
        <f>B71</f>
        <v>Average Total Assets</v>
      </c>
      <c r="D74">
        <f>D71</f>
        <v>8216.9349999999995</v>
      </c>
      <c r="E74">
        <f t="shared" ref="E74:J74" si="15">E71</f>
        <v>8569.1349999999984</v>
      </c>
      <c r="F74">
        <f t="shared" si="15"/>
        <v>8886.61</v>
      </c>
      <c r="G74">
        <f t="shared" si="15"/>
        <v>10084.900000000001</v>
      </c>
      <c r="H74">
        <f t="shared" si="15"/>
        <v>11558.54</v>
      </c>
      <c r="I74">
        <f t="shared" si="15"/>
        <v>12968.07</v>
      </c>
      <c r="J74">
        <f t="shared" si="15"/>
        <v>14384.32</v>
      </c>
    </row>
    <row r="75" spans="2:10" x14ac:dyDescent="0.3">
      <c r="B75" t="str">
        <f>B61</f>
        <v>Average Shareholder's Equity</v>
      </c>
      <c r="D75">
        <f t="shared" ref="D75:J75" si="16">D61</f>
        <v>5276.9549999999999</v>
      </c>
      <c r="E75">
        <f t="shared" si="16"/>
        <v>5669.1</v>
      </c>
      <c r="F75">
        <f t="shared" si="16"/>
        <v>6118.7150000000001</v>
      </c>
      <c r="G75">
        <f t="shared" si="16"/>
        <v>7134.6399999999994</v>
      </c>
      <c r="H75">
        <f t="shared" si="16"/>
        <v>8022.4150000000009</v>
      </c>
      <c r="I75">
        <f t="shared" si="16"/>
        <v>8677.2800000000007</v>
      </c>
      <c r="J75">
        <f t="shared" si="16"/>
        <v>9419.7800000000007</v>
      </c>
    </row>
    <row r="76" spans="2:10" x14ac:dyDescent="0.3">
      <c r="B76" s="222" t="s">
        <v>1615</v>
      </c>
      <c r="C76" s="222"/>
      <c r="D76" s="224">
        <f>D74/D75</f>
        <v>1.5571356966280743</v>
      </c>
      <c r="E76" s="224">
        <f t="shared" ref="E76" si="17">E74/E75</f>
        <v>1.5115512162424367</v>
      </c>
      <c r="F76" s="224">
        <f t="shared" ref="F76" si="18">F74/F75</f>
        <v>1.4523654067888438</v>
      </c>
      <c r="G76" s="224">
        <f t="shared" ref="G76" si="19">G74/G75</f>
        <v>1.4135121043248156</v>
      </c>
      <c r="H76" s="224">
        <f t="shared" ref="H76" si="20">H74/H75</f>
        <v>1.4407806128204537</v>
      </c>
      <c r="I76" s="224">
        <f t="shared" ref="I76" si="21">I74/I75</f>
        <v>1.4944855991739345</v>
      </c>
      <c r="J76" s="224">
        <f t="shared" ref="J76" si="22">J74/J75</f>
        <v>1.527033540061445</v>
      </c>
    </row>
    <row r="78" spans="2:10" x14ac:dyDescent="0.3">
      <c r="B78" s="222" t="s">
        <v>1616</v>
      </c>
      <c r="C78" s="222"/>
      <c r="D78" s="223">
        <f>D76*D72*D68</f>
        <v>0.20217341250778156</v>
      </c>
      <c r="E78" s="223">
        <f t="shared" ref="E78:J78" si="23">E76*E72*E68</f>
        <v>0.21598842849835054</v>
      </c>
      <c r="F78" s="223">
        <f t="shared" si="23"/>
        <v>0.20308675922967478</v>
      </c>
      <c r="G78" s="223">
        <f t="shared" si="23"/>
        <v>0.19197324602222374</v>
      </c>
      <c r="H78" s="223">
        <f t="shared" si="23"/>
        <v>0.17876661828140292</v>
      </c>
      <c r="I78" s="223">
        <f t="shared" si="23"/>
        <v>0.14473890435712564</v>
      </c>
      <c r="J78" s="223">
        <f t="shared" si="23"/>
        <v>0.14107548159298849</v>
      </c>
    </row>
    <row r="80" spans="2:10" x14ac:dyDescent="0.3">
      <c r="B80" s="312" t="s">
        <v>1618</v>
      </c>
      <c r="C80" s="312"/>
      <c r="D80" s="312"/>
      <c r="E80" s="312"/>
      <c r="F80" s="312"/>
      <c r="G80" s="312"/>
      <c r="H80" s="312"/>
      <c r="I80" s="312"/>
      <c r="J80" s="312"/>
    </row>
    <row r="81" spans="2:10" x14ac:dyDescent="0.3">
      <c r="D81" s="81">
        <f t="shared" ref="D81:J82" si="24">D65</f>
        <v>43190</v>
      </c>
      <c r="E81" s="81">
        <f t="shared" si="24"/>
        <v>43555</v>
      </c>
      <c r="F81" s="81">
        <f t="shared" si="24"/>
        <v>43921</v>
      </c>
      <c r="G81" s="81">
        <f t="shared" si="24"/>
        <v>44286</v>
      </c>
      <c r="H81" s="81">
        <f t="shared" si="24"/>
        <v>44651</v>
      </c>
      <c r="I81" s="81">
        <f t="shared" si="24"/>
        <v>45016</v>
      </c>
      <c r="J81" s="81">
        <f t="shared" si="24"/>
        <v>45382</v>
      </c>
    </row>
    <row r="82" spans="2:10" x14ac:dyDescent="0.3">
      <c r="B82" t="s">
        <v>112</v>
      </c>
      <c r="D82">
        <f t="shared" si="24"/>
        <v>1066.8600000000006</v>
      </c>
      <c r="E82">
        <f t="shared" si="24"/>
        <v>1224.4599999999991</v>
      </c>
      <c r="F82">
        <f t="shared" si="24"/>
        <v>1242.6299999999994</v>
      </c>
      <c r="G82">
        <f t="shared" si="24"/>
        <v>1369.6599999999983</v>
      </c>
      <c r="H82">
        <f t="shared" si="24"/>
        <v>1434.1400000000008</v>
      </c>
      <c r="I82">
        <f t="shared" si="24"/>
        <v>1255.9399999999991</v>
      </c>
      <c r="J82">
        <f t="shared" si="24"/>
        <v>1328.9000000000015</v>
      </c>
    </row>
    <row r="83" spans="2:10" x14ac:dyDescent="0.3">
      <c r="B83" t="str">
        <f>B74</f>
        <v>Average Total Assets</v>
      </c>
      <c r="D83">
        <f t="shared" ref="D83:J83" si="25">D71</f>
        <v>8216.9349999999995</v>
      </c>
      <c r="E83">
        <f t="shared" si="25"/>
        <v>8569.1349999999984</v>
      </c>
      <c r="F83">
        <f t="shared" si="25"/>
        <v>8886.61</v>
      </c>
      <c r="G83">
        <f t="shared" si="25"/>
        <v>10084.900000000001</v>
      </c>
      <c r="H83">
        <f t="shared" si="25"/>
        <v>11558.54</v>
      </c>
      <c r="I83">
        <f t="shared" si="25"/>
        <v>12968.07</v>
      </c>
      <c r="J83">
        <f t="shared" si="25"/>
        <v>14384.32</v>
      </c>
    </row>
    <row r="84" spans="2:10" x14ac:dyDescent="0.3">
      <c r="B84" s="222" t="s">
        <v>1617</v>
      </c>
      <c r="C84" s="222"/>
      <c r="D84" s="223">
        <f>D82/D83</f>
        <v>0.12983673352655226</v>
      </c>
      <c r="E84" s="223">
        <f t="shared" ref="E84" si="26">E82/E83</f>
        <v>0.14289190215815242</v>
      </c>
      <c r="F84" s="223">
        <f t="shared" ref="F84" si="27">F82/F83</f>
        <v>0.1398317243583323</v>
      </c>
      <c r="G84" s="223">
        <f t="shared" ref="G84" si="28">G82/G83</f>
        <v>0.13581294807087804</v>
      </c>
      <c r="H84" s="223">
        <f t="shared" ref="H84" si="29">H82/H83</f>
        <v>0.12407622415979878</v>
      </c>
      <c r="I84" s="223">
        <f t="shared" ref="I84" si="30">I82/I83</f>
        <v>9.684864440120998E-2</v>
      </c>
      <c r="J84" s="223">
        <f t="shared" ref="J84" si="31">J82/J83</f>
        <v>9.2385319570198771E-2</v>
      </c>
    </row>
    <row r="86" spans="2:10" x14ac:dyDescent="0.3">
      <c r="B86" s="312" t="s">
        <v>1619</v>
      </c>
      <c r="C86" s="312"/>
      <c r="D86" s="312"/>
      <c r="E86" s="312"/>
      <c r="F86" s="312"/>
      <c r="G86" s="312"/>
      <c r="H86" s="312"/>
      <c r="I86" s="312"/>
      <c r="J86" s="312"/>
    </row>
    <row r="87" spans="2:10" x14ac:dyDescent="0.3">
      <c r="D87" s="81">
        <f t="shared" ref="D87:J88" si="32">D81</f>
        <v>43190</v>
      </c>
      <c r="E87" s="81">
        <f t="shared" si="32"/>
        <v>43555</v>
      </c>
      <c r="F87" s="81">
        <f t="shared" si="32"/>
        <v>43921</v>
      </c>
      <c r="G87" s="81">
        <f t="shared" si="32"/>
        <v>44286</v>
      </c>
      <c r="H87" s="81">
        <f t="shared" si="32"/>
        <v>44651</v>
      </c>
      <c r="I87" s="81">
        <f t="shared" si="32"/>
        <v>45016</v>
      </c>
      <c r="J87" s="81">
        <f t="shared" si="32"/>
        <v>45382</v>
      </c>
    </row>
    <row r="88" spans="2:10" x14ac:dyDescent="0.3">
      <c r="B88" t="s">
        <v>112</v>
      </c>
      <c r="D88">
        <f t="shared" si="32"/>
        <v>1066.8600000000006</v>
      </c>
      <c r="E88">
        <f t="shared" si="32"/>
        <v>1224.4599999999991</v>
      </c>
      <c r="F88">
        <f t="shared" si="32"/>
        <v>1242.6299999999994</v>
      </c>
      <c r="G88">
        <f t="shared" si="32"/>
        <v>1369.6599999999983</v>
      </c>
      <c r="H88">
        <f t="shared" si="32"/>
        <v>1434.1400000000008</v>
      </c>
      <c r="I88">
        <f t="shared" si="32"/>
        <v>1255.9399999999991</v>
      </c>
      <c r="J88">
        <f t="shared" si="32"/>
        <v>1328.9000000000015</v>
      </c>
    </row>
    <row r="89" spans="2:10" x14ac:dyDescent="0.3">
      <c r="B89" t="str">
        <f>B70</f>
        <v>Revenue</v>
      </c>
      <c r="D89">
        <f t="shared" ref="D89:J89" si="33">D70</f>
        <v>7721.85</v>
      </c>
      <c r="E89">
        <f t="shared" si="33"/>
        <v>8514.99</v>
      </c>
      <c r="F89">
        <f t="shared" si="33"/>
        <v>8684.64</v>
      </c>
      <c r="G89">
        <f t="shared" si="33"/>
        <v>9561.65</v>
      </c>
      <c r="H89">
        <f t="shared" si="33"/>
        <v>10888.68</v>
      </c>
      <c r="I89">
        <f t="shared" si="33"/>
        <v>11529.89</v>
      </c>
      <c r="J89">
        <f t="shared" si="33"/>
        <v>12404.01</v>
      </c>
    </row>
    <row r="90" spans="2:10" x14ac:dyDescent="0.3">
      <c r="B90" s="222" t="s">
        <v>1612</v>
      </c>
      <c r="C90" s="222"/>
      <c r="D90" s="223">
        <f>D88/D89</f>
        <v>0.1381611919423455</v>
      </c>
      <c r="E90" s="223">
        <f t="shared" ref="E90" si="34">E88/E89</f>
        <v>0.14380052119849807</v>
      </c>
      <c r="F90" s="223">
        <f t="shared" ref="F90" si="35">F88/F89</f>
        <v>0.14308365113579832</v>
      </c>
      <c r="G90" s="223">
        <f t="shared" ref="G90" si="36">G88/G89</f>
        <v>0.14324515120298256</v>
      </c>
      <c r="H90" s="223">
        <f t="shared" ref="H90" si="37">H88/H89</f>
        <v>0.13170926136134048</v>
      </c>
      <c r="I90" s="223">
        <f t="shared" ref="I90" si="38">I88/I89</f>
        <v>0.10892905309590978</v>
      </c>
      <c r="J90" s="223">
        <f t="shared" ref="J90" si="39">J88/J89</f>
        <v>0.10713470885624903</v>
      </c>
    </row>
    <row r="92" spans="2:10" x14ac:dyDescent="0.3">
      <c r="B92" t="str">
        <f>B89</f>
        <v>Revenue</v>
      </c>
      <c r="D92">
        <f t="shared" ref="D92:I92" si="40">D89</f>
        <v>7721.85</v>
      </c>
      <c r="E92">
        <f t="shared" si="40"/>
        <v>8514.99</v>
      </c>
      <c r="F92">
        <f t="shared" si="40"/>
        <v>8684.64</v>
      </c>
      <c r="G92">
        <f t="shared" si="40"/>
        <v>9561.65</v>
      </c>
      <c r="H92">
        <f t="shared" si="40"/>
        <v>10888.68</v>
      </c>
      <c r="I92">
        <f t="shared" si="40"/>
        <v>11529.89</v>
      </c>
      <c r="J92">
        <f>J89</f>
        <v>12404.01</v>
      </c>
    </row>
    <row r="93" spans="2:10" x14ac:dyDescent="0.3">
      <c r="B93" t="str">
        <f>B74</f>
        <v>Average Total Assets</v>
      </c>
      <c r="D93">
        <f t="shared" ref="D93:J93" si="41">D74</f>
        <v>8216.9349999999995</v>
      </c>
      <c r="E93">
        <f t="shared" si="41"/>
        <v>8569.1349999999984</v>
      </c>
      <c r="F93">
        <f t="shared" si="41"/>
        <v>8886.61</v>
      </c>
      <c r="G93">
        <f t="shared" si="41"/>
        <v>10084.900000000001</v>
      </c>
      <c r="H93">
        <f t="shared" si="41"/>
        <v>11558.54</v>
      </c>
      <c r="I93">
        <f t="shared" si="41"/>
        <v>12968.07</v>
      </c>
      <c r="J93">
        <f t="shared" si="41"/>
        <v>14384.32</v>
      </c>
    </row>
    <row r="94" spans="2:10" x14ac:dyDescent="0.3">
      <c r="B94" s="222" t="s">
        <v>1613</v>
      </c>
      <c r="C94" s="222"/>
      <c r="D94" s="223">
        <f>D92/D93</f>
        <v>0.93974821511914119</v>
      </c>
      <c r="E94" s="223">
        <f t="shared" ref="E94" si="42">E92/E93</f>
        <v>0.99368139257929788</v>
      </c>
      <c r="F94" s="223">
        <f t="shared" ref="F94" si="43">F92/F93</f>
        <v>0.97727254824955734</v>
      </c>
      <c r="G94" s="223">
        <f t="shared" ref="G94" si="44">G92/G93</f>
        <v>0.94811549941000883</v>
      </c>
      <c r="H94" s="223">
        <f t="shared" ref="H94" si="45">H92/H93</f>
        <v>0.94204631380779924</v>
      </c>
      <c r="I94" s="223">
        <f t="shared" ref="I94" si="46">I92/I93</f>
        <v>0.8890983777848207</v>
      </c>
      <c r="J94" s="223">
        <f t="shared" ref="J94" si="47">J92/J93</f>
        <v>0.86232856332450891</v>
      </c>
    </row>
    <row r="96" spans="2:10" x14ac:dyDescent="0.3">
      <c r="B96" s="222" t="s">
        <v>1620</v>
      </c>
      <c r="C96" s="222"/>
      <c r="D96" s="223">
        <f t="shared" ref="D96:I96" si="48">D90*D94</f>
        <v>0.12983673352655226</v>
      </c>
      <c r="E96" s="223">
        <f t="shared" si="48"/>
        <v>0.1428919021581524</v>
      </c>
      <c r="F96" s="223">
        <f t="shared" si="48"/>
        <v>0.1398317243583323</v>
      </c>
      <c r="G96" s="223">
        <f t="shared" si="48"/>
        <v>0.13581294807087804</v>
      </c>
      <c r="H96" s="223">
        <f t="shared" si="48"/>
        <v>0.1240762241597988</v>
      </c>
      <c r="I96" s="223">
        <f t="shared" si="48"/>
        <v>9.684864440120998E-2</v>
      </c>
      <c r="J96" s="223">
        <f>J90*J94</f>
        <v>9.2385319570198757E-2</v>
      </c>
    </row>
    <row r="112" spans="2:10" x14ac:dyDescent="0.3">
      <c r="B112" s="225"/>
      <c r="C112" s="225"/>
      <c r="D112" s="225"/>
      <c r="E112" s="225"/>
      <c r="F112" s="225"/>
      <c r="G112" s="225"/>
      <c r="H112" s="225"/>
      <c r="I112" s="225"/>
      <c r="J112" s="225"/>
    </row>
  </sheetData>
  <mergeCells count="5">
    <mergeCell ref="B10:J13"/>
    <mergeCell ref="B86:J86"/>
    <mergeCell ref="B80:J80"/>
    <mergeCell ref="B64:J64"/>
    <mergeCell ref="B58:J58"/>
  </mergeCells>
  <printOptions horizontalCentered="1" verticalCentered="1"/>
  <pageMargins left="0.15748031496062992" right="0.15748031496062992" top="0.39370078740157483" bottom="0.39370078740157483" header="0.31496062992125984" footer="0.31496062992125984"/>
  <pageSetup scale="92" fitToWidth="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2BAE5-A4C2-43E4-898F-2AB26FF29C1A}">
  <sheetPr>
    <pageSetUpPr fitToPage="1"/>
  </sheetPr>
  <dimension ref="B2:L71"/>
  <sheetViews>
    <sheetView showGridLines="0" topLeftCell="A42" zoomScale="91" workbookViewId="0">
      <selection activeCell="P53" sqref="P53"/>
    </sheetView>
  </sheetViews>
  <sheetFormatPr defaultRowHeight="14.4" x14ac:dyDescent="0.3"/>
  <cols>
    <col min="1" max="1" width="1.88671875" customWidth="1"/>
    <col min="3" max="3" width="24" customWidth="1"/>
    <col min="5" max="11" width="9.77734375" bestFit="1" customWidth="1"/>
  </cols>
  <sheetData>
    <row r="2" spans="2:12" ht="31.2" x14ac:dyDescent="0.3">
      <c r="B2" s="229" t="s">
        <v>63</v>
      </c>
      <c r="C2" s="252"/>
      <c r="D2" s="252"/>
      <c r="E2" s="252"/>
      <c r="F2" s="252"/>
      <c r="G2" s="252"/>
      <c r="H2" s="252"/>
      <c r="I2" s="252"/>
      <c r="J2" s="252"/>
      <c r="K2" s="252"/>
      <c r="L2" s="253"/>
    </row>
    <row r="3" spans="2:12" ht="3.6" customHeight="1" x14ac:dyDescent="0.3">
      <c r="B3" s="252"/>
      <c r="C3" s="252"/>
      <c r="D3" s="252"/>
      <c r="E3" s="252"/>
      <c r="F3" s="252"/>
      <c r="G3" s="252"/>
      <c r="H3" s="252"/>
      <c r="I3" s="252"/>
      <c r="J3" s="252"/>
      <c r="K3" s="252"/>
      <c r="L3" s="253"/>
    </row>
    <row r="4" spans="2:12" ht="15.6" x14ac:dyDescent="0.3">
      <c r="B4" s="230" t="s">
        <v>1593</v>
      </c>
      <c r="C4" s="252"/>
      <c r="D4" s="252"/>
      <c r="E4" s="252"/>
      <c r="F4" s="252"/>
      <c r="G4" s="252"/>
      <c r="H4" s="252"/>
      <c r="I4" s="252"/>
      <c r="J4" s="252"/>
      <c r="K4" s="252"/>
      <c r="L4" s="253"/>
    </row>
    <row r="6" spans="2:12" ht="23.4" x14ac:dyDescent="0.45">
      <c r="B6" s="251" t="s">
        <v>1635</v>
      </c>
    </row>
    <row r="7" spans="2:12" ht="23.4" x14ac:dyDescent="0.45">
      <c r="B7" s="251"/>
    </row>
    <row r="34" spans="2:11" ht="23.4" x14ac:dyDescent="0.45">
      <c r="B34" s="251" t="s">
        <v>1636</v>
      </c>
      <c r="C34" s="250"/>
      <c r="D34" s="250"/>
    </row>
    <row r="36" spans="2:11" x14ac:dyDescent="0.3">
      <c r="B36" s="312" t="s">
        <v>1621</v>
      </c>
      <c r="C36" s="312"/>
      <c r="D36" s="312"/>
      <c r="E36" s="312"/>
      <c r="F36" s="312"/>
      <c r="G36" s="312"/>
      <c r="H36" s="312"/>
      <c r="I36" s="312"/>
      <c r="J36" s="312"/>
      <c r="K36" s="312"/>
    </row>
    <row r="37" spans="2:11" x14ac:dyDescent="0.3">
      <c r="E37" s="81">
        <f>'Dupont Analysis'!D81</f>
        <v>43190</v>
      </c>
      <c r="F37" s="81">
        <f>'Dupont Analysis'!E81</f>
        <v>43555</v>
      </c>
      <c r="G37" s="81">
        <f>'Dupont Analysis'!F81</f>
        <v>43921</v>
      </c>
      <c r="H37" s="81">
        <f>'Dupont Analysis'!G81</f>
        <v>44286</v>
      </c>
      <c r="I37" s="81">
        <f>'Dupont Analysis'!H81</f>
        <v>44651</v>
      </c>
      <c r="J37" s="81">
        <f>'Dupont Analysis'!I81</f>
        <v>45016</v>
      </c>
      <c r="K37" s="81">
        <f>'Dupont Analysis'!J81</f>
        <v>45382</v>
      </c>
    </row>
    <row r="38" spans="2:11" x14ac:dyDescent="0.3">
      <c r="B38" t="s">
        <v>30</v>
      </c>
      <c r="E38">
        <f>'Data Sheet'!E65-'Data Sheet'!E60</f>
        <v>769.32000000000016</v>
      </c>
      <c r="F38">
        <f>'Data Sheet'!F65-'Data Sheet'!F60</f>
        <v>939.4699999999998</v>
      </c>
      <c r="G38">
        <f>'Data Sheet'!G65-'Data Sheet'!G60</f>
        <v>1928.2299999999996</v>
      </c>
      <c r="H38">
        <f>'Data Sheet'!H65-'Data Sheet'!H60</f>
        <v>1622.7399999999998</v>
      </c>
      <c r="I38">
        <f>'Data Sheet'!I65-'Data Sheet'!I60</f>
        <v>716.38000000000011</v>
      </c>
      <c r="J38">
        <f>'Data Sheet'!J65-'Data Sheet'!J60</f>
        <v>128.00999999999976</v>
      </c>
      <c r="K38">
        <f>'Data Sheet'!K65-'Data Sheet'!K60</f>
        <v>251.4699999999998</v>
      </c>
    </row>
    <row r="39" spans="2:11" x14ac:dyDescent="0.3">
      <c r="B39" t="s">
        <v>124</v>
      </c>
      <c r="E39">
        <f>'Data Sheet'!E66</f>
        <v>8701.6299999999992</v>
      </c>
      <c r="F39">
        <f>'Data Sheet'!F66</f>
        <v>8436.64</v>
      </c>
      <c r="G39">
        <f>'Data Sheet'!G66</f>
        <v>9336.58</v>
      </c>
      <c r="H39">
        <f>'Data Sheet'!H66</f>
        <v>10833.22</v>
      </c>
      <c r="I39">
        <f>'Data Sheet'!I66</f>
        <v>12283.86</v>
      </c>
      <c r="J39">
        <f>'Data Sheet'!J66</f>
        <v>13652.28</v>
      </c>
      <c r="K39">
        <f>'Data Sheet'!K66</f>
        <v>15116.36</v>
      </c>
    </row>
    <row r="40" spans="2:11" x14ac:dyDescent="0.3">
      <c r="B40" s="222" t="s">
        <v>1629</v>
      </c>
      <c r="C40" s="222"/>
      <c r="D40" s="222"/>
      <c r="E40" s="223">
        <f>E38/E39</f>
        <v>8.8411021843034038E-2</v>
      </c>
      <c r="F40" s="223">
        <f t="shared" ref="F40:K40" si="0">F38/F39</f>
        <v>0.11135594265015455</v>
      </c>
      <c r="G40" s="223">
        <f t="shared" si="0"/>
        <v>0.20652423049981894</v>
      </c>
      <c r="H40" s="223">
        <f t="shared" si="0"/>
        <v>0.14979295168010986</v>
      </c>
      <c r="I40" s="223">
        <f t="shared" si="0"/>
        <v>5.8318802070358999E-2</v>
      </c>
      <c r="J40" s="223">
        <f t="shared" si="0"/>
        <v>9.3764558007893017E-3</v>
      </c>
      <c r="K40" s="223">
        <f t="shared" si="0"/>
        <v>1.6635618627764873E-2</v>
      </c>
    </row>
    <row r="42" spans="2:11" x14ac:dyDescent="0.3">
      <c r="B42" s="312" t="s">
        <v>1622</v>
      </c>
      <c r="C42" s="312"/>
      <c r="D42" s="312"/>
      <c r="E42" s="312"/>
      <c r="F42" s="312"/>
      <c r="G42" s="312"/>
      <c r="H42" s="312"/>
      <c r="I42" s="312"/>
      <c r="J42" s="312"/>
      <c r="K42" s="312"/>
    </row>
    <row r="43" spans="2:11" x14ac:dyDescent="0.3">
      <c r="E43" s="81">
        <f t="shared" ref="E43:K43" si="1">E37</f>
        <v>43190</v>
      </c>
      <c r="F43" s="81">
        <f t="shared" si="1"/>
        <v>43555</v>
      </c>
      <c r="G43" s="81">
        <f t="shared" si="1"/>
        <v>43921</v>
      </c>
      <c r="H43" s="81">
        <f t="shared" si="1"/>
        <v>44286</v>
      </c>
      <c r="I43" s="81">
        <f t="shared" si="1"/>
        <v>44651</v>
      </c>
      <c r="J43" s="81">
        <f t="shared" si="1"/>
        <v>45016</v>
      </c>
      <c r="K43" s="81">
        <f t="shared" si="1"/>
        <v>45382</v>
      </c>
    </row>
    <row r="44" spans="2:11" x14ac:dyDescent="0.3">
      <c r="B44" t="s">
        <v>142</v>
      </c>
      <c r="E44" s="72">
        <f>'Historical FS'!F48*'Historical FS'!F37</f>
        <v>0</v>
      </c>
      <c r="F44" s="72">
        <f>'Historical FS'!G48*'Historical FS'!G37</f>
        <v>738.72999999999911</v>
      </c>
      <c r="G44" s="72">
        <f>'Historical FS'!H48*'Historical FS'!H37</f>
        <v>712.49999999999932</v>
      </c>
      <c r="H44" s="72">
        <f>'Historical FS'!I48*'Historical FS'!I37</f>
        <v>530.13999999999817</v>
      </c>
      <c r="I44" s="72">
        <f>'Historical FS'!J48*'Historical FS'!J37</f>
        <v>514.83000000000095</v>
      </c>
      <c r="J44" s="72">
        <f>'Historical FS'!K48*'Historical FS'!K37</f>
        <v>334.59999999999917</v>
      </c>
      <c r="K44" s="72">
        <f>'Historical FS'!L48*'Historical FS'!L37</f>
        <v>354.30000000000132</v>
      </c>
    </row>
    <row r="45" spans="2:11" x14ac:dyDescent="0.3">
      <c r="B45" t="s">
        <v>124</v>
      </c>
      <c r="E45">
        <f t="shared" ref="E45:K45" si="2">E39</f>
        <v>8701.6299999999992</v>
      </c>
      <c r="F45">
        <f t="shared" si="2"/>
        <v>8436.64</v>
      </c>
      <c r="G45">
        <f t="shared" si="2"/>
        <v>9336.58</v>
      </c>
      <c r="H45">
        <f t="shared" si="2"/>
        <v>10833.22</v>
      </c>
      <c r="I45">
        <f t="shared" si="2"/>
        <v>12283.86</v>
      </c>
      <c r="J45">
        <f t="shared" si="2"/>
        <v>13652.28</v>
      </c>
      <c r="K45">
        <f t="shared" si="2"/>
        <v>15116.36</v>
      </c>
    </row>
    <row r="46" spans="2:11" x14ac:dyDescent="0.3">
      <c r="B46" s="222" t="s">
        <v>1630</v>
      </c>
      <c r="C46" s="222"/>
      <c r="D46" s="222"/>
      <c r="E46" s="223">
        <f>E44/E45</f>
        <v>0</v>
      </c>
      <c r="F46" s="223">
        <f t="shared" ref="F46:K46" si="3">F44/F45</f>
        <v>8.756211003432636E-2</v>
      </c>
      <c r="G46" s="223">
        <f t="shared" si="3"/>
        <v>7.6312739782661246E-2</v>
      </c>
      <c r="H46" s="223">
        <f t="shared" si="3"/>
        <v>4.8936511951201786E-2</v>
      </c>
      <c r="I46" s="223">
        <f t="shared" si="3"/>
        <v>4.1911093092887819E-2</v>
      </c>
      <c r="J46" s="223">
        <f t="shared" si="3"/>
        <v>2.4508726747473619E-2</v>
      </c>
      <c r="K46" s="223">
        <f t="shared" si="3"/>
        <v>2.3438182207886113E-2</v>
      </c>
    </row>
    <row r="47" spans="2:11" x14ac:dyDescent="0.3">
      <c r="B47" s="2"/>
      <c r="C47" s="2"/>
      <c r="D47" s="2"/>
      <c r="E47" s="247"/>
      <c r="F47" s="247"/>
      <c r="G47" s="247"/>
      <c r="H47" s="247"/>
      <c r="I47" s="247"/>
      <c r="J47" s="247"/>
      <c r="K47" s="247"/>
    </row>
    <row r="48" spans="2:11" x14ac:dyDescent="0.3">
      <c r="B48" s="312" t="s">
        <v>1623</v>
      </c>
      <c r="C48" s="312"/>
      <c r="D48" s="312"/>
      <c r="E48" s="312"/>
      <c r="F48" s="312"/>
      <c r="G48" s="312"/>
      <c r="H48" s="312"/>
      <c r="I48" s="312"/>
      <c r="J48" s="312"/>
      <c r="K48" s="312"/>
    </row>
    <row r="49" spans="2:11" x14ac:dyDescent="0.3">
      <c r="B49" s="105"/>
      <c r="C49" s="105"/>
      <c r="D49" s="105"/>
      <c r="E49" s="81">
        <f t="shared" ref="E49:K49" si="4">E43</f>
        <v>43190</v>
      </c>
      <c r="F49" s="81">
        <f t="shared" si="4"/>
        <v>43555</v>
      </c>
      <c r="G49" s="81">
        <f t="shared" si="4"/>
        <v>43921</v>
      </c>
      <c r="H49" s="81">
        <f t="shared" si="4"/>
        <v>44286</v>
      </c>
      <c r="I49" s="81">
        <f t="shared" si="4"/>
        <v>44651</v>
      </c>
      <c r="J49" s="81">
        <f t="shared" si="4"/>
        <v>45016</v>
      </c>
      <c r="K49" s="81">
        <f t="shared" si="4"/>
        <v>45382</v>
      </c>
    </row>
    <row r="50" spans="2:11" x14ac:dyDescent="0.3">
      <c r="B50" t="s">
        <v>188</v>
      </c>
      <c r="E50">
        <f>'Historical FS'!F31+'Historical FS'!F25</f>
        <v>1455.2600000000007</v>
      </c>
      <c r="F50">
        <f>'Historical FS'!G31+'Historical FS'!G25</f>
        <v>1562.6599999999992</v>
      </c>
      <c r="G50">
        <f>'Historical FS'!H31+'Historical FS'!H25</f>
        <v>1571.8899999999994</v>
      </c>
      <c r="H50">
        <f>'Historical FS'!I31+'Historical FS'!I25</f>
        <v>1761.5399999999981</v>
      </c>
      <c r="I50">
        <f>'Historical FS'!J31+'Historical FS'!J25</f>
        <v>1999.1200000000006</v>
      </c>
      <c r="J50">
        <f>'Historical FS'!K31+'Historical FS'!K25</f>
        <v>1851.5299999999993</v>
      </c>
      <c r="K50">
        <f>'Historical FS'!L31+'Historical FS'!L25</f>
        <v>2000.5100000000014</v>
      </c>
    </row>
    <row r="51" spans="2:11" x14ac:dyDescent="0.3">
      <c r="B51" t="s">
        <v>124</v>
      </c>
      <c r="E51">
        <f t="shared" ref="E51:K51" si="5">E45</f>
        <v>8701.6299999999992</v>
      </c>
      <c r="F51">
        <f t="shared" si="5"/>
        <v>8436.64</v>
      </c>
      <c r="G51">
        <f t="shared" si="5"/>
        <v>9336.58</v>
      </c>
      <c r="H51">
        <f t="shared" si="5"/>
        <v>10833.22</v>
      </c>
      <c r="I51">
        <f t="shared" si="5"/>
        <v>12283.86</v>
      </c>
      <c r="J51">
        <f t="shared" si="5"/>
        <v>13652.28</v>
      </c>
      <c r="K51">
        <f t="shared" si="5"/>
        <v>15116.36</v>
      </c>
    </row>
    <row r="52" spans="2:11" x14ac:dyDescent="0.3">
      <c r="B52" s="222" t="s">
        <v>1631</v>
      </c>
      <c r="C52" s="222"/>
      <c r="D52" s="222"/>
      <c r="E52" s="223">
        <f>E50/E51</f>
        <v>0.16723993090949635</v>
      </c>
      <c r="F52" s="223">
        <f t="shared" ref="F52:K52" si="6">F50/F51</f>
        <v>0.18522302717669584</v>
      </c>
      <c r="G52" s="223">
        <f t="shared" si="6"/>
        <v>0.16835822110451573</v>
      </c>
      <c r="H52" s="223">
        <f t="shared" si="6"/>
        <v>0.16260539341026936</v>
      </c>
      <c r="I52" s="223">
        <f t="shared" si="6"/>
        <v>0.16274363270177294</v>
      </c>
      <c r="J52" s="223">
        <f t="shared" si="6"/>
        <v>0.13562057033696931</v>
      </c>
      <c r="K52" s="223">
        <f t="shared" si="6"/>
        <v>0.13234072223736409</v>
      </c>
    </row>
    <row r="54" spans="2:11" x14ac:dyDescent="0.3">
      <c r="B54" s="312" t="s">
        <v>1624</v>
      </c>
      <c r="C54" s="312"/>
      <c r="D54" s="312"/>
      <c r="E54" s="312"/>
      <c r="F54" s="312"/>
      <c r="G54" s="312"/>
      <c r="H54" s="312"/>
      <c r="I54" s="312"/>
      <c r="J54" s="312"/>
      <c r="K54" s="312"/>
    </row>
    <row r="55" spans="2:11" x14ac:dyDescent="0.3">
      <c r="E55" s="81">
        <f t="shared" ref="E55:K55" si="7">E43</f>
        <v>43190</v>
      </c>
      <c r="F55" s="81">
        <f t="shared" si="7"/>
        <v>43555</v>
      </c>
      <c r="G55" s="81">
        <f t="shared" si="7"/>
        <v>43921</v>
      </c>
      <c r="H55" s="81">
        <f t="shared" si="7"/>
        <v>44286</v>
      </c>
      <c r="I55" s="81">
        <f t="shared" si="7"/>
        <v>44651</v>
      </c>
      <c r="J55" s="81">
        <f t="shared" si="7"/>
        <v>45016</v>
      </c>
      <c r="K55" s="81">
        <f t="shared" si="7"/>
        <v>45382</v>
      </c>
    </row>
    <row r="56" spans="2:11" x14ac:dyDescent="0.3">
      <c r="B56" t="s">
        <v>1625</v>
      </c>
      <c r="E56">
        <f>'Data Sheet'!E93*'Data Sheet'!E90</f>
        <v>57847.659999999996</v>
      </c>
      <c r="F56">
        <f>'Data Sheet'!F93*'Data Sheet'!F90</f>
        <v>72206.343999999997</v>
      </c>
      <c r="G56">
        <f>'Data Sheet'!G93*'Data Sheet'!G90</f>
        <v>79528.335500000001</v>
      </c>
      <c r="H56">
        <f>'Data Sheet'!H93*'Data Sheet'!H90</f>
        <v>95527.97</v>
      </c>
      <c r="I56">
        <f>'Data Sheet'!I93*'Data Sheet'!I90</f>
        <v>94794.79800000001</v>
      </c>
      <c r="J56">
        <f>'Data Sheet'!J93*'Data Sheet'!J90</f>
        <v>96545.381999999998</v>
      </c>
      <c r="K56">
        <f>'Data Sheet'!K93*'Data Sheet'!K90</f>
        <v>92702.18</v>
      </c>
    </row>
    <row r="57" spans="2:11" x14ac:dyDescent="0.3">
      <c r="B57" t="s">
        <v>1626</v>
      </c>
      <c r="E57" s="61">
        <f>'Data Sheet'!E60</f>
        <v>2057.52</v>
      </c>
      <c r="F57" s="61">
        <f>'Data Sheet'!F60</f>
        <v>2105.59</v>
      </c>
      <c r="G57" s="61">
        <f>'Data Sheet'!G60</f>
        <v>2208.84</v>
      </c>
      <c r="H57" s="61">
        <f>'Data Sheet'!H60</f>
        <v>2660.63</v>
      </c>
      <c r="I57" s="61">
        <f>'Data Sheet'!I60</f>
        <v>2872.46</v>
      </c>
      <c r="J57" s="61">
        <f>'Data Sheet'!J60</f>
        <v>3505.23</v>
      </c>
      <c r="K57" s="61">
        <f>'Data Sheet'!K60</f>
        <v>3884.97</v>
      </c>
    </row>
    <row r="58" spans="2:11" x14ac:dyDescent="0.3">
      <c r="B58" s="222" t="s">
        <v>1632</v>
      </c>
      <c r="C58" s="222"/>
      <c r="D58" s="222"/>
      <c r="E58" s="223">
        <f>E56/E57</f>
        <v>28.115235817877831</v>
      </c>
      <c r="F58" s="223">
        <f t="shared" ref="F58:K58" si="8">F56/F57</f>
        <v>34.292689459961338</v>
      </c>
      <c r="G58" s="223">
        <f t="shared" si="8"/>
        <v>36.004570498542222</v>
      </c>
      <c r="H58" s="223">
        <f t="shared" si="8"/>
        <v>35.904267034499348</v>
      </c>
      <c r="I58" s="223">
        <f t="shared" si="8"/>
        <v>33.001259547565503</v>
      </c>
      <c r="J58" s="223">
        <f t="shared" si="8"/>
        <v>27.543237390984327</v>
      </c>
      <c r="K58" s="223">
        <f t="shared" si="8"/>
        <v>23.861749254176996</v>
      </c>
    </row>
    <row r="60" spans="2:11" x14ac:dyDescent="0.3">
      <c r="B60" s="312" t="s">
        <v>1627</v>
      </c>
      <c r="C60" s="312"/>
      <c r="D60" s="312"/>
      <c r="E60" s="312"/>
      <c r="F60" s="312"/>
      <c r="G60" s="312"/>
      <c r="H60" s="312"/>
      <c r="I60" s="312"/>
      <c r="J60" s="312"/>
      <c r="K60" s="312"/>
    </row>
    <row r="61" spans="2:11" x14ac:dyDescent="0.3">
      <c r="E61" s="81">
        <f t="shared" ref="E61:K61" si="9">E55</f>
        <v>43190</v>
      </c>
      <c r="F61" s="81">
        <f t="shared" si="9"/>
        <v>43555</v>
      </c>
      <c r="G61" s="81">
        <f t="shared" si="9"/>
        <v>43921</v>
      </c>
      <c r="H61" s="81">
        <f t="shared" si="9"/>
        <v>44286</v>
      </c>
      <c r="I61" s="81">
        <f t="shared" si="9"/>
        <v>44651</v>
      </c>
      <c r="J61" s="81">
        <f t="shared" si="9"/>
        <v>45016</v>
      </c>
      <c r="K61" s="81">
        <f t="shared" si="9"/>
        <v>45382</v>
      </c>
    </row>
    <row r="62" spans="2:11" x14ac:dyDescent="0.3">
      <c r="B62" t="s">
        <v>6</v>
      </c>
      <c r="E62">
        <f>'Dupont Analysis'!D89</f>
        <v>7721.85</v>
      </c>
      <c r="F62">
        <f>'Dupont Analysis'!E89</f>
        <v>8514.99</v>
      </c>
      <c r="G62">
        <f>'Dupont Analysis'!F89</f>
        <v>8684.64</v>
      </c>
      <c r="H62">
        <f>'Dupont Analysis'!G89</f>
        <v>9561.65</v>
      </c>
      <c r="I62">
        <f>'Dupont Analysis'!H89</f>
        <v>10888.68</v>
      </c>
      <c r="J62">
        <f>'Dupont Analysis'!I89</f>
        <v>11529.89</v>
      </c>
      <c r="K62">
        <f>'Dupont Analysis'!J89</f>
        <v>12404.01</v>
      </c>
    </row>
    <row r="63" spans="2:11" x14ac:dyDescent="0.3">
      <c r="B63" t="s">
        <v>124</v>
      </c>
      <c r="E63">
        <f>'Data Sheet'!E66</f>
        <v>8701.6299999999992</v>
      </c>
      <c r="F63">
        <f>'Data Sheet'!F66</f>
        <v>8436.64</v>
      </c>
      <c r="G63">
        <f>'Data Sheet'!G66</f>
        <v>9336.58</v>
      </c>
      <c r="H63">
        <f>'Data Sheet'!H66</f>
        <v>10833.22</v>
      </c>
      <c r="I63">
        <f>'Data Sheet'!I66</f>
        <v>12283.86</v>
      </c>
      <c r="J63">
        <f>'Data Sheet'!J66</f>
        <v>13652.28</v>
      </c>
      <c r="K63">
        <f>'Data Sheet'!K66</f>
        <v>15116.36</v>
      </c>
    </row>
    <row r="64" spans="2:11" x14ac:dyDescent="0.3">
      <c r="B64" s="222" t="s">
        <v>1633</v>
      </c>
      <c r="C64" s="222"/>
      <c r="D64" s="222"/>
      <c r="E64" s="223">
        <f>E62/E63</f>
        <v>0.88740270501044072</v>
      </c>
      <c r="F64" s="223">
        <f t="shared" ref="F64:K64" si="10">F62/F63</f>
        <v>1.0092868724990043</v>
      </c>
      <c r="G64" s="223">
        <f t="shared" si="10"/>
        <v>0.93017357533486555</v>
      </c>
      <c r="H64" s="223">
        <f t="shared" si="10"/>
        <v>0.882623079749142</v>
      </c>
      <c r="I64" s="223">
        <f t="shared" si="10"/>
        <v>0.88642169480928634</v>
      </c>
      <c r="J64" s="223">
        <f t="shared" si="10"/>
        <v>0.84453952013876066</v>
      </c>
      <c r="K64" s="223">
        <f t="shared" si="10"/>
        <v>0.82056857603285449</v>
      </c>
    </row>
    <row r="66" spans="2:11" x14ac:dyDescent="0.3">
      <c r="B66" s="312" t="s">
        <v>1628</v>
      </c>
      <c r="C66" s="312"/>
      <c r="D66" s="312"/>
      <c r="E66" s="312"/>
      <c r="F66" s="312"/>
      <c r="G66" s="312"/>
      <c r="H66" s="312"/>
      <c r="I66" s="312"/>
      <c r="J66" s="312"/>
      <c r="K66" s="312"/>
    </row>
    <row r="67" spans="2:11" x14ac:dyDescent="0.3">
      <c r="E67" s="81">
        <f t="shared" ref="E67:J67" si="11">E61</f>
        <v>43190</v>
      </c>
      <c r="F67" s="81">
        <f t="shared" si="11"/>
        <v>43555</v>
      </c>
      <c r="G67" s="81">
        <f t="shared" si="11"/>
        <v>43921</v>
      </c>
      <c r="H67" s="81">
        <f t="shared" si="11"/>
        <v>44286</v>
      </c>
      <c r="I67" s="81">
        <f t="shared" si="11"/>
        <v>44651</v>
      </c>
      <c r="J67" s="81">
        <f t="shared" si="11"/>
        <v>45016</v>
      </c>
      <c r="K67" s="81">
        <f>K61</f>
        <v>45382</v>
      </c>
    </row>
    <row r="68" spans="2:11" x14ac:dyDescent="0.3">
      <c r="B68" s="222" t="str">
        <f>B66</f>
        <v>Altman's Z Score</v>
      </c>
      <c r="C68" s="222"/>
      <c r="D68" s="222"/>
      <c r="E68" s="248">
        <f t="shared" ref="E68:K68" si="12">(E40*1.2)+(E46*1.4)+(E52*3.3)+(E58*0.6)+(E64*1)</f>
        <v>18.414529193950116</v>
      </c>
      <c r="F68" s="248">
        <f t="shared" si="12"/>
        <v>22.452350623387144</v>
      </c>
      <c r="G68" s="248">
        <f t="shared" si="12"/>
        <v>23.443164916400608</v>
      </c>
      <c r="H68" s="248">
        <f t="shared" si="12"/>
        <v>23.210043757450453</v>
      </c>
      <c r="I68" s="248">
        <f t="shared" si="12"/>
        <v>21.35288950407891</v>
      </c>
      <c r="J68" s="248">
        <f t="shared" si="12"/>
        <v>17.863593801248765</v>
      </c>
      <c r="K68" s="248">
        <f t="shared" si="12"/>
        <v>15.627118709366711</v>
      </c>
    </row>
    <row r="69" spans="2:11" x14ac:dyDescent="0.3">
      <c r="B69" t="s">
        <v>1634</v>
      </c>
      <c r="E69" s="249" t="str">
        <f>IF(E68&lt;3,"Distressed",IF(E68&gt;3,"Strong","Grey Zone"))</f>
        <v>Strong</v>
      </c>
      <c r="F69" s="249" t="str">
        <f t="shared" ref="F69:K69" si="13">IF(F68&lt;3,"Distressed",IF(F68&gt;3,"Strong","Grey Zone"))</f>
        <v>Strong</v>
      </c>
      <c r="G69" s="249" t="str">
        <f t="shared" si="13"/>
        <v>Strong</v>
      </c>
      <c r="H69" s="249" t="str">
        <f t="shared" si="13"/>
        <v>Strong</v>
      </c>
      <c r="I69" s="249" t="str">
        <f t="shared" si="13"/>
        <v>Strong</v>
      </c>
      <c r="J69" s="249" t="str">
        <f t="shared" si="13"/>
        <v>Strong</v>
      </c>
      <c r="K69" s="249" t="str">
        <f t="shared" si="13"/>
        <v>Strong</v>
      </c>
    </row>
    <row r="70" spans="2:11" x14ac:dyDescent="0.3">
      <c r="B70" s="2"/>
      <c r="C70" s="2"/>
      <c r="D70" s="247"/>
      <c r="E70" s="247"/>
      <c r="F70" s="247"/>
      <c r="G70" s="247"/>
      <c r="H70" s="247"/>
      <c r="I70" s="247"/>
      <c r="J70" s="247"/>
    </row>
    <row r="71" spans="2:11" x14ac:dyDescent="0.3">
      <c r="B71" s="225"/>
      <c r="C71" s="225"/>
      <c r="D71" s="225"/>
      <c r="E71" s="225"/>
      <c r="F71" s="225"/>
      <c r="G71" s="225"/>
      <c r="H71" s="225"/>
      <c r="I71" s="225"/>
      <c r="J71" s="225"/>
      <c r="K71" s="225"/>
    </row>
  </sheetData>
  <mergeCells count="6">
    <mergeCell ref="B42:K42"/>
    <mergeCell ref="B36:K36"/>
    <mergeCell ref="B66:K66"/>
    <mergeCell ref="B60:K60"/>
    <mergeCell ref="B54:K54"/>
    <mergeCell ref="B48:K48"/>
  </mergeCells>
  <printOptions horizontalCentered="1" verticalCentered="1"/>
  <pageMargins left="0.23622047244094491" right="0.23622047244094491" top="0.23622047244094491" bottom="0.23622047244094491" header="0.31496062992125984" footer="0.31496062992125984"/>
  <pageSetup scale="71" fitToWidth="0" orientation="portrait" r:id="rId1"/>
  <ignoredErrors>
    <ignoredError sqref="E44:K44 E50:K50" formula="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AA2B5-E240-4C72-9650-1FBA7A1B9977}">
  <sheetPr>
    <pageSetUpPr fitToPage="1"/>
  </sheetPr>
  <dimension ref="B2:O69"/>
  <sheetViews>
    <sheetView showGridLines="0" topLeftCell="A49" zoomScale="77" workbookViewId="0">
      <selection activeCell="U60" sqref="U60"/>
    </sheetView>
  </sheetViews>
  <sheetFormatPr defaultRowHeight="14.4" x14ac:dyDescent="0.3"/>
  <cols>
    <col min="1" max="1" width="1.88671875" customWidth="1"/>
    <col min="2" max="2" width="25.77734375" customWidth="1"/>
    <col min="4" max="4" width="6.6640625" customWidth="1"/>
    <col min="5" max="5" width="16" bestFit="1" customWidth="1"/>
    <col min="6" max="6" width="8" bestFit="1" customWidth="1"/>
    <col min="7" max="7" width="12" customWidth="1"/>
    <col min="9" max="9" width="10.5546875" customWidth="1"/>
    <col min="10" max="10" width="1.33203125" customWidth="1"/>
    <col min="14" max="14" width="11.33203125" bestFit="1" customWidth="1"/>
  </cols>
  <sheetData>
    <row r="2" spans="2:15" ht="15.6" x14ac:dyDescent="0.3">
      <c r="B2" s="318" t="s">
        <v>1675</v>
      </c>
      <c r="C2" s="318"/>
      <c r="D2" s="318"/>
      <c r="E2" s="318"/>
      <c r="F2" s="318"/>
      <c r="G2" s="318"/>
      <c r="H2" s="318"/>
      <c r="I2" s="318"/>
      <c r="J2" s="318"/>
      <c r="K2" s="318"/>
      <c r="L2" s="318"/>
      <c r="M2" s="318"/>
      <c r="N2" s="318"/>
    </row>
    <row r="3" spans="2:15" ht="14.4" customHeight="1" x14ac:dyDescent="0.3">
      <c r="E3" s="323" t="s">
        <v>1674</v>
      </c>
      <c r="F3" s="323"/>
      <c r="G3" s="323"/>
      <c r="H3" s="323"/>
      <c r="I3" s="323"/>
      <c r="J3" s="323"/>
      <c r="K3" s="323"/>
      <c r="L3" s="323"/>
      <c r="M3" s="323"/>
      <c r="N3" s="323"/>
    </row>
    <row r="4" spans="2:15" ht="14.4" customHeight="1" x14ac:dyDescent="0.3">
      <c r="E4" s="323"/>
      <c r="F4" s="323"/>
      <c r="G4" s="323"/>
      <c r="H4" s="323"/>
      <c r="I4" s="323"/>
      <c r="J4" s="323"/>
      <c r="K4" s="323"/>
      <c r="L4" s="323"/>
      <c r="M4" s="323"/>
      <c r="N4" s="323"/>
    </row>
    <row r="5" spans="2:15" ht="14.4" customHeight="1" x14ac:dyDescent="0.3">
      <c r="E5" s="323"/>
      <c r="F5" s="323"/>
      <c r="G5" s="323"/>
      <c r="H5" s="323"/>
      <c r="I5" s="323"/>
      <c r="J5" s="323"/>
      <c r="K5" s="323"/>
      <c r="L5" s="323"/>
      <c r="M5" s="323"/>
      <c r="N5" s="323"/>
    </row>
    <row r="6" spans="2:15" ht="14.4" customHeight="1" x14ac:dyDescent="0.3">
      <c r="E6" s="323"/>
      <c r="F6" s="323"/>
      <c r="G6" s="323"/>
      <c r="H6" s="323"/>
      <c r="I6" s="323"/>
      <c r="J6" s="323"/>
      <c r="K6" s="323"/>
      <c r="L6" s="323"/>
      <c r="M6" s="323"/>
      <c r="N6" s="323"/>
    </row>
    <row r="7" spans="2:15" ht="14.4" customHeight="1" x14ac:dyDescent="0.3">
      <c r="E7" s="323"/>
      <c r="F7" s="323"/>
      <c r="G7" s="323"/>
      <c r="H7" s="323"/>
      <c r="I7" s="323"/>
      <c r="J7" s="323"/>
      <c r="K7" s="323"/>
      <c r="L7" s="323"/>
      <c r="M7" s="323"/>
      <c r="N7" s="323"/>
    </row>
    <row r="8" spans="2:15" ht="14.4" customHeight="1" x14ac:dyDescent="0.3">
      <c r="E8" s="323"/>
      <c r="F8" s="323"/>
      <c r="G8" s="323"/>
      <c r="H8" s="323"/>
      <c r="I8" s="323"/>
      <c r="J8" s="323"/>
      <c r="K8" s="323"/>
      <c r="L8" s="323"/>
      <c r="M8" s="323"/>
      <c r="N8" s="323"/>
    </row>
    <row r="9" spans="2:15" ht="15.6" x14ac:dyDescent="0.3">
      <c r="B9" s="230" t="s">
        <v>1647</v>
      </c>
      <c r="C9" s="230"/>
      <c r="D9" s="230"/>
      <c r="E9" s="240">
        <f t="shared" ref="E9:H9" si="0">E22</f>
        <v>43921</v>
      </c>
      <c r="F9" s="240">
        <f t="shared" si="0"/>
        <v>44286</v>
      </c>
      <c r="G9" s="240">
        <f t="shared" si="0"/>
        <v>44651</v>
      </c>
      <c r="H9" s="240">
        <f t="shared" si="0"/>
        <v>45016</v>
      </c>
      <c r="I9" s="240">
        <f>I22</f>
        <v>45382</v>
      </c>
      <c r="K9" s="318" t="s">
        <v>1672</v>
      </c>
      <c r="L9" s="322"/>
      <c r="M9" s="322"/>
      <c r="N9" s="322"/>
    </row>
    <row r="10" spans="2:15" ht="4.2" customHeight="1" x14ac:dyDescent="0.3">
      <c r="E10" s="81"/>
      <c r="F10" s="81"/>
      <c r="G10" s="81"/>
      <c r="H10" s="81"/>
      <c r="I10" s="81"/>
    </row>
    <row r="11" spans="2:15" x14ac:dyDescent="0.3">
      <c r="B11" s="65" t="s">
        <v>1637</v>
      </c>
      <c r="C11" s="65"/>
      <c r="D11" s="65"/>
      <c r="E11" s="65">
        <f>'Data Sheet'!G17</f>
        <v>8684.64</v>
      </c>
      <c r="F11" s="65">
        <f>'Data Sheet'!H17</f>
        <v>9561.65</v>
      </c>
      <c r="G11" s="65">
        <f>'Data Sheet'!I17</f>
        <v>10888.68</v>
      </c>
      <c r="H11" s="65">
        <f>'Data Sheet'!J17</f>
        <v>11529.89</v>
      </c>
      <c r="I11" s="65">
        <f>'Data Sheet'!K17</f>
        <v>12404.01</v>
      </c>
    </row>
    <row r="12" spans="2:15" x14ac:dyDescent="0.3">
      <c r="B12" s="269" t="s">
        <v>1638</v>
      </c>
      <c r="C12" s="269"/>
      <c r="D12" s="269"/>
      <c r="E12" s="270">
        <f>'Historical FS'!H11</f>
        <v>1.9923687520478461E-2</v>
      </c>
      <c r="F12" s="270">
        <f>'Historical FS'!I11</f>
        <v>0.10098403618342267</v>
      </c>
      <c r="G12" s="270">
        <f>'Historical FS'!J11</f>
        <v>0.13878671568191692</v>
      </c>
      <c r="H12" s="270">
        <f>'Historical FS'!K11</f>
        <v>5.8887762336665261E-2</v>
      </c>
      <c r="I12" s="270">
        <f>'Historical FS'!L11</f>
        <v>7.5813385903941821E-2</v>
      </c>
    </row>
    <row r="13" spans="2:15" x14ac:dyDescent="0.3">
      <c r="B13" s="65" t="s">
        <v>1639</v>
      </c>
      <c r="C13" s="65"/>
      <c r="D13" s="65"/>
      <c r="E13" s="165">
        <f>'Historical FS'!H17</f>
        <v>0.36465875384587038</v>
      </c>
      <c r="F13" s="165">
        <f>'Historical FS'!I17</f>
        <v>0.36795950489716717</v>
      </c>
      <c r="G13" s="165">
        <f>'Historical FS'!J17</f>
        <v>0.35761451342127792</v>
      </c>
      <c r="H13" s="165">
        <f>'Historical FS'!K17</f>
        <v>0.3286865702968545</v>
      </c>
      <c r="I13" s="165">
        <f>'Historical FS'!L17</f>
        <v>0.35385169795896659</v>
      </c>
    </row>
    <row r="14" spans="2:15" x14ac:dyDescent="0.3">
      <c r="B14" s="65" t="s">
        <v>1641</v>
      </c>
      <c r="C14" s="65"/>
      <c r="D14" s="65"/>
      <c r="E14" s="165">
        <f>'Historical FS'!H23</f>
        <v>0.20638046021481599</v>
      </c>
      <c r="F14" s="165">
        <f>'Historical FS'!I23</f>
        <v>0.20934357563809575</v>
      </c>
      <c r="G14" s="165">
        <f>'Historical FS'!J23</f>
        <v>0.20682121248856616</v>
      </c>
      <c r="H14" s="165">
        <f>'Historical FS'!K23</f>
        <v>0.18755512845309014</v>
      </c>
      <c r="I14" s="165">
        <f>'Historical FS'!L23</f>
        <v>0.19346324293514769</v>
      </c>
      <c r="O14" t="s">
        <v>255</v>
      </c>
    </row>
    <row r="15" spans="2:15" x14ac:dyDescent="0.3">
      <c r="B15" s="65" t="s">
        <v>1640</v>
      </c>
      <c r="C15" s="65"/>
      <c r="D15" s="65"/>
      <c r="E15" s="165">
        <f>('Historical FS'!H31+'Historical FS'!H25)/'Historical FS'!H10</f>
        <v>0.18099656404871123</v>
      </c>
      <c r="F15" s="165">
        <f>('Historical FS'!I31+'Historical FS'!I25)/'Historical FS'!I10</f>
        <v>0.1842297093074938</v>
      </c>
      <c r="G15" s="165">
        <f>('Historical FS'!J31+'Historical FS'!J25)/'Historical FS'!J10</f>
        <v>0.18359617511029808</v>
      </c>
      <c r="H15" s="165">
        <f>('Historical FS'!K31+'Historical FS'!K25)/'Historical FS'!K10</f>
        <v>0.16058522674544157</v>
      </c>
      <c r="I15" s="165">
        <f>('Historical FS'!L31+'Historical FS'!L25)/'Historical FS'!L10</f>
        <v>0.16127929596960994</v>
      </c>
    </row>
    <row r="16" spans="2:15" x14ac:dyDescent="0.3">
      <c r="B16" s="65" t="s">
        <v>1642</v>
      </c>
      <c r="C16" s="65"/>
      <c r="D16" s="65"/>
      <c r="E16" s="165">
        <f>'Historical FS'!H38</f>
        <v>0.14308365113579832</v>
      </c>
      <c r="F16" s="165">
        <f>'Historical FS'!I38</f>
        <v>0.14324515120298256</v>
      </c>
      <c r="G16" s="165">
        <f>'Historical FS'!J38</f>
        <v>0.13170926136134048</v>
      </c>
      <c r="H16" s="165">
        <f>'Historical FS'!K38</f>
        <v>0.10892905309590978</v>
      </c>
      <c r="I16" s="165">
        <f>'Historical FS'!L38</f>
        <v>0.10713470885624903</v>
      </c>
    </row>
    <row r="17" spans="2:14" x14ac:dyDescent="0.3">
      <c r="B17" s="65" t="s">
        <v>1643</v>
      </c>
      <c r="C17" s="65"/>
      <c r="D17" s="65"/>
      <c r="E17" s="155">
        <f>'Historical FS'!H42</f>
        <v>7.0320298794635239</v>
      </c>
      <c r="F17" s="155">
        <f>'Historical FS'!I42</f>
        <v>7.7495756478442805</v>
      </c>
      <c r="G17" s="155">
        <f>'Historical FS'!J42</f>
        <v>8.1121104134849311</v>
      </c>
      <c r="H17" s="155">
        <f>'Historical FS'!K42</f>
        <v>7.0884975730895086</v>
      </c>
      <c r="I17" s="155">
        <f>'Historical FS'!L42</f>
        <v>7.4994356659142296</v>
      </c>
    </row>
    <row r="18" spans="2:14" x14ac:dyDescent="0.3">
      <c r="B18" s="269" t="s">
        <v>1644</v>
      </c>
      <c r="C18" s="269"/>
      <c r="D18" s="269"/>
      <c r="E18" s="270">
        <f>'Historical FS'!H43</f>
        <v>1.4379757288635719E-2</v>
      </c>
      <c r="F18" s="270">
        <f>'Historical FS'!I43</f>
        <v>0.10203963587758502</v>
      </c>
      <c r="G18" s="270">
        <f>'Historical FS'!J43</f>
        <v>4.6781240949818725E-2</v>
      </c>
      <c r="H18" s="270">
        <f>'Historical FS'!K43</f>
        <v>-0.12618329734440614</v>
      </c>
      <c r="I18" s="270">
        <f>'Historical FS'!L43</f>
        <v>5.7972523597213277E-2</v>
      </c>
    </row>
    <row r="19" spans="2:14" x14ac:dyDescent="0.3">
      <c r="B19" s="65" t="s">
        <v>1645</v>
      </c>
      <c r="C19" s="65"/>
      <c r="D19" s="65"/>
      <c r="E19" s="155">
        <f>'Historical FS'!H45</f>
        <v>3</v>
      </c>
      <c r="F19" s="155">
        <f>'Historical FS'!I45</f>
        <v>4.7500282901437139</v>
      </c>
      <c r="G19" s="155">
        <f>'Historical FS'!J45</f>
        <v>5.200011312857062</v>
      </c>
      <c r="H19" s="155">
        <f>'Historical FS'!K45</f>
        <v>5.2000225759115022</v>
      </c>
      <c r="I19" s="155">
        <f>'Historical FS'!L45</f>
        <v>5.5000000000000009</v>
      </c>
    </row>
    <row r="20" spans="2:14" x14ac:dyDescent="0.3">
      <c r="B20" s="269" t="s">
        <v>1646</v>
      </c>
      <c r="C20" s="269"/>
      <c r="D20" s="269"/>
      <c r="E20" s="270">
        <f>E19/'Historical FS'!G45-1</f>
        <v>9.0914705700697818E-2</v>
      </c>
      <c r="F20" s="270">
        <f t="shared" ref="F20:H20" si="1">F19/E19-1</f>
        <v>0.58334276338123803</v>
      </c>
      <c r="G20" s="270">
        <f t="shared" si="1"/>
        <v>9.4732703728746426E-2</v>
      </c>
      <c r="H20" s="270">
        <f t="shared" si="1"/>
        <v>2.1659672955198772E-6</v>
      </c>
      <c r="I20" s="270">
        <f>I19/H19-1</f>
        <v>5.768771571841036E-2</v>
      </c>
    </row>
    <row r="22" spans="2:14" ht="15.6" x14ac:dyDescent="0.3">
      <c r="B22" s="230" t="s">
        <v>1648</v>
      </c>
      <c r="C22" s="230"/>
      <c r="D22" s="230"/>
      <c r="E22" s="240">
        <f>'Altman''s Z-Score'!G67</f>
        <v>43921</v>
      </c>
      <c r="F22" s="240">
        <f>'Altman''s Z-Score'!H67</f>
        <v>44286</v>
      </c>
      <c r="G22" s="240">
        <f>'Altman''s Z-Score'!I67</f>
        <v>44651</v>
      </c>
      <c r="H22" s="240">
        <f>'Altman''s Z-Score'!J67</f>
        <v>45016</v>
      </c>
      <c r="I22" s="240">
        <f>'Altman''s Z-Score'!K67</f>
        <v>45382</v>
      </c>
      <c r="K22" s="318" t="s">
        <v>1673</v>
      </c>
      <c r="L22" s="318"/>
      <c r="M22" s="318"/>
      <c r="N22" s="318"/>
    </row>
    <row r="23" spans="2:14" ht="3.6" customHeight="1" x14ac:dyDescent="0.3">
      <c r="B23" s="268"/>
      <c r="C23" s="268"/>
      <c r="D23" s="268"/>
      <c r="E23" s="268"/>
      <c r="F23" s="268"/>
      <c r="G23" s="268"/>
      <c r="H23" s="268"/>
      <c r="I23" s="268"/>
      <c r="K23" s="268"/>
      <c r="L23" s="268"/>
      <c r="M23" s="268"/>
      <c r="N23" s="268"/>
    </row>
    <row r="24" spans="2:14" x14ac:dyDescent="0.3">
      <c r="B24" s="65" t="s">
        <v>23</v>
      </c>
      <c r="C24" s="65"/>
      <c r="D24" s="65"/>
      <c r="E24" s="189">
        <f>'Data Sheet'!G90/'Historical FS'!H42</f>
        <v>64.000012473544047</v>
      </c>
      <c r="F24" s="189">
        <f>'Data Sheet'!H90/'Historical FS'!I42</f>
        <v>69.745754420805255</v>
      </c>
      <c r="G24" s="189">
        <f>'Data Sheet'!I90/'Historical FS'!J42</f>
        <v>66.098705844617641</v>
      </c>
      <c r="H24" s="189">
        <f>'Data Sheet'!J90/'Historical FS'!K42</f>
        <v>76.87101453891114</v>
      </c>
      <c r="I24" s="189">
        <f>'Data Sheet'!K90/'Historical FS'!L42</f>
        <v>69.758582286101202</v>
      </c>
    </row>
    <row r="25" spans="2:14" x14ac:dyDescent="0.3">
      <c r="B25" s="65" t="s">
        <v>301</v>
      </c>
      <c r="C25" s="65"/>
      <c r="D25" s="65"/>
      <c r="E25" s="189">
        <f>'Data Sheet'!G97/'Historical FS'!H22</f>
        <v>44.371232857605158</v>
      </c>
      <c r="F25" s="189">
        <f>'Data Sheet'!H97/'Historical FS'!I22</f>
        <v>47.724135346985307</v>
      </c>
      <c r="G25" s="189">
        <f>'Data Sheet'!I97/'Historical FS'!J22</f>
        <v>42.093417880027168</v>
      </c>
      <c r="H25" s="189">
        <f>'Data Sheet'!J97/'Historical FS'!K22</f>
        <v>44.64546980564073</v>
      </c>
      <c r="I25" s="189">
        <f>'Data Sheet'!K97/'Historical FS'!L22</f>
        <v>38.630415215108407</v>
      </c>
    </row>
    <row r="26" spans="2:14" x14ac:dyDescent="0.3">
      <c r="B26" s="65" t="s">
        <v>1649</v>
      </c>
      <c r="C26" s="65"/>
      <c r="D26" s="65"/>
      <c r="E26" s="189">
        <f>'Data Sheet'!G97/'Data Sheet'!G17</f>
        <v>9.1573554574513167</v>
      </c>
      <c r="F26" s="189">
        <f>'Data Sheet'!H97/'Data Sheet'!H17</f>
        <v>9.9907411377743394</v>
      </c>
      <c r="G26" s="189">
        <f>'Data Sheet'!I97/'Data Sheet'!I17</f>
        <v>8.7058117237351098</v>
      </c>
      <c r="H26" s="189">
        <f>'Data Sheet'!J97/'Data Sheet'!J17</f>
        <v>8.3734868242455054</v>
      </c>
      <c r="I26" s="189">
        <f>'Data Sheet'!K97/'Data Sheet'!K17</f>
        <v>7.473565403446143</v>
      </c>
    </row>
    <row r="27" spans="2:14" x14ac:dyDescent="0.3">
      <c r="B27" s="65" t="s">
        <v>1650</v>
      </c>
      <c r="C27" s="65"/>
      <c r="D27" s="65"/>
      <c r="E27" s="189">
        <f>'Data Sheet'!G97/'Data Sheet'!G77</f>
        <v>12.039259054611513</v>
      </c>
      <c r="F27" s="189">
        <f>'Data Sheet'!H97/'Data Sheet'!H77</f>
        <v>12.465269921302585</v>
      </c>
      <c r="G27" s="189">
        <f>'Data Sheet'!I97/'Data Sheet'!I77</f>
        <v>11.310273823869805</v>
      </c>
      <c r="H27" s="189">
        <f>'Data Sheet'!J97/'Data Sheet'!J77</f>
        <v>10.759231539039323</v>
      </c>
      <c r="I27" s="189">
        <f>'Data Sheet'!K97/'Data Sheet'!K77</f>
        <v>9.3958403859602875</v>
      </c>
    </row>
    <row r="28" spans="2:14" x14ac:dyDescent="0.3">
      <c r="B28" s="65" t="s">
        <v>59</v>
      </c>
      <c r="C28" s="65"/>
      <c r="D28" s="65"/>
      <c r="E28" s="165">
        <f>Ratios!H27</f>
        <v>0.18811338606517042</v>
      </c>
      <c r="F28" s="165">
        <f>Ratios!I27</f>
        <v>0.17872442594992102</v>
      </c>
      <c r="G28" s="165">
        <f>Ratios!J27</f>
        <v>0.17111188001861294</v>
      </c>
      <c r="H28" s="165">
        <f>Ratios!K27</f>
        <v>0.13996473968212211</v>
      </c>
      <c r="I28" s="165">
        <f>Ratios!L27</f>
        <v>0.1346908162127648</v>
      </c>
    </row>
    <row r="29" spans="2:14" x14ac:dyDescent="0.3">
      <c r="B29" s="65" t="s">
        <v>141</v>
      </c>
      <c r="C29" s="65"/>
      <c r="D29" s="65"/>
      <c r="E29" s="165">
        <f>Ratios!H25</f>
        <v>0.22053133251212859</v>
      </c>
      <c r="F29" s="165">
        <f>Ratios!I25</f>
        <v>0.21554244125791189</v>
      </c>
      <c r="G29" s="165">
        <f>Ratios!J25</f>
        <v>0.21241473107082906</v>
      </c>
      <c r="H29" s="165">
        <f>Ratios!K25</f>
        <v>0.18246978185778126</v>
      </c>
      <c r="I29" s="165">
        <f>Ratios!L25</f>
        <v>0.17811775746368</v>
      </c>
    </row>
    <row r="31" spans="2:14" ht="15.6" x14ac:dyDescent="0.3">
      <c r="B31" s="230" t="s">
        <v>1665</v>
      </c>
      <c r="C31" s="236"/>
      <c r="D31" s="236"/>
      <c r="E31" s="312" t="s">
        <v>1666</v>
      </c>
      <c r="F31" s="312"/>
      <c r="G31" s="236" t="s">
        <v>1667</v>
      </c>
      <c r="H31" s="312" t="s">
        <v>1668</v>
      </c>
      <c r="I31" s="312"/>
      <c r="K31" s="318" t="s">
        <v>1677</v>
      </c>
      <c r="L31" s="318"/>
      <c r="M31" s="318"/>
      <c r="N31" s="318"/>
    </row>
    <row r="32" spans="2:14" ht="4.2" customHeight="1" x14ac:dyDescent="0.3"/>
    <row r="33" spans="2:14" x14ac:dyDescent="0.3">
      <c r="B33" s="271" t="str">
        <f>Rough!U38</f>
        <v>VIC ENTERPRISES PRIVATE LIMITED</v>
      </c>
      <c r="C33" s="65"/>
      <c r="D33" s="65"/>
      <c r="E33" s="321">
        <f>Rough!V38</f>
        <v>21.779399999999999</v>
      </c>
      <c r="F33" s="324"/>
      <c r="G33" s="65">
        <f>Rough!W38</f>
        <v>12.29</v>
      </c>
      <c r="H33" s="321">
        <f>Rough!X38</f>
        <v>13627.370580000001</v>
      </c>
      <c r="I33" s="321"/>
    </row>
    <row r="34" spans="2:14" x14ac:dyDescent="0.3">
      <c r="B34" s="271" t="str">
        <f>Rough!U39</f>
        <v>CHOWDRY ASSOCIATES</v>
      </c>
      <c r="C34" s="65"/>
      <c r="D34" s="65"/>
      <c r="E34" s="321">
        <f>Rough!V39</f>
        <v>20.908380000000001</v>
      </c>
      <c r="F34" s="324"/>
      <c r="G34" s="65">
        <f>Rough!W39</f>
        <v>11.8</v>
      </c>
      <c r="H34" s="321">
        <f>Rough!X39</f>
        <v>13082.373366000002</v>
      </c>
      <c r="I34" s="321"/>
    </row>
    <row r="35" spans="2:14" x14ac:dyDescent="0.3">
      <c r="B35" s="271" t="str">
        <f>Rough!U40</f>
        <v>GYAN ENTERPRISES PRIVATE LIMITED</v>
      </c>
      <c r="C35" s="65"/>
      <c r="D35" s="65"/>
      <c r="E35" s="321">
        <f>Rough!V40</f>
        <v>19.337997999999999</v>
      </c>
      <c r="F35" s="324"/>
      <c r="G35" s="65">
        <f>Rough!W40</f>
        <v>10.91</v>
      </c>
      <c r="H35" s="321">
        <f>Rough!X40</f>
        <v>12099.7853486</v>
      </c>
      <c r="I35" s="321"/>
    </row>
    <row r="36" spans="2:14" x14ac:dyDescent="0.3">
      <c r="B36" s="271" t="str">
        <f>Rough!U41</f>
        <v>PURAN ASSOCIATES PRIVATE LIMITED</v>
      </c>
      <c r="C36" s="65"/>
      <c r="D36" s="65"/>
      <c r="E36" s="321">
        <f>Rough!V41</f>
        <v>18.921199999999999</v>
      </c>
      <c r="F36" s="324"/>
      <c r="G36" s="65">
        <f>Rough!W41</f>
        <v>10.68</v>
      </c>
      <c r="H36" s="321">
        <f>Rough!X41</f>
        <v>11838.994839999999</v>
      </c>
      <c r="I36" s="321"/>
    </row>
    <row r="37" spans="2:14" x14ac:dyDescent="0.3">
      <c r="B37" s="271" t="str">
        <f>Rough!U42</f>
        <v>RATNA COMMERCIAL ENTERPRISES PRIVATE LIMITED</v>
      </c>
      <c r="C37" s="65"/>
      <c r="D37" s="65"/>
      <c r="E37" s="321">
        <f>Rough!V42</f>
        <v>15.8655604</v>
      </c>
      <c r="F37" s="324"/>
      <c r="G37" s="65">
        <f>Rough!W42</f>
        <v>8.9499999999999993</v>
      </c>
      <c r="H37" s="321">
        <f>Rough!X42</f>
        <v>9927.0811422799998</v>
      </c>
      <c r="I37" s="321"/>
    </row>
    <row r="38" spans="2:14" x14ac:dyDescent="0.3">
      <c r="B38" s="271" t="str">
        <f>Rough!U43</f>
        <v>MILKY INVESTMENT AND TRADING COMPANY</v>
      </c>
      <c r="C38" s="65"/>
      <c r="D38" s="65"/>
      <c r="E38" s="321">
        <f>Rough!V43</f>
        <v>10.614750300000001</v>
      </c>
      <c r="F38" s="324"/>
      <c r="G38" s="65">
        <f>Rough!W43</f>
        <v>5.99</v>
      </c>
      <c r="H38" s="321">
        <f>Rough!X43</f>
        <v>6641.6492627100006</v>
      </c>
      <c r="I38" s="321"/>
    </row>
    <row r="39" spans="2:14" x14ac:dyDescent="0.3">
      <c r="B39" s="271" t="str">
        <f>Rough!U44</f>
        <v>LIFE INSURANCE CORPORATION OF INDIA</v>
      </c>
      <c r="C39" s="65"/>
      <c r="D39" s="65"/>
      <c r="E39" s="321">
        <f>Rough!V44</f>
        <v>6.5828461000000003</v>
      </c>
      <c r="F39" s="324"/>
      <c r="G39" s="65">
        <f>Rough!W44</f>
        <v>3.71</v>
      </c>
      <c r="H39" s="321">
        <f>Rough!X44</f>
        <v>4118.8868047700007</v>
      </c>
      <c r="I39" s="321"/>
    </row>
    <row r="40" spans="2:14" x14ac:dyDescent="0.3">
      <c r="B40" s="271" t="str">
        <f>Rough!U45</f>
        <v>BURMANS FINVEST PRIVATE LIMITED</v>
      </c>
      <c r="C40" s="65"/>
      <c r="D40" s="65"/>
      <c r="E40" s="321">
        <f>Rough!V45</f>
        <v>5.3012986</v>
      </c>
      <c r="F40" s="324"/>
      <c r="G40" s="65">
        <f>Rough!W45</f>
        <v>2.99</v>
      </c>
      <c r="H40" s="321">
        <f>Rough!X45</f>
        <v>3317.0225340200004</v>
      </c>
      <c r="I40" s="321"/>
    </row>
    <row r="41" spans="2:14" x14ac:dyDescent="0.3">
      <c r="B41" s="271" t="str">
        <f>Rough!U46</f>
        <v>M.B. FINMART PRIVATE LIMITED</v>
      </c>
      <c r="C41" s="65"/>
      <c r="D41" s="65"/>
      <c r="E41" s="321">
        <f>Rough!V46</f>
        <v>2.6506492000000001</v>
      </c>
      <c r="F41" s="324"/>
      <c r="G41" s="65">
        <f>Rough!W46</f>
        <v>1.5</v>
      </c>
      <c r="H41" s="321">
        <f>Rough!X46</f>
        <v>1658.5112044400003</v>
      </c>
      <c r="I41" s="321"/>
    </row>
    <row r="42" spans="2:14" x14ac:dyDescent="0.3">
      <c r="B42" s="271" t="str">
        <f>Rough!U47</f>
        <v>ICICI PRUDENTIAL REGULAR SAVINGS FUND</v>
      </c>
      <c r="C42" s="65"/>
      <c r="D42" s="65"/>
      <c r="E42" s="321">
        <f>Rough!V47</f>
        <v>1.9236104000000001</v>
      </c>
      <c r="F42" s="324"/>
      <c r="G42" s="65">
        <f>Rough!W47</f>
        <v>1.0900000000000001</v>
      </c>
      <c r="H42" s="321">
        <f>Rough!X47</f>
        <v>1203.6030272800001</v>
      </c>
      <c r="I42" s="321"/>
    </row>
    <row r="44" spans="2:14" ht="15.6" x14ac:dyDescent="0.3">
      <c r="B44" s="230" t="s">
        <v>1683</v>
      </c>
      <c r="C44" s="236"/>
      <c r="D44" s="236"/>
      <c r="E44" s="236" t="s">
        <v>1685</v>
      </c>
      <c r="F44" s="312" t="s">
        <v>1692</v>
      </c>
      <c r="G44" s="312"/>
      <c r="H44" s="312" t="s">
        <v>1684</v>
      </c>
      <c r="I44" s="312"/>
      <c r="K44" s="318" t="s">
        <v>340</v>
      </c>
      <c r="L44" s="318"/>
      <c r="M44" s="318"/>
      <c r="N44" s="318"/>
    </row>
    <row r="45" spans="2:14" ht="4.2" customHeight="1" x14ac:dyDescent="0.3"/>
    <row r="46" spans="2:14" x14ac:dyDescent="0.3">
      <c r="B46" s="65" t="s">
        <v>1686</v>
      </c>
      <c r="C46" s="65"/>
      <c r="D46" s="65"/>
      <c r="E46" s="65" t="s">
        <v>1690</v>
      </c>
      <c r="F46" s="321">
        <v>0.216</v>
      </c>
      <c r="G46" s="321"/>
      <c r="H46" s="320">
        <v>2</v>
      </c>
      <c r="I46" s="320"/>
      <c r="K46" s="276" t="s">
        <v>1678</v>
      </c>
      <c r="L46" s="276"/>
      <c r="M46" s="276"/>
      <c r="N46" s="276">
        <v>625</v>
      </c>
    </row>
    <row r="47" spans="2:14" x14ac:dyDescent="0.3">
      <c r="B47" s="65" t="s">
        <v>1687</v>
      </c>
      <c r="C47" s="65"/>
      <c r="D47" s="65"/>
      <c r="E47" s="65" t="s">
        <v>1691</v>
      </c>
      <c r="F47" s="321">
        <v>16.250483899999999</v>
      </c>
      <c r="G47" s="321"/>
      <c r="H47" s="320">
        <v>256</v>
      </c>
      <c r="I47" s="320"/>
      <c r="K47" s="277" t="s">
        <v>1679</v>
      </c>
      <c r="L47" s="277"/>
      <c r="M47" s="277"/>
      <c r="N47" s="278">
        <f>'Data Sheet'!B6</f>
        <v>177.23103723829311</v>
      </c>
    </row>
    <row r="48" spans="2:14" x14ac:dyDescent="0.3">
      <c r="B48" s="65" t="s">
        <v>1688</v>
      </c>
      <c r="C48" s="65"/>
      <c r="D48" s="65"/>
      <c r="E48" s="65" t="s">
        <v>1691</v>
      </c>
      <c r="F48" s="321">
        <v>14.638429500000001</v>
      </c>
      <c r="G48" s="321"/>
      <c r="H48" s="320">
        <v>228</v>
      </c>
      <c r="I48" s="320"/>
      <c r="K48" s="272" t="s">
        <v>79</v>
      </c>
      <c r="L48" s="272"/>
      <c r="M48" s="272"/>
      <c r="N48" s="273">
        <f>N46*N47</f>
        <v>110769.3982739332</v>
      </c>
    </row>
    <row r="49" spans="2:14" x14ac:dyDescent="0.3">
      <c r="B49" s="65" t="s">
        <v>1689</v>
      </c>
      <c r="C49" s="65"/>
      <c r="D49" s="65"/>
      <c r="E49" s="65" t="s">
        <v>1690</v>
      </c>
      <c r="F49" s="321">
        <v>0.14000000000000001</v>
      </c>
      <c r="G49" s="321"/>
      <c r="H49" s="320">
        <v>1</v>
      </c>
      <c r="I49" s="320"/>
      <c r="K49" s="279" t="s">
        <v>1680</v>
      </c>
      <c r="L49" s="65"/>
      <c r="M49" s="65"/>
      <c r="N49" s="280">
        <f>-'Data Sheet'!K69</f>
        <v>-666.36</v>
      </c>
    </row>
    <row r="50" spans="2:14" x14ac:dyDescent="0.3">
      <c r="B50" s="307" t="s">
        <v>1694</v>
      </c>
      <c r="K50" s="279" t="s">
        <v>1681</v>
      </c>
      <c r="L50" s="65"/>
      <c r="M50" s="65"/>
      <c r="N50" s="209">
        <f>'Data Sheet'!K59</f>
        <v>1365.09</v>
      </c>
    </row>
    <row r="51" spans="2:14" ht="15.6" x14ac:dyDescent="0.3">
      <c r="B51" s="306" t="s">
        <v>1693</v>
      </c>
      <c r="C51" s="168"/>
      <c r="D51" s="168"/>
      <c r="E51" s="168"/>
      <c r="F51" s="168"/>
      <c r="G51" s="168"/>
      <c r="H51" s="168"/>
      <c r="K51" s="281" t="s">
        <v>1682</v>
      </c>
      <c r="L51" s="282"/>
      <c r="M51" s="282"/>
      <c r="N51" s="283">
        <f>'Raw FS'!L11</f>
        <v>437</v>
      </c>
    </row>
    <row r="52" spans="2:14" ht="15.6" x14ac:dyDescent="0.3">
      <c r="B52" s="304" t="s">
        <v>1707</v>
      </c>
      <c r="C52" s="65"/>
      <c r="D52" s="65"/>
      <c r="E52" s="65"/>
      <c r="F52" s="65"/>
      <c r="G52" s="65"/>
      <c r="H52" s="65"/>
      <c r="K52" s="274" t="s">
        <v>270</v>
      </c>
      <c r="L52" s="2"/>
      <c r="M52" s="2"/>
      <c r="N52" s="275">
        <f>SUM(N48:N51)</f>
        <v>111905.12827393319</v>
      </c>
    </row>
    <row r="53" spans="2:14" ht="4.2" customHeight="1" x14ac:dyDescent="0.3"/>
    <row r="54" spans="2:14" ht="15.6" x14ac:dyDescent="0.3">
      <c r="B54" s="302" t="s">
        <v>1694</v>
      </c>
      <c r="C54" s="301"/>
      <c r="D54" s="301"/>
      <c r="E54" s="301"/>
      <c r="F54" s="301"/>
      <c r="G54" s="301"/>
      <c r="H54" s="301"/>
      <c r="I54" s="301"/>
      <c r="J54" s="301"/>
      <c r="K54" s="301"/>
      <c r="L54" s="301"/>
      <c r="M54" s="301"/>
      <c r="N54" s="301"/>
    </row>
    <row r="55" spans="2:14" ht="3.6" customHeight="1" x14ac:dyDescent="0.3"/>
    <row r="56" spans="2:14" ht="15.6" x14ac:dyDescent="0.3">
      <c r="B56" s="304" t="s">
        <v>1695</v>
      </c>
      <c r="C56" s="65"/>
      <c r="D56" s="65"/>
      <c r="E56" s="65"/>
      <c r="F56" s="65"/>
      <c r="G56" s="65"/>
      <c r="H56" s="65"/>
      <c r="I56" s="65"/>
      <c r="J56" s="65"/>
      <c r="K56" s="65"/>
      <c r="L56" s="65"/>
      <c r="M56" s="65"/>
      <c r="N56" s="65"/>
    </row>
    <row r="57" spans="2:14" ht="15.6" x14ac:dyDescent="0.3">
      <c r="B57" s="304" t="s">
        <v>1696</v>
      </c>
      <c r="C57" s="65"/>
      <c r="D57" s="65"/>
      <c r="E57" s="65"/>
      <c r="F57" s="65"/>
      <c r="G57" s="65"/>
      <c r="H57" s="65"/>
      <c r="I57" s="65"/>
      <c r="J57" s="65"/>
      <c r="K57" s="65"/>
      <c r="L57" s="65"/>
      <c r="M57" s="65"/>
      <c r="N57" s="65"/>
    </row>
    <row r="58" spans="2:14" ht="15.6" x14ac:dyDescent="0.3">
      <c r="B58" s="305" t="s">
        <v>1699</v>
      </c>
      <c r="C58" s="66"/>
      <c r="D58" s="66"/>
      <c r="E58" s="66"/>
      <c r="F58" s="66"/>
      <c r="G58" s="66"/>
      <c r="H58" s="66"/>
      <c r="I58" s="66"/>
      <c r="J58" s="66"/>
      <c r="K58" s="66"/>
      <c r="L58" s="66"/>
      <c r="M58" s="66"/>
      <c r="N58" s="66"/>
    </row>
    <row r="59" spans="2:14" ht="15.6" x14ac:dyDescent="0.3">
      <c r="B59" s="306" t="s">
        <v>1698</v>
      </c>
      <c r="C59" s="168"/>
      <c r="D59" s="168"/>
      <c r="E59" s="168"/>
      <c r="F59" s="168"/>
      <c r="G59" s="168"/>
      <c r="H59" s="168"/>
      <c r="I59" s="168"/>
      <c r="J59" s="168"/>
      <c r="K59" s="168"/>
      <c r="L59" s="168"/>
      <c r="M59" s="168"/>
      <c r="N59" s="168"/>
    </row>
    <row r="60" spans="2:14" ht="15.6" x14ac:dyDescent="0.3">
      <c r="B60" s="304" t="s">
        <v>1697</v>
      </c>
      <c r="C60" s="65"/>
      <c r="D60" s="65"/>
      <c r="E60" s="65"/>
      <c r="F60" s="65"/>
      <c r="G60" s="65"/>
      <c r="H60" s="65"/>
      <c r="I60" s="65"/>
      <c r="J60" s="65"/>
      <c r="K60" s="65"/>
      <c r="L60" s="65"/>
      <c r="M60" s="65"/>
      <c r="N60" s="65"/>
    </row>
    <row r="61" spans="2:14" ht="15.6" x14ac:dyDescent="0.3">
      <c r="B61" s="305" t="s">
        <v>1701</v>
      </c>
      <c r="C61" s="66"/>
      <c r="D61" s="66"/>
      <c r="E61" s="66"/>
      <c r="F61" s="66"/>
      <c r="G61" s="66"/>
      <c r="H61" s="66"/>
      <c r="I61" s="66"/>
      <c r="J61" s="66"/>
      <c r="K61" s="66"/>
      <c r="L61" s="66"/>
      <c r="M61" s="66"/>
      <c r="N61" s="66"/>
    </row>
    <row r="62" spans="2:14" ht="15.6" x14ac:dyDescent="0.3">
      <c r="B62" s="306" t="s">
        <v>1700</v>
      </c>
      <c r="C62" s="168"/>
      <c r="D62" s="168"/>
      <c r="E62" s="168"/>
      <c r="F62" s="168"/>
      <c r="G62" s="168"/>
      <c r="H62" s="168"/>
      <c r="I62" s="168"/>
      <c r="J62" s="168"/>
      <c r="K62" s="168"/>
      <c r="L62" s="168"/>
      <c r="M62" s="168"/>
      <c r="N62" s="168"/>
    </row>
    <row r="63" spans="2:14" ht="15.6" x14ac:dyDescent="0.3">
      <c r="B63" s="305" t="s">
        <v>1702</v>
      </c>
      <c r="C63" s="66"/>
      <c r="D63" s="66"/>
      <c r="E63" s="66"/>
      <c r="F63" s="66"/>
      <c r="G63" s="66"/>
      <c r="H63" s="66"/>
      <c r="I63" s="66"/>
      <c r="J63" s="66"/>
      <c r="K63" s="66"/>
      <c r="L63" s="66"/>
      <c r="M63" s="66"/>
      <c r="N63" s="66"/>
    </row>
    <row r="64" spans="2:14" ht="15.6" x14ac:dyDescent="0.3">
      <c r="B64" s="306" t="s">
        <v>1703</v>
      </c>
      <c r="C64" s="168"/>
      <c r="D64" s="168"/>
      <c r="E64" s="168"/>
      <c r="F64" s="168"/>
      <c r="G64" s="168"/>
      <c r="H64" s="168"/>
      <c r="I64" s="168"/>
      <c r="J64" s="168"/>
      <c r="K64" s="168"/>
      <c r="L64" s="168"/>
      <c r="M64" s="168"/>
      <c r="N64" s="168"/>
    </row>
    <row r="65" spans="2:14" ht="15.6" x14ac:dyDescent="0.3">
      <c r="B65" s="305" t="s">
        <v>1704</v>
      </c>
      <c r="C65" s="66"/>
      <c r="D65" s="66"/>
      <c r="E65" s="66"/>
      <c r="F65" s="66"/>
      <c r="G65" s="66"/>
      <c r="H65" s="66"/>
      <c r="I65" s="66"/>
      <c r="J65" s="66"/>
      <c r="K65" s="66"/>
      <c r="L65" s="66"/>
      <c r="M65" s="66"/>
      <c r="N65" s="66"/>
    </row>
    <row r="66" spans="2:14" ht="15.6" x14ac:dyDescent="0.3">
      <c r="B66" s="306" t="s">
        <v>1705</v>
      </c>
      <c r="C66" s="168"/>
      <c r="D66" s="168"/>
      <c r="E66" s="168"/>
      <c r="F66" s="168"/>
      <c r="G66" s="168"/>
      <c r="H66" s="168"/>
      <c r="I66" s="168"/>
      <c r="J66" s="168"/>
      <c r="K66" s="168"/>
      <c r="L66" s="168"/>
      <c r="M66" s="168"/>
      <c r="N66" s="168"/>
    </row>
    <row r="67" spans="2:14" ht="4.2" customHeight="1" x14ac:dyDescent="0.3"/>
    <row r="68" spans="2:14" ht="16.2" customHeight="1" x14ac:dyDescent="0.3">
      <c r="B68" s="308" t="s">
        <v>1706</v>
      </c>
      <c r="C68" s="301"/>
      <c r="D68" s="301"/>
      <c r="E68" s="301"/>
      <c r="F68" s="301"/>
      <c r="G68" s="301"/>
      <c r="H68" s="301"/>
      <c r="I68" s="301"/>
      <c r="J68" s="301"/>
      <c r="K68" s="301"/>
      <c r="L68" s="301"/>
      <c r="M68" s="301"/>
      <c r="N68" s="301"/>
    </row>
    <row r="69" spans="2:14" x14ac:dyDescent="0.3">
      <c r="B69" s="303"/>
    </row>
  </sheetData>
  <mergeCells count="38">
    <mergeCell ref="E31:F31"/>
    <mergeCell ref="H31:I31"/>
    <mergeCell ref="E40:F40"/>
    <mergeCell ref="E41:F41"/>
    <mergeCell ref="E42:F42"/>
    <mergeCell ref="H33:I33"/>
    <mergeCell ref="H34:I34"/>
    <mergeCell ref="H35:I35"/>
    <mergeCell ref="H36:I36"/>
    <mergeCell ref="E35:F35"/>
    <mergeCell ref="E36:F36"/>
    <mergeCell ref="E37:F37"/>
    <mergeCell ref="E38:F38"/>
    <mergeCell ref="E39:F39"/>
    <mergeCell ref="K44:N44"/>
    <mergeCell ref="H44:I44"/>
    <mergeCell ref="F44:G44"/>
    <mergeCell ref="H42:I42"/>
    <mergeCell ref="B2:N2"/>
    <mergeCell ref="K9:N9"/>
    <mergeCell ref="K22:N22"/>
    <mergeCell ref="E3:N8"/>
    <mergeCell ref="K31:N31"/>
    <mergeCell ref="H37:I37"/>
    <mergeCell ref="H38:I38"/>
    <mergeCell ref="H39:I39"/>
    <mergeCell ref="H40:I40"/>
    <mergeCell ref="H41:I41"/>
    <mergeCell ref="E33:F33"/>
    <mergeCell ref="E34:F34"/>
    <mergeCell ref="H46:I46"/>
    <mergeCell ref="H47:I47"/>
    <mergeCell ref="H48:I48"/>
    <mergeCell ref="H49:I49"/>
    <mergeCell ref="F46:G46"/>
    <mergeCell ref="F47:G47"/>
    <mergeCell ref="F48:G48"/>
    <mergeCell ref="F49:G49"/>
  </mergeCells>
  <printOptions horizontalCentered="1" verticalCentered="1"/>
  <pageMargins left="0.23622047244094491" right="0.23622047244094491" top="0.15748031496062992" bottom="0.15748031496062992" header="0.31496062992125984" footer="0.31496062992125984"/>
  <pageSetup scale="69"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E578-DA4B-492E-B750-6DE8FC7E986C}">
  <dimension ref="B5:Z267"/>
  <sheetViews>
    <sheetView topLeftCell="H1" workbookViewId="0">
      <selection activeCell="Z47" sqref="Z47"/>
    </sheetView>
  </sheetViews>
  <sheetFormatPr defaultRowHeight="14.4" x14ac:dyDescent="0.3"/>
  <cols>
    <col min="21" max="21" width="23.33203125" customWidth="1"/>
    <col min="22" max="22" width="10.44140625" bestFit="1" customWidth="1"/>
    <col min="23" max="23" width="9" bestFit="1" customWidth="1"/>
    <col min="24" max="24" width="8" bestFit="1" customWidth="1"/>
  </cols>
  <sheetData>
    <row r="5" spans="2:17" x14ac:dyDescent="0.3">
      <c r="B5" s="120" t="s">
        <v>358</v>
      </c>
      <c r="C5" s="121" t="s">
        <v>359</v>
      </c>
      <c r="D5" s="121" t="s">
        <v>1651</v>
      </c>
      <c r="O5" s="259" t="s">
        <v>1652</v>
      </c>
      <c r="P5">
        <v>625.20000000000005</v>
      </c>
      <c r="Q5">
        <v>2475325</v>
      </c>
    </row>
    <row r="6" spans="2:17" x14ac:dyDescent="0.3">
      <c r="B6" s="258" t="s">
        <v>1652</v>
      </c>
      <c r="C6" s="257">
        <v>625.20000000000005</v>
      </c>
      <c r="D6" s="257">
        <v>2475325</v>
      </c>
      <c r="O6" s="259" t="s">
        <v>361</v>
      </c>
      <c r="P6">
        <v>633</v>
      </c>
      <c r="Q6">
        <v>17868760</v>
      </c>
    </row>
    <row r="7" spans="2:17" x14ac:dyDescent="0.3">
      <c r="B7" s="258" t="s">
        <v>361</v>
      </c>
      <c r="C7" s="257">
        <v>633</v>
      </c>
      <c r="D7" s="257">
        <v>17868760</v>
      </c>
      <c r="O7" s="259" t="s">
        <v>362</v>
      </c>
      <c r="P7">
        <v>667.55</v>
      </c>
      <c r="Q7">
        <v>7632637</v>
      </c>
    </row>
    <row r="8" spans="2:17" x14ac:dyDescent="0.3">
      <c r="B8" s="258" t="s">
        <v>362</v>
      </c>
      <c r="C8" s="257">
        <v>667.55</v>
      </c>
      <c r="D8" s="257">
        <v>7632637</v>
      </c>
      <c r="O8" s="259" t="s">
        <v>363</v>
      </c>
      <c r="P8">
        <v>660.9</v>
      </c>
      <c r="Q8">
        <v>18256985</v>
      </c>
    </row>
    <row r="9" spans="2:17" x14ac:dyDescent="0.3">
      <c r="B9" s="258" t="s">
        <v>363</v>
      </c>
      <c r="C9" s="257">
        <v>660.9</v>
      </c>
      <c r="D9" s="257">
        <v>18256985</v>
      </c>
      <c r="O9" s="259" t="s">
        <v>364</v>
      </c>
      <c r="P9">
        <v>644.4</v>
      </c>
      <c r="Q9">
        <v>9667567</v>
      </c>
    </row>
    <row r="10" spans="2:17" x14ac:dyDescent="0.3">
      <c r="B10" s="258" t="s">
        <v>364</v>
      </c>
      <c r="C10" s="257">
        <v>644.4</v>
      </c>
      <c r="D10" s="257">
        <v>9667567</v>
      </c>
      <c r="O10" s="259" t="s">
        <v>365</v>
      </c>
      <c r="P10">
        <v>637.15</v>
      </c>
      <c r="Q10">
        <v>9894879</v>
      </c>
    </row>
    <row r="11" spans="2:17" x14ac:dyDescent="0.3">
      <c r="B11" s="258" t="s">
        <v>365</v>
      </c>
      <c r="C11" s="257">
        <v>637.15</v>
      </c>
      <c r="D11" s="257">
        <v>9894879</v>
      </c>
      <c r="O11" s="259" t="s">
        <v>366</v>
      </c>
      <c r="P11">
        <v>643.25</v>
      </c>
      <c r="Q11">
        <v>12691816</v>
      </c>
    </row>
    <row r="12" spans="2:17" x14ac:dyDescent="0.3">
      <c r="B12" s="258" t="s">
        <v>366</v>
      </c>
      <c r="C12" s="257">
        <v>643.25</v>
      </c>
      <c r="D12" s="257">
        <v>12691816</v>
      </c>
      <c r="O12" s="259" t="s">
        <v>367</v>
      </c>
      <c r="P12">
        <v>617.6</v>
      </c>
      <c r="Q12">
        <v>7102525</v>
      </c>
    </row>
    <row r="13" spans="2:17" x14ac:dyDescent="0.3">
      <c r="B13" s="258" t="s">
        <v>367</v>
      </c>
      <c r="C13" s="257">
        <v>617.6</v>
      </c>
      <c r="D13" s="257">
        <v>7102525</v>
      </c>
      <c r="O13" s="259" t="s">
        <v>368</v>
      </c>
      <c r="P13">
        <v>623.95000000000005</v>
      </c>
      <c r="Q13">
        <v>12623277</v>
      </c>
    </row>
    <row r="14" spans="2:17" x14ac:dyDescent="0.3">
      <c r="B14" s="258" t="s">
        <v>368</v>
      </c>
      <c r="C14" s="257">
        <v>623.95000000000005</v>
      </c>
      <c r="D14" s="257">
        <v>12623277</v>
      </c>
      <c r="O14" s="259" t="s">
        <v>369</v>
      </c>
      <c r="P14">
        <v>627.54999999999995</v>
      </c>
      <c r="Q14">
        <v>19007259</v>
      </c>
    </row>
    <row r="15" spans="2:17" x14ac:dyDescent="0.3">
      <c r="B15" s="258" t="s">
        <v>369</v>
      </c>
      <c r="C15" s="257">
        <v>627.54999999999995</v>
      </c>
      <c r="D15" s="257">
        <v>19007259</v>
      </c>
      <c r="O15" s="259" t="s">
        <v>370</v>
      </c>
      <c r="P15">
        <v>632.45000000000005</v>
      </c>
      <c r="Q15">
        <v>20203634</v>
      </c>
    </row>
    <row r="16" spans="2:17" x14ac:dyDescent="0.3">
      <c r="B16" s="258" t="s">
        <v>370</v>
      </c>
      <c r="C16" s="257">
        <v>632.45000000000005</v>
      </c>
      <c r="D16" s="257">
        <v>20203634</v>
      </c>
      <c r="O16" s="259" t="s">
        <v>371</v>
      </c>
      <c r="P16">
        <v>630.20000000000005</v>
      </c>
      <c r="Q16">
        <v>9390369</v>
      </c>
    </row>
    <row r="17" spans="2:17" x14ac:dyDescent="0.3">
      <c r="B17" s="258" t="s">
        <v>371</v>
      </c>
      <c r="C17" s="257">
        <v>630.20000000000005</v>
      </c>
      <c r="D17" s="257">
        <v>9390369</v>
      </c>
      <c r="O17" s="259" t="s">
        <v>372</v>
      </c>
      <c r="P17">
        <v>627.30999999999995</v>
      </c>
      <c r="Q17">
        <v>16046668</v>
      </c>
    </row>
    <row r="18" spans="2:17" x14ac:dyDescent="0.3">
      <c r="B18" s="258" t="s">
        <v>372</v>
      </c>
      <c r="C18" s="257">
        <v>627.30999999999995</v>
      </c>
      <c r="D18" s="257">
        <v>16046668</v>
      </c>
      <c r="O18" s="259" t="s">
        <v>373</v>
      </c>
      <c r="P18">
        <v>603.86</v>
      </c>
      <c r="Q18">
        <v>11331582</v>
      </c>
    </row>
    <row r="19" spans="2:17" x14ac:dyDescent="0.3">
      <c r="B19" s="258" t="s">
        <v>373</v>
      </c>
      <c r="C19" s="257">
        <v>603.86</v>
      </c>
      <c r="D19" s="257">
        <v>11331582</v>
      </c>
      <c r="O19" s="259" t="s">
        <v>374</v>
      </c>
      <c r="P19">
        <v>598.14</v>
      </c>
      <c r="Q19">
        <v>9912218</v>
      </c>
    </row>
    <row r="20" spans="2:17" x14ac:dyDescent="0.3">
      <c r="B20" s="258" t="s">
        <v>374</v>
      </c>
      <c r="C20" s="257">
        <v>598.14</v>
      </c>
      <c r="D20" s="257">
        <v>9912218</v>
      </c>
      <c r="O20" s="259" t="s">
        <v>375</v>
      </c>
      <c r="P20">
        <v>587.42999999999995</v>
      </c>
      <c r="Q20">
        <v>12762613</v>
      </c>
    </row>
    <row r="21" spans="2:17" x14ac:dyDescent="0.3">
      <c r="B21" s="258" t="s">
        <v>375</v>
      </c>
      <c r="C21" s="257">
        <v>587.42999999999995</v>
      </c>
      <c r="D21" s="257">
        <v>12762613</v>
      </c>
      <c r="O21" s="259" t="s">
        <v>376</v>
      </c>
      <c r="P21">
        <v>606.04999999999995</v>
      </c>
      <c r="Q21">
        <v>23377157</v>
      </c>
    </row>
    <row r="22" spans="2:17" x14ac:dyDescent="0.3">
      <c r="B22" s="258" t="s">
        <v>376</v>
      </c>
      <c r="C22" s="257">
        <v>606.04999999999995</v>
      </c>
      <c r="D22" s="257">
        <v>23377157</v>
      </c>
      <c r="O22" s="259" t="s">
        <v>377</v>
      </c>
      <c r="P22">
        <v>610.49</v>
      </c>
      <c r="Q22">
        <v>54891671</v>
      </c>
    </row>
    <row r="23" spans="2:17" x14ac:dyDescent="0.3">
      <c r="B23" s="258" t="s">
        <v>377</v>
      </c>
      <c r="C23" s="257">
        <v>610.49</v>
      </c>
      <c r="D23" s="257">
        <v>54891671</v>
      </c>
      <c r="O23" s="259" t="s">
        <v>378</v>
      </c>
      <c r="P23">
        <v>542.78</v>
      </c>
      <c r="Q23">
        <v>23003651</v>
      </c>
    </row>
    <row r="24" spans="2:17" x14ac:dyDescent="0.3">
      <c r="B24" s="258" t="s">
        <v>378</v>
      </c>
      <c r="C24" s="257">
        <v>542.78</v>
      </c>
      <c r="D24" s="257">
        <v>23003651</v>
      </c>
      <c r="O24" s="259" t="s">
        <v>379</v>
      </c>
      <c r="P24">
        <v>555.72</v>
      </c>
      <c r="Q24">
        <v>11439091</v>
      </c>
    </row>
    <row r="25" spans="2:17" x14ac:dyDescent="0.3">
      <c r="B25" s="258" t="s">
        <v>379</v>
      </c>
      <c r="C25" s="257">
        <v>555.72</v>
      </c>
      <c r="D25" s="257">
        <v>11439091</v>
      </c>
      <c r="O25" s="259" t="s">
        <v>380</v>
      </c>
      <c r="P25">
        <v>537.70000000000005</v>
      </c>
      <c r="Q25">
        <v>14023713</v>
      </c>
    </row>
    <row r="26" spans="2:17" x14ac:dyDescent="0.3">
      <c r="B26" s="258" t="s">
        <v>380</v>
      </c>
      <c r="C26" s="257">
        <v>537.70000000000005</v>
      </c>
      <c r="D26" s="257">
        <v>14023713</v>
      </c>
      <c r="O26" s="259" t="s">
        <v>381</v>
      </c>
      <c r="P26">
        <v>548.45000000000005</v>
      </c>
      <c r="Q26">
        <v>29806470</v>
      </c>
    </row>
    <row r="27" spans="2:17" x14ac:dyDescent="0.3">
      <c r="B27" s="258" t="s">
        <v>381</v>
      </c>
      <c r="C27" s="257">
        <v>548.45000000000005</v>
      </c>
      <c r="D27" s="257">
        <v>29806470</v>
      </c>
      <c r="O27" s="259" t="s">
        <v>382</v>
      </c>
      <c r="P27">
        <v>529.48</v>
      </c>
      <c r="Q27">
        <v>17566107</v>
      </c>
    </row>
    <row r="28" spans="2:17" x14ac:dyDescent="0.3">
      <c r="B28" s="258" t="s">
        <v>382</v>
      </c>
      <c r="C28" s="257">
        <v>529.48</v>
      </c>
      <c r="D28" s="257">
        <v>17566107</v>
      </c>
      <c r="O28" s="259" t="s">
        <v>383</v>
      </c>
      <c r="P28">
        <v>506.83</v>
      </c>
      <c r="Q28">
        <v>7363492</v>
      </c>
    </row>
    <row r="29" spans="2:17" x14ac:dyDescent="0.3">
      <c r="B29" s="258" t="s">
        <v>383</v>
      </c>
      <c r="C29" s="257">
        <v>506.83</v>
      </c>
      <c r="D29" s="257">
        <v>7363492</v>
      </c>
      <c r="O29" s="259" t="s">
        <v>384</v>
      </c>
      <c r="P29">
        <v>502.05</v>
      </c>
      <c r="Q29">
        <v>11316824</v>
      </c>
    </row>
    <row r="30" spans="2:17" x14ac:dyDescent="0.3">
      <c r="B30" s="258" t="s">
        <v>384</v>
      </c>
      <c r="C30" s="257">
        <v>502.05</v>
      </c>
      <c r="D30" s="257">
        <v>11316824</v>
      </c>
      <c r="O30" s="259" t="s">
        <v>385</v>
      </c>
      <c r="P30">
        <v>498.47</v>
      </c>
      <c r="Q30">
        <v>11964365</v>
      </c>
    </row>
    <row r="31" spans="2:17" x14ac:dyDescent="0.3">
      <c r="B31" s="258" t="s">
        <v>385</v>
      </c>
      <c r="C31" s="257">
        <v>498.47</v>
      </c>
      <c r="D31" s="257">
        <v>11964365</v>
      </c>
      <c r="O31" s="259" t="s">
        <v>386</v>
      </c>
      <c r="P31">
        <v>505.73</v>
      </c>
      <c r="Q31">
        <v>21259788</v>
      </c>
    </row>
    <row r="32" spans="2:17" x14ac:dyDescent="0.3">
      <c r="B32" s="258" t="s">
        <v>386</v>
      </c>
      <c r="C32" s="257">
        <v>505.73</v>
      </c>
      <c r="D32" s="257">
        <v>21259788</v>
      </c>
      <c r="O32" s="259" t="s">
        <v>387</v>
      </c>
      <c r="P32">
        <v>520.91999999999996</v>
      </c>
      <c r="Q32">
        <v>6912626</v>
      </c>
    </row>
    <row r="33" spans="2:26" x14ac:dyDescent="0.3">
      <c r="B33" s="258" t="s">
        <v>387</v>
      </c>
      <c r="C33" s="257">
        <v>520.91999999999996</v>
      </c>
      <c r="D33" s="257">
        <v>6912626</v>
      </c>
      <c r="O33" s="259" t="s">
        <v>388</v>
      </c>
      <c r="P33">
        <v>518.58000000000004</v>
      </c>
      <c r="Q33">
        <v>6289594</v>
      </c>
    </row>
    <row r="34" spans="2:26" x14ac:dyDescent="0.3">
      <c r="B34" s="258" t="s">
        <v>388</v>
      </c>
      <c r="C34" s="257">
        <v>518.58000000000004</v>
      </c>
      <c r="D34" s="257">
        <v>6289594</v>
      </c>
      <c r="O34" s="259" t="s">
        <v>389</v>
      </c>
      <c r="P34">
        <v>524.29999999999995</v>
      </c>
      <c r="Q34">
        <v>8421159</v>
      </c>
    </row>
    <row r="35" spans="2:26" x14ac:dyDescent="0.3">
      <c r="B35" s="258" t="s">
        <v>389</v>
      </c>
      <c r="C35" s="257">
        <v>524.29999999999995</v>
      </c>
      <c r="D35" s="257">
        <v>8421159</v>
      </c>
      <c r="O35" s="259" t="s">
        <v>390</v>
      </c>
      <c r="P35">
        <v>532.97</v>
      </c>
      <c r="Q35">
        <v>5472280</v>
      </c>
    </row>
    <row r="36" spans="2:26" x14ac:dyDescent="0.3">
      <c r="B36" s="258" t="s">
        <v>390</v>
      </c>
      <c r="C36" s="257">
        <v>532.97</v>
      </c>
      <c r="D36" s="257">
        <v>5472280</v>
      </c>
      <c r="O36" s="259" t="s">
        <v>391</v>
      </c>
      <c r="P36">
        <v>538.79</v>
      </c>
      <c r="Q36">
        <v>10048023</v>
      </c>
      <c r="W36">
        <v>10000000</v>
      </c>
    </row>
    <row r="37" spans="2:26" ht="15" thickBot="1" x14ac:dyDescent="0.35">
      <c r="B37" s="258" t="s">
        <v>391</v>
      </c>
      <c r="C37" s="257">
        <v>538.79</v>
      </c>
      <c r="D37" s="257">
        <v>10048023</v>
      </c>
      <c r="O37" s="259" t="s">
        <v>392</v>
      </c>
      <c r="P37">
        <v>533.02</v>
      </c>
      <c r="Q37">
        <v>6472648</v>
      </c>
      <c r="X37" t="s">
        <v>1664</v>
      </c>
    </row>
    <row r="38" spans="2:26" ht="21" thickBot="1" x14ac:dyDescent="0.35">
      <c r="B38" s="258" t="s">
        <v>392</v>
      </c>
      <c r="C38" s="257">
        <v>533.02</v>
      </c>
      <c r="D38" s="257">
        <v>6472648</v>
      </c>
      <c r="O38" s="259" t="s">
        <v>393</v>
      </c>
      <c r="P38">
        <v>542.17999999999995</v>
      </c>
      <c r="Q38">
        <v>4854761</v>
      </c>
      <c r="U38" s="264" t="s">
        <v>1655</v>
      </c>
      <c r="V38" s="72">
        <v>21.779399999999999</v>
      </c>
      <c r="W38" s="265">
        <v>12.29</v>
      </c>
      <c r="X38" s="266">
        <f>V38*'Data Sheet'!$B$8</f>
        <v>13627.370580000001</v>
      </c>
    </row>
    <row r="39" spans="2:26" ht="15" thickBot="1" x14ac:dyDescent="0.35">
      <c r="B39" s="258" t="s">
        <v>393</v>
      </c>
      <c r="C39" s="257">
        <v>542.17999999999995</v>
      </c>
      <c r="D39" s="257">
        <v>4854761</v>
      </c>
      <c r="O39" s="259" t="s">
        <v>394</v>
      </c>
      <c r="P39">
        <v>536.9</v>
      </c>
      <c r="Q39">
        <v>7724595</v>
      </c>
      <c r="U39" s="260" t="s">
        <v>1656</v>
      </c>
      <c r="V39" s="72">
        <v>20.908380000000001</v>
      </c>
      <c r="W39" s="261">
        <v>11.8</v>
      </c>
      <c r="X39" s="266">
        <f>V39*'Data Sheet'!$B$8</f>
        <v>13082.373366000002</v>
      </c>
      <c r="Z39" t="s">
        <v>1654</v>
      </c>
    </row>
    <row r="40" spans="2:26" ht="21" thickBot="1" x14ac:dyDescent="0.35">
      <c r="B40" s="258" t="s">
        <v>394</v>
      </c>
      <c r="C40" s="257">
        <v>536.9</v>
      </c>
      <c r="D40" s="257">
        <v>7724595</v>
      </c>
      <c r="O40" s="259" t="s">
        <v>395</v>
      </c>
      <c r="P40">
        <v>542.33000000000004</v>
      </c>
      <c r="Q40">
        <v>20831947</v>
      </c>
      <c r="U40" s="260" t="s">
        <v>1657</v>
      </c>
      <c r="V40" s="72">
        <v>19.337997999999999</v>
      </c>
      <c r="W40" s="261">
        <v>10.91</v>
      </c>
      <c r="X40" s="266">
        <f>V40*'Data Sheet'!$B$8</f>
        <v>12099.7853486</v>
      </c>
    </row>
    <row r="41" spans="2:26" ht="21" thickBot="1" x14ac:dyDescent="0.35">
      <c r="B41" s="258" t="s">
        <v>395</v>
      </c>
      <c r="C41" s="257">
        <v>542.33000000000004</v>
      </c>
      <c r="D41" s="257">
        <v>20831947</v>
      </c>
      <c r="O41" s="259" t="s">
        <v>396</v>
      </c>
      <c r="P41">
        <v>529.33000000000004</v>
      </c>
      <c r="Q41">
        <v>4095201</v>
      </c>
      <c r="U41" s="260" t="s">
        <v>1659</v>
      </c>
      <c r="V41" s="72">
        <v>18.921199999999999</v>
      </c>
      <c r="W41" s="261">
        <v>10.68</v>
      </c>
      <c r="X41" s="266">
        <f>V41*'Data Sheet'!$B$8</f>
        <v>11838.994839999999</v>
      </c>
    </row>
    <row r="42" spans="2:26" ht="31.2" thickBot="1" x14ac:dyDescent="0.35">
      <c r="B42" s="258" t="s">
        <v>396</v>
      </c>
      <c r="C42" s="257">
        <v>529.33000000000004</v>
      </c>
      <c r="D42" s="257">
        <v>4095201</v>
      </c>
      <c r="O42" s="259" t="s">
        <v>397</v>
      </c>
      <c r="P42">
        <v>539.99</v>
      </c>
      <c r="Q42">
        <v>9113123</v>
      </c>
      <c r="U42" s="260" t="s">
        <v>1658</v>
      </c>
      <c r="V42" s="72">
        <v>15.8655604</v>
      </c>
      <c r="W42" s="261">
        <v>8.9499999999999993</v>
      </c>
      <c r="X42" s="266">
        <f>V42*'Data Sheet'!$B$8</f>
        <v>9927.0811422799998</v>
      </c>
    </row>
    <row r="43" spans="2:26" ht="21" thickBot="1" x14ac:dyDescent="0.35">
      <c r="B43" s="258" t="s">
        <v>397</v>
      </c>
      <c r="C43" s="257">
        <v>539.99</v>
      </c>
      <c r="D43" s="257">
        <v>9113123</v>
      </c>
      <c r="O43" s="259" t="s">
        <v>398</v>
      </c>
      <c r="P43">
        <v>547.36</v>
      </c>
      <c r="Q43">
        <v>9137067</v>
      </c>
      <c r="U43" s="260" t="s">
        <v>1660</v>
      </c>
      <c r="V43" s="72">
        <v>10.614750300000001</v>
      </c>
      <c r="W43" s="261">
        <v>5.99</v>
      </c>
      <c r="X43" s="266">
        <f>V43*'Data Sheet'!$B$8</f>
        <v>6641.6492627100006</v>
      </c>
    </row>
    <row r="44" spans="2:26" ht="21" thickBot="1" x14ac:dyDescent="0.35">
      <c r="B44" s="258" t="s">
        <v>398</v>
      </c>
      <c r="C44" s="257">
        <v>547.36</v>
      </c>
      <c r="D44" s="257">
        <v>9137067</v>
      </c>
      <c r="O44" s="259" t="s">
        <v>399</v>
      </c>
      <c r="P44">
        <v>566.62</v>
      </c>
      <c r="Q44">
        <v>11252183</v>
      </c>
      <c r="U44" s="260" t="s">
        <v>1661</v>
      </c>
      <c r="V44" s="72">
        <v>6.5828461000000003</v>
      </c>
      <c r="W44" s="261">
        <v>3.71</v>
      </c>
      <c r="X44" s="266">
        <f>V44*'Data Sheet'!$B$8</f>
        <v>4118.8868047700007</v>
      </c>
    </row>
    <row r="45" spans="2:26" ht="21" thickBot="1" x14ac:dyDescent="0.35">
      <c r="B45" s="258" t="s">
        <v>399</v>
      </c>
      <c r="C45" s="257">
        <v>566.62</v>
      </c>
      <c r="D45" s="257">
        <v>11252183</v>
      </c>
      <c r="O45" s="259" t="s">
        <v>400</v>
      </c>
      <c r="P45">
        <v>554.82000000000005</v>
      </c>
      <c r="Q45">
        <v>12597273</v>
      </c>
      <c r="U45" s="260" t="s">
        <v>1662</v>
      </c>
      <c r="V45" s="72">
        <v>5.3012986</v>
      </c>
      <c r="W45" s="261">
        <v>2.99</v>
      </c>
      <c r="X45" s="266">
        <f>V45*'Data Sheet'!$B$8</f>
        <v>3317.0225340200004</v>
      </c>
    </row>
    <row r="46" spans="2:26" ht="21" thickBot="1" x14ac:dyDescent="0.35">
      <c r="B46" s="258" t="s">
        <v>400</v>
      </c>
      <c r="C46" s="257">
        <v>554.82000000000005</v>
      </c>
      <c r="D46" s="257">
        <v>12597273</v>
      </c>
      <c r="O46" s="259" t="s">
        <v>401</v>
      </c>
      <c r="P46">
        <v>527.04</v>
      </c>
      <c r="Q46">
        <v>18562244</v>
      </c>
      <c r="U46" s="260" t="s">
        <v>1663</v>
      </c>
      <c r="V46" s="72">
        <v>2.6506492000000001</v>
      </c>
      <c r="W46" s="261">
        <v>1.5</v>
      </c>
      <c r="X46" s="266">
        <f>V46*'Data Sheet'!$B$8</f>
        <v>1658.5112044400003</v>
      </c>
    </row>
    <row r="47" spans="2:26" ht="21" thickBot="1" x14ac:dyDescent="0.35">
      <c r="B47" s="258" t="s">
        <v>401</v>
      </c>
      <c r="C47" s="257">
        <v>527.04</v>
      </c>
      <c r="D47" s="257">
        <v>18562244</v>
      </c>
      <c r="O47" s="259" t="s">
        <v>402</v>
      </c>
      <c r="P47">
        <v>537.4</v>
      </c>
      <c r="Q47">
        <v>9059804</v>
      </c>
      <c r="U47" s="262" t="s">
        <v>1653</v>
      </c>
      <c r="V47" s="72">
        <v>1.9236104000000001</v>
      </c>
      <c r="W47" s="263">
        <v>1.0900000000000001</v>
      </c>
      <c r="X47" s="266">
        <f>V47*'Data Sheet'!$B$8</f>
        <v>1203.6030272800001</v>
      </c>
    </row>
    <row r="48" spans="2:26" x14ac:dyDescent="0.3">
      <c r="B48" s="258" t="s">
        <v>402</v>
      </c>
      <c r="C48" s="257">
        <v>537.4</v>
      </c>
      <c r="D48" s="257">
        <v>9059804</v>
      </c>
      <c r="O48" s="259" t="s">
        <v>403</v>
      </c>
      <c r="P48">
        <v>545.16999999999996</v>
      </c>
      <c r="Q48">
        <v>8507384</v>
      </c>
    </row>
    <row r="49" spans="2:23" x14ac:dyDescent="0.3">
      <c r="B49" s="258" t="s">
        <v>403</v>
      </c>
      <c r="C49" s="257">
        <v>545.16999999999996</v>
      </c>
      <c r="D49" s="257">
        <v>8507384</v>
      </c>
      <c r="O49" s="259" t="s">
        <v>404</v>
      </c>
      <c r="P49">
        <v>538.84</v>
      </c>
      <c r="Q49">
        <v>8819300</v>
      </c>
    </row>
    <row r="50" spans="2:23" x14ac:dyDescent="0.3">
      <c r="B50" s="258" t="s">
        <v>404</v>
      </c>
      <c r="C50" s="257">
        <v>538.84</v>
      </c>
      <c r="D50" s="257">
        <v>8819300</v>
      </c>
      <c r="O50" s="259" t="s">
        <v>405</v>
      </c>
      <c r="P50">
        <v>535.05999999999995</v>
      </c>
      <c r="Q50">
        <v>5212091</v>
      </c>
    </row>
    <row r="51" spans="2:23" x14ac:dyDescent="0.3">
      <c r="B51" s="258" t="s">
        <v>405</v>
      </c>
      <c r="C51" s="257">
        <v>535.05999999999995</v>
      </c>
      <c r="D51" s="257">
        <v>5212091</v>
      </c>
      <c r="O51" s="259" t="s">
        <v>406</v>
      </c>
      <c r="P51">
        <v>538.39</v>
      </c>
      <c r="Q51">
        <v>7503185</v>
      </c>
      <c r="U51" t="s">
        <v>1669</v>
      </c>
      <c r="V51" s="5">
        <v>0.66249999999999998</v>
      </c>
    </row>
    <row r="52" spans="2:23" x14ac:dyDescent="0.3">
      <c r="B52" s="258" t="s">
        <v>406</v>
      </c>
      <c r="C52" s="257">
        <v>538.39</v>
      </c>
      <c r="D52" s="257">
        <v>7503185</v>
      </c>
      <c r="O52" s="259" t="s">
        <v>407</v>
      </c>
      <c r="P52">
        <v>528.34</v>
      </c>
      <c r="Q52">
        <v>4807078</v>
      </c>
      <c r="U52" t="s">
        <v>1670</v>
      </c>
      <c r="V52" s="5">
        <v>0.14990000000000001</v>
      </c>
    </row>
    <row r="53" spans="2:23" x14ac:dyDescent="0.3">
      <c r="B53" s="258" t="s">
        <v>407</v>
      </c>
      <c r="C53" s="257">
        <v>528.34</v>
      </c>
      <c r="D53" s="257">
        <v>4807078</v>
      </c>
      <c r="O53" s="259" t="s">
        <v>408</v>
      </c>
      <c r="P53">
        <v>530.47</v>
      </c>
      <c r="Q53">
        <v>9367669</v>
      </c>
      <c r="U53" t="s">
        <v>1671</v>
      </c>
      <c r="V53" s="5">
        <v>0.13450000000000001</v>
      </c>
    </row>
    <row r="54" spans="2:23" ht="28.8" x14ac:dyDescent="0.3">
      <c r="B54" s="258" t="s">
        <v>408</v>
      </c>
      <c r="C54" s="257">
        <v>530.47</v>
      </c>
      <c r="D54" s="257">
        <v>9367669</v>
      </c>
      <c r="O54" s="259" t="s">
        <v>409</v>
      </c>
      <c r="P54">
        <v>519.63</v>
      </c>
      <c r="Q54">
        <v>8077126</v>
      </c>
      <c r="U54" s="267" t="s">
        <v>1676</v>
      </c>
      <c r="V54" s="5">
        <f>W55+W54</f>
        <v>5.33E-2</v>
      </c>
      <c r="W54" s="5">
        <v>6.9999999999999999E-4</v>
      </c>
    </row>
    <row r="55" spans="2:23" x14ac:dyDescent="0.3">
      <c r="B55" s="258" t="s">
        <v>409</v>
      </c>
      <c r="C55" s="257">
        <v>519.63</v>
      </c>
      <c r="D55" s="257">
        <v>8077126</v>
      </c>
      <c r="O55" s="259" t="s">
        <v>410</v>
      </c>
      <c r="P55">
        <v>519.88</v>
      </c>
      <c r="Q55">
        <v>16792857</v>
      </c>
      <c r="W55" s="5">
        <v>5.2600000000000001E-2</v>
      </c>
    </row>
    <row r="56" spans="2:23" x14ac:dyDescent="0.3">
      <c r="B56" s="258" t="s">
        <v>410</v>
      </c>
      <c r="C56" s="257">
        <v>519.88</v>
      </c>
      <c r="D56" s="257">
        <v>16792857</v>
      </c>
      <c r="O56" s="259" t="s">
        <v>411</v>
      </c>
      <c r="P56">
        <v>533.79</v>
      </c>
      <c r="Q56">
        <v>5442815</v>
      </c>
    </row>
    <row r="57" spans="2:23" x14ac:dyDescent="0.3">
      <c r="B57" s="258" t="s">
        <v>411</v>
      </c>
      <c r="C57" s="257">
        <v>533.79</v>
      </c>
      <c r="D57" s="257">
        <v>5442815</v>
      </c>
      <c r="O57" s="259" t="s">
        <v>412</v>
      </c>
      <c r="P57">
        <v>542.02</v>
      </c>
      <c r="Q57">
        <v>5592439</v>
      </c>
    </row>
    <row r="58" spans="2:23" x14ac:dyDescent="0.3">
      <c r="B58" s="258" t="s">
        <v>412</v>
      </c>
      <c r="C58" s="257">
        <v>542.02</v>
      </c>
      <c r="D58" s="257">
        <v>5592439</v>
      </c>
      <c r="O58" s="259" t="s">
        <v>413</v>
      </c>
      <c r="P58">
        <v>546.41999999999996</v>
      </c>
      <c r="Q58">
        <v>7112583</v>
      </c>
    </row>
    <row r="59" spans="2:23" x14ac:dyDescent="0.3">
      <c r="B59" s="258" t="s">
        <v>413</v>
      </c>
      <c r="C59" s="257">
        <v>546.41999999999996</v>
      </c>
      <c r="D59" s="257">
        <v>7112583</v>
      </c>
      <c r="O59" s="259" t="s">
        <v>418</v>
      </c>
      <c r="P59">
        <v>556.03</v>
      </c>
      <c r="Q59">
        <v>7063951</v>
      </c>
    </row>
    <row r="60" spans="2:23" x14ac:dyDescent="0.3">
      <c r="B60" s="258" t="s">
        <v>418</v>
      </c>
      <c r="C60" s="257">
        <v>556.03</v>
      </c>
      <c r="D60" s="257">
        <v>7063951</v>
      </c>
      <c r="O60" s="259" t="s">
        <v>419</v>
      </c>
      <c r="P60">
        <v>560.19000000000005</v>
      </c>
      <c r="Q60">
        <v>6446255</v>
      </c>
    </row>
    <row r="61" spans="2:23" x14ac:dyDescent="0.3">
      <c r="B61" s="258" t="s">
        <v>419</v>
      </c>
      <c r="C61" s="257">
        <v>560.19000000000005</v>
      </c>
      <c r="D61" s="257">
        <v>6446255</v>
      </c>
      <c r="O61" s="259" t="s">
        <v>420</v>
      </c>
      <c r="P61">
        <v>561.78</v>
      </c>
      <c r="Q61">
        <v>4620822</v>
      </c>
    </row>
    <row r="62" spans="2:23" x14ac:dyDescent="0.3">
      <c r="B62" s="258" t="s">
        <v>420</v>
      </c>
      <c r="C62" s="257">
        <v>561.78</v>
      </c>
      <c r="D62" s="257">
        <v>4620822</v>
      </c>
      <c r="O62" s="259" t="s">
        <v>421</v>
      </c>
      <c r="P62">
        <v>548.16</v>
      </c>
      <c r="Q62">
        <v>10630873</v>
      </c>
    </row>
    <row r="63" spans="2:23" x14ac:dyDescent="0.3">
      <c r="B63" s="258" t="s">
        <v>421</v>
      </c>
      <c r="C63" s="257">
        <v>548.16</v>
      </c>
      <c r="D63" s="257">
        <v>10630873</v>
      </c>
      <c r="O63" s="259" t="s">
        <v>422</v>
      </c>
      <c r="P63">
        <v>552.80999999999995</v>
      </c>
      <c r="Q63">
        <v>7646727</v>
      </c>
    </row>
    <row r="64" spans="2:23" x14ac:dyDescent="0.3">
      <c r="B64" s="258" t="s">
        <v>422</v>
      </c>
      <c r="C64" s="257">
        <v>552.80999999999995</v>
      </c>
      <c r="D64" s="257">
        <v>7646727</v>
      </c>
      <c r="O64" s="259" t="s">
        <v>423</v>
      </c>
      <c r="P64">
        <v>560.19000000000005</v>
      </c>
      <c r="Q64">
        <v>5223657</v>
      </c>
    </row>
    <row r="65" spans="2:17" x14ac:dyDescent="0.3">
      <c r="B65" s="258" t="s">
        <v>423</v>
      </c>
      <c r="C65" s="257">
        <v>560.19000000000005</v>
      </c>
      <c r="D65" s="257">
        <v>5223657</v>
      </c>
      <c r="O65" s="259" t="s">
        <v>424</v>
      </c>
      <c r="P65">
        <v>557.87</v>
      </c>
      <c r="Q65">
        <v>7585120</v>
      </c>
    </row>
    <row r="66" spans="2:17" x14ac:dyDescent="0.3">
      <c r="B66" s="258" t="s">
        <v>424</v>
      </c>
      <c r="C66" s="257">
        <v>557.87</v>
      </c>
      <c r="D66" s="257">
        <v>7585120</v>
      </c>
      <c r="O66" s="259" t="s">
        <v>425</v>
      </c>
      <c r="P66">
        <v>564.35</v>
      </c>
      <c r="Q66">
        <v>17309427</v>
      </c>
    </row>
    <row r="67" spans="2:17" x14ac:dyDescent="0.3">
      <c r="B67" s="258" t="s">
        <v>425</v>
      </c>
      <c r="C67" s="257">
        <v>564.35</v>
      </c>
      <c r="D67" s="257">
        <v>17309427</v>
      </c>
      <c r="O67" s="259" t="s">
        <v>426</v>
      </c>
      <c r="P67">
        <v>576.24</v>
      </c>
      <c r="Q67">
        <v>8095124</v>
      </c>
    </row>
    <row r="68" spans="2:17" x14ac:dyDescent="0.3">
      <c r="B68" s="258" t="s">
        <v>426</v>
      </c>
      <c r="C68" s="257">
        <v>576.24</v>
      </c>
      <c r="D68" s="257">
        <v>8095124</v>
      </c>
      <c r="O68" s="259" t="s">
        <v>427</v>
      </c>
      <c r="P68">
        <v>557.28</v>
      </c>
      <c r="Q68">
        <v>8371643</v>
      </c>
    </row>
    <row r="69" spans="2:17" x14ac:dyDescent="0.3">
      <c r="B69" s="258" t="s">
        <v>427</v>
      </c>
      <c r="C69" s="257">
        <v>557.28</v>
      </c>
      <c r="D69" s="257">
        <v>8371643</v>
      </c>
      <c r="O69" s="259" t="s">
        <v>428</v>
      </c>
      <c r="P69">
        <v>578.28</v>
      </c>
      <c r="Q69">
        <v>6527635</v>
      </c>
    </row>
    <row r="70" spans="2:17" x14ac:dyDescent="0.3">
      <c r="B70" s="258" t="s">
        <v>428</v>
      </c>
      <c r="C70" s="257">
        <v>578.28</v>
      </c>
      <c r="D70" s="257">
        <v>6527635</v>
      </c>
      <c r="O70" s="259" t="s">
        <v>429</v>
      </c>
      <c r="P70">
        <v>564.17999999999995</v>
      </c>
      <c r="Q70">
        <v>7838676</v>
      </c>
    </row>
    <row r="71" spans="2:17" x14ac:dyDescent="0.3">
      <c r="B71" s="258" t="s">
        <v>429</v>
      </c>
      <c r="C71" s="257">
        <v>564.17999999999995</v>
      </c>
      <c r="D71" s="257">
        <v>7838676</v>
      </c>
      <c r="O71" s="259" t="s">
        <v>430</v>
      </c>
      <c r="P71">
        <v>564.91999999999996</v>
      </c>
      <c r="Q71">
        <v>6915395</v>
      </c>
    </row>
    <row r="72" spans="2:17" x14ac:dyDescent="0.3">
      <c r="B72" s="258" t="s">
        <v>430</v>
      </c>
      <c r="C72" s="257">
        <v>564.91999999999996</v>
      </c>
      <c r="D72" s="257">
        <v>6915395</v>
      </c>
      <c r="O72" s="259" t="s">
        <v>431</v>
      </c>
      <c r="P72">
        <v>555.46</v>
      </c>
      <c r="Q72">
        <v>7166449</v>
      </c>
    </row>
    <row r="73" spans="2:17" x14ac:dyDescent="0.3">
      <c r="B73" s="258" t="s">
        <v>431</v>
      </c>
      <c r="C73" s="257">
        <v>555.46</v>
      </c>
      <c r="D73" s="257">
        <v>7166449</v>
      </c>
      <c r="O73" s="259" t="s">
        <v>432</v>
      </c>
      <c r="P73">
        <v>562.9</v>
      </c>
      <c r="Q73">
        <v>9498379</v>
      </c>
    </row>
    <row r="74" spans="2:17" x14ac:dyDescent="0.3">
      <c r="B74" s="258" t="s">
        <v>432</v>
      </c>
      <c r="C74" s="257">
        <v>562.9</v>
      </c>
      <c r="D74" s="257">
        <v>9498379</v>
      </c>
      <c r="O74" s="259" t="s">
        <v>433</v>
      </c>
      <c r="P74">
        <v>542.25</v>
      </c>
      <c r="Q74">
        <v>10771159</v>
      </c>
    </row>
    <row r="75" spans="2:17" x14ac:dyDescent="0.3">
      <c r="B75" s="258" t="s">
        <v>433</v>
      </c>
      <c r="C75" s="257">
        <v>542.25</v>
      </c>
      <c r="D75" s="257">
        <v>10771159</v>
      </c>
      <c r="O75" s="259" t="s">
        <v>434</v>
      </c>
      <c r="P75">
        <v>549.39</v>
      </c>
      <c r="Q75">
        <v>11696258</v>
      </c>
    </row>
    <row r="76" spans="2:17" x14ac:dyDescent="0.3">
      <c r="B76" s="258" t="s">
        <v>434</v>
      </c>
      <c r="C76" s="257">
        <v>549.39</v>
      </c>
      <c r="D76" s="257">
        <v>11696258</v>
      </c>
      <c r="O76" s="259" t="s">
        <v>435</v>
      </c>
      <c r="P76">
        <v>534.51</v>
      </c>
      <c r="Q76">
        <v>9592583</v>
      </c>
    </row>
    <row r="77" spans="2:17" x14ac:dyDescent="0.3">
      <c r="B77" s="258" t="s">
        <v>435</v>
      </c>
      <c r="C77" s="257">
        <v>534.51</v>
      </c>
      <c r="D77" s="257">
        <v>9592583</v>
      </c>
      <c r="O77" s="259" t="s">
        <v>436</v>
      </c>
      <c r="P77">
        <v>511.83</v>
      </c>
      <c r="Q77">
        <v>10690573</v>
      </c>
    </row>
    <row r="78" spans="2:17" x14ac:dyDescent="0.3">
      <c r="B78" s="258" t="s">
        <v>436</v>
      </c>
      <c r="C78" s="257">
        <v>511.83</v>
      </c>
      <c r="D78" s="257">
        <v>10690573</v>
      </c>
      <c r="O78" s="259" t="s">
        <v>437</v>
      </c>
      <c r="P78">
        <v>511.09</v>
      </c>
      <c r="Q78">
        <v>10408423</v>
      </c>
    </row>
    <row r="79" spans="2:17" x14ac:dyDescent="0.3">
      <c r="B79" s="258" t="s">
        <v>437</v>
      </c>
      <c r="C79" s="257">
        <v>511.09</v>
      </c>
      <c r="D79" s="257">
        <v>10408423</v>
      </c>
      <c r="O79" s="259" t="s">
        <v>438</v>
      </c>
      <c r="P79">
        <v>497.93</v>
      </c>
      <c r="Q79">
        <v>14618679</v>
      </c>
    </row>
    <row r="80" spans="2:17" x14ac:dyDescent="0.3">
      <c r="B80" s="258" t="s">
        <v>438</v>
      </c>
      <c r="C80" s="257">
        <v>497.93</v>
      </c>
      <c r="D80" s="257">
        <v>14618679</v>
      </c>
      <c r="O80" s="259" t="s">
        <v>439</v>
      </c>
      <c r="P80">
        <v>525.44000000000005</v>
      </c>
      <c r="Q80">
        <v>9248926</v>
      </c>
    </row>
    <row r="81" spans="2:17" x14ac:dyDescent="0.3">
      <c r="B81" s="258" t="s">
        <v>439</v>
      </c>
      <c r="C81" s="257">
        <v>525.44000000000005</v>
      </c>
      <c r="D81" s="257">
        <v>9248926</v>
      </c>
      <c r="O81" s="259" t="s">
        <v>440</v>
      </c>
      <c r="P81">
        <v>517.79</v>
      </c>
      <c r="Q81">
        <v>9517844</v>
      </c>
    </row>
    <row r="82" spans="2:17" x14ac:dyDescent="0.3">
      <c r="B82" s="258" t="s">
        <v>440</v>
      </c>
      <c r="C82" s="257">
        <v>517.79</v>
      </c>
      <c r="D82" s="257">
        <v>9517844</v>
      </c>
      <c r="O82" s="259" t="s">
        <v>441</v>
      </c>
      <c r="P82">
        <v>519.77</v>
      </c>
      <c r="Q82">
        <v>15867682</v>
      </c>
    </row>
    <row r="83" spans="2:17" x14ac:dyDescent="0.3">
      <c r="B83" s="258" t="s">
        <v>441</v>
      </c>
      <c r="C83" s="257">
        <v>519.77</v>
      </c>
      <c r="D83" s="257">
        <v>15867682</v>
      </c>
      <c r="O83" s="259" t="s">
        <v>442</v>
      </c>
      <c r="P83">
        <v>518.53</v>
      </c>
      <c r="Q83">
        <v>7940515</v>
      </c>
    </row>
    <row r="84" spans="2:17" x14ac:dyDescent="0.3">
      <c r="B84" s="258" t="s">
        <v>442</v>
      </c>
      <c r="C84" s="257">
        <v>518.53</v>
      </c>
      <c r="D84" s="257">
        <v>7940515</v>
      </c>
      <c r="O84" s="259" t="s">
        <v>443</v>
      </c>
      <c r="P84">
        <v>537.27</v>
      </c>
      <c r="Q84">
        <v>5658182</v>
      </c>
    </row>
    <row r="85" spans="2:17" x14ac:dyDescent="0.3">
      <c r="B85" s="258" t="s">
        <v>443</v>
      </c>
      <c r="C85" s="257">
        <v>537.27</v>
      </c>
      <c r="D85" s="257">
        <v>5658182</v>
      </c>
      <c r="O85" s="259" t="s">
        <v>444</v>
      </c>
      <c r="P85">
        <v>528.89</v>
      </c>
      <c r="Q85">
        <v>5868820</v>
      </c>
    </row>
    <row r="86" spans="2:17" x14ac:dyDescent="0.3">
      <c r="B86" s="258" t="s">
        <v>444</v>
      </c>
      <c r="C86" s="257">
        <v>528.89</v>
      </c>
      <c r="D86" s="257">
        <v>5868820</v>
      </c>
      <c r="O86" s="259" t="s">
        <v>445</v>
      </c>
      <c r="P86">
        <v>528.64</v>
      </c>
      <c r="Q86">
        <v>9040262</v>
      </c>
    </row>
    <row r="87" spans="2:17" x14ac:dyDescent="0.3">
      <c r="B87" s="258" t="s">
        <v>445</v>
      </c>
      <c r="C87" s="257">
        <v>528.64</v>
      </c>
      <c r="D87" s="257">
        <v>9040262</v>
      </c>
      <c r="O87" s="259" t="s">
        <v>446</v>
      </c>
      <c r="P87">
        <v>522.53</v>
      </c>
      <c r="Q87">
        <v>5020764</v>
      </c>
    </row>
    <row r="88" spans="2:17" x14ac:dyDescent="0.3">
      <c r="B88" s="258" t="s">
        <v>446</v>
      </c>
      <c r="C88" s="257">
        <v>522.53</v>
      </c>
      <c r="D88" s="257">
        <v>5020764</v>
      </c>
      <c r="O88" s="259" t="s">
        <v>447</v>
      </c>
      <c r="P88">
        <v>527.30999999999995</v>
      </c>
      <c r="Q88">
        <v>8030420</v>
      </c>
    </row>
    <row r="89" spans="2:17" x14ac:dyDescent="0.3">
      <c r="B89" s="258" t="s">
        <v>447</v>
      </c>
      <c r="C89" s="257">
        <v>527.30999999999995</v>
      </c>
      <c r="D89" s="257">
        <v>8030420</v>
      </c>
      <c r="O89" s="259" t="s">
        <v>448</v>
      </c>
      <c r="P89">
        <v>527.41</v>
      </c>
      <c r="Q89">
        <v>9024658</v>
      </c>
    </row>
    <row r="90" spans="2:17" x14ac:dyDescent="0.3">
      <c r="B90" s="258" t="s">
        <v>448</v>
      </c>
      <c r="C90" s="257">
        <v>527.41</v>
      </c>
      <c r="D90" s="257">
        <v>9024658</v>
      </c>
      <c r="O90" s="259" t="s">
        <v>449</v>
      </c>
      <c r="P90">
        <v>527.01</v>
      </c>
      <c r="Q90">
        <v>7550022</v>
      </c>
    </row>
    <row r="91" spans="2:17" x14ac:dyDescent="0.3">
      <c r="B91" s="258" t="s">
        <v>449</v>
      </c>
      <c r="C91" s="257">
        <v>527.01</v>
      </c>
      <c r="D91" s="257">
        <v>7550022</v>
      </c>
      <c r="O91" s="259" t="s">
        <v>450</v>
      </c>
      <c r="P91">
        <v>524.94000000000005</v>
      </c>
      <c r="Q91">
        <v>8191315</v>
      </c>
    </row>
    <row r="92" spans="2:17" x14ac:dyDescent="0.3">
      <c r="B92" s="258" t="s">
        <v>450</v>
      </c>
      <c r="C92" s="257">
        <v>524.94000000000005</v>
      </c>
      <c r="D92" s="257">
        <v>8191315</v>
      </c>
      <c r="O92" s="259" t="s">
        <v>451</v>
      </c>
      <c r="P92">
        <v>526.22</v>
      </c>
      <c r="Q92">
        <v>12541352</v>
      </c>
    </row>
    <row r="93" spans="2:17" x14ac:dyDescent="0.3">
      <c r="B93" s="258" t="s">
        <v>451</v>
      </c>
      <c r="C93" s="257">
        <v>526.22</v>
      </c>
      <c r="D93" s="257">
        <v>12541352</v>
      </c>
      <c r="O93" s="259" t="s">
        <v>452</v>
      </c>
      <c r="P93">
        <v>554.17999999999995</v>
      </c>
      <c r="Q93">
        <v>3543876</v>
      </c>
    </row>
    <row r="94" spans="2:17" x14ac:dyDescent="0.3">
      <c r="B94" s="258" t="s">
        <v>452</v>
      </c>
      <c r="C94" s="257">
        <v>554.17999999999995</v>
      </c>
      <c r="D94" s="257">
        <v>3543876</v>
      </c>
      <c r="O94" s="259" t="s">
        <v>453</v>
      </c>
      <c r="P94">
        <v>558.07000000000005</v>
      </c>
      <c r="Q94">
        <v>6719107</v>
      </c>
    </row>
    <row r="95" spans="2:17" x14ac:dyDescent="0.3">
      <c r="B95" s="258" t="s">
        <v>453</v>
      </c>
      <c r="C95" s="257">
        <v>558.07000000000005</v>
      </c>
      <c r="D95" s="257">
        <v>6719107</v>
      </c>
      <c r="O95" s="259" t="s">
        <v>454</v>
      </c>
      <c r="P95">
        <v>536.08000000000004</v>
      </c>
      <c r="Q95">
        <v>11160571</v>
      </c>
    </row>
    <row r="96" spans="2:17" x14ac:dyDescent="0.3">
      <c r="B96" s="258" t="s">
        <v>454</v>
      </c>
      <c r="C96" s="257">
        <v>536.08000000000004</v>
      </c>
      <c r="D96" s="257">
        <v>11160571</v>
      </c>
      <c r="O96" s="259" t="s">
        <v>455</v>
      </c>
      <c r="P96">
        <v>545.11</v>
      </c>
      <c r="Q96">
        <v>8123019</v>
      </c>
    </row>
    <row r="97" spans="2:17" x14ac:dyDescent="0.3">
      <c r="B97" s="258" t="s">
        <v>455</v>
      </c>
      <c r="C97" s="257">
        <v>545.11</v>
      </c>
      <c r="D97" s="257">
        <v>8123019</v>
      </c>
      <c r="O97" s="259" t="s">
        <v>456</v>
      </c>
      <c r="P97">
        <v>553.59</v>
      </c>
      <c r="Q97">
        <v>6408861</v>
      </c>
    </row>
    <row r="98" spans="2:17" x14ac:dyDescent="0.3">
      <c r="B98" s="258" t="s">
        <v>456</v>
      </c>
      <c r="C98" s="257">
        <v>553.59</v>
      </c>
      <c r="D98" s="257">
        <v>6408861</v>
      </c>
      <c r="O98" s="259" t="s">
        <v>457</v>
      </c>
      <c r="P98">
        <v>557.91999999999996</v>
      </c>
      <c r="Q98">
        <v>15378349</v>
      </c>
    </row>
    <row r="99" spans="2:17" x14ac:dyDescent="0.3">
      <c r="B99" s="258" t="s">
        <v>457</v>
      </c>
      <c r="C99" s="257">
        <v>557.91999999999996</v>
      </c>
      <c r="D99" s="257">
        <v>15378349</v>
      </c>
      <c r="O99" s="259" t="s">
        <v>458</v>
      </c>
      <c r="P99">
        <v>571.63</v>
      </c>
      <c r="Q99">
        <v>7916327</v>
      </c>
    </row>
    <row r="100" spans="2:17" x14ac:dyDescent="0.3">
      <c r="B100" s="258" t="s">
        <v>458</v>
      </c>
      <c r="C100" s="257">
        <v>571.63</v>
      </c>
      <c r="D100" s="257">
        <v>7916327</v>
      </c>
      <c r="O100" s="259" t="s">
        <v>459</v>
      </c>
      <c r="P100">
        <v>590.36</v>
      </c>
      <c r="Q100">
        <v>13439902</v>
      </c>
    </row>
    <row r="101" spans="2:17" x14ac:dyDescent="0.3">
      <c r="B101" s="258" t="s">
        <v>459</v>
      </c>
      <c r="C101" s="257">
        <v>590.36</v>
      </c>
      <c r="D101" s="257">
        <v>13439902</v>
      </c>
      <c r="O101" s="259" t="s">
        <v>460</v>
      </c>
      <c r="P101">
        <v>582.87</v>
      </c>
      <c r="Q101">
        <v>24995458</v>
      </c>
    </row>
    <row r="102" spans="2:17" x14ac:dyDescent="0.3">
      <c r="B102" s="258" t="s">
        <v>460</v>
      </c>
      <c r="C102" s="257">
        <v>582.87</v>
      </c>
      <c r="D102" s="257">
        <v>24995458</v>
      </c>
      <c r="O102" s="259" t="s">
        <v>461</v>
      </c>
      <c r="P102">
        <v>548.75</v>
      </c>
      <c r="Q102">
        <v>6283748</v>
      </c>
    </row>
    <row r="103" spans="2:17" x14ac:dyDescent="0.3">
      <c r="B103" s="258" t="s">
        <v>461</v>
      </c>
      <c r="C103" s="257">
        <v>548.75</v>
      </c>
      <c r="D103" s="257">
        <v>6283748</v>
      </c>
      <c r="O103" s="259" t="s">
        <v>462</v>
      </c>
      <c r="P103">
        <v>540.82000000000005</v>
      </c>
      <c r="Q103">
        <v>9802350</v>
      </c>
    </row>
    <row r="104" spans="2:17" x14ac:dyDescent="0.3">
      <c r="B104" s="258" t="s">
        <v>462</v>
      </c>
      <c r="C104" s="257">
        <v>540.82000000000005</v>
      </c>
      <c r="D104" s="257">
        <v>9802350</v>
      </c>
      <c r="O104" s="259" t="s">
        <v>463</v>
      </c>
      <c r="P104">
        <v>545.35</v>
      </c>
      <c r="Q104">
        <v>4436829</v>
      </c>
    </row>
    <row r="105" spans="2:17" x14ac:dyDescent="0.3">
      <c r="B105" s="258" t="s">
        <v>463</v>
      </c>
      <c r="C105" s="257">
        <v>545.35</v>
      </c>
      <c r="D105" s="257">
        <v>4436829</v>
      </c>
      <c r="O105" s="259" t="s">
        <v>464</v>
      </c>
      <c r="P105">
        <v>547.25</v>
      </c>
      <c r="Q105">
        <v>5235745</v>
      </c>
    </row>
    <row r="106" spans="2:17" x14ac:dyDescent="0.3">
      <c r="B106" s="258" t="s">
        <v>464</v>
      </c>
      <c r="C106" s="257">
        <v>547.25</v>
      </c>
      <c r="D106" s="257">
        <v>5235745</v>
      </c>
      <c r="O106" s="259" t="s">
        <v>465</v>
      </c>
      <c r="P106">
        <v>540.91999999999996</v>
      </c>
      <c r="Q106">
        <v>8506584</v>
      </c>
    </row>
    <row r="107" spans="2:17" x14ac:dyDescent="0.3">
      <c r="B107" s="258" t="s">
        <v>465</v>
      </c>
      <c r="C107" s="257">
        <v>540.91999999999996</v>
      </c>
      <c r="D107" s="257">
        <v>8506584</v>
      </c>
      <c r="O107" s="259" t="s">
        <v>466</v>
      </c>
      <c r="P107">
        <v>528.05999999999995</v>
      </c>
      <c r="Q107">
        <v>8193928</v>
      </c>
    </row>
    <row r="108" spans="2:17" x14ac:dyDescent="0.3">
      <c r="B108" s="258" t="s">
        <v>466</v>
      </c>
      <c r="C108" s="257">
        <v>528.05999999999995</v>
      </c>
      <c r="D108" s="257">
        <v>8193928</v>
      </c>
      <c r="O108" s="259" t="s">
        <v>467</v>
      </c>
      <c r="P108">
        <v>521.58000000000004</v>
      </c>
      <c r="Q108">
        <v>17020984</v>
      </c>
    </row>
    <row r="109" spans="2:17" x14ac:dyDescent="0.3">
      <c r="B109" s="258" t="s">
        <v>467</v>
      </c>
      <c r="C109" s="257">
        <v>521.58000000000004</v>
      </c>
      <c r="D109" s="257">
        <v>17020984</v>
      </c>
      <c r="O109" s="259" t="s">
        <v>468</v>
      </c>
      <c r="P109">
        <v>530.22</v>
      </c>
      <c r="Q109">
        <v>11033360</v>
      </c>
    </row>
    <row r="110" spans="2:17" x14ac:dyDescent="0.3">
      <c r="B110" s="258" t="s">
        <v>468</v>
      </c>
      <c r="C110" s="257">
        <v>530.22</v>
      </c>
      <c r="D110" s="257">
        <v>11033360</v>
      </c>
      <c r="O110" s="259" t="s">
        <v>469</v>
      </c>
      <c r="P110">
        <v>562.41</v>
      </c>
      <c r="Q110">
        <v>8636774</v>
      </c>
    </row>
    <row r="111" spans="2:17" x14ac:dyDescent="0.3">
      <c r="B111" s="258" t="s">
        <v>469</v>
      </c>
      <c r="C111" s="257">
        <v>562.41</v>
      </c>
      <c r="D111" s="257">
        <v>8636774</v>
      </c>
      <c r="O111" s="259" t="s">
        <v>470</v>
      </c>
      <c r="P111">
        <v>558.09</v>
      </c>
      <c r="Q111">
        <v>6942300</v>
      </c>
    </row>
    <row r="112" spans="2:17" x14ac:dyDescent="0.3">
      <c r="B112" s="258" t="s">
        <v>470</v>
      </c>
      <c r="C112" s="257">
        <v>558.09</v>
      </c>
      <c r="D112" s="257">
        <v>6942300</v>
      </c>
      <c r="O112" s="259" t="s">
        <v>471</v>
      </c>
      <c r="P112">
        <v>536.35</v>
      </c>
      <c r="Q112">
        <v>5703473</v>
      </c>
    </row>
    <row r="113" spans="2:17" x14ac:dyDescent="0.3">
      <c r="B113" s="258" t="s">
        <v>471</v>
      </c>
      <c r="C113" s="257">
        <v>536.35</v>
      </c>
      <c r="D113" s="257">
        <v>5703473</v>
      </c>
      <c r="O113" s="259" t="s">
        <v>472</v>
      </c>
      <c r="P113">
        <v>564.33000000000004</v>
      </c>
      <c r="Q113">
        <v>3553595</v>
      </c>
    </row>
    <row r="114" spans="2:17" x14ac:dyDescent="0.3">
      <c r="B114" s="258" t="s">
        <v>472</v>
      </c>
      <c r="C114" s="257">
        <v>564.33000000000004</v>
      </c>
      <c r="D114" s="257">
        <v>3553595</v>
      </c>
      <c r="O114" s="259" t="s">
        <v>473</v>
      </c>
      <c r="P114">
        <v>560.20000000000005</v>
      </c>
      <c r="Q114">
        <v>9098974</v>
      </c>
    </row>
    <row r="115" spans="2:17" x14ac:dyDescent="0.3">
      <c r="B115" s="258" t="s">
        <v>473</v>
      </c>
      <c r="C115" s="257">
        <v>560.20000000000005</v>
      </c>
      <c r="D115" s="257">
        <v>9098974</v>
      </c>
      <c r="O115" s="259" t="s">
        <v>474</v>
      </c>
      <c r="P115">
        <v>561.48</v>
      </c>
      <c r="Q115">
        <v>7827090</v>
      </c>
    </row>
    <row r="116" spans="2:17" x14ac:dyDescent="0.3">
      <c r="B116" s="258" t="s">
        <v>474</v>
      </c>
      <c r="C116" s="257">
        <v>561.48</v>
      </c>
      <c r="D116" s="257">
        <v>7827090</v>
      </c>
      <c r="O116" s="259" t="s">
        <v>475</v>
      </c>
      <c r="P116">
        <v>576.4</v>
      </c>
      <c r="Q116">
        <v>6839661</v>
      </c>
    </row>
    <row r="117" spans="2:17" x14ac:dyDescent="0.3">
      <c r="B117" s="258" t="s">
        <v>475</v>
      </c>
      <c r="C117" s="257">
        <v>576.4</v>
      </c>
      <c r="D117" s="257">
        <v>6839661</v>
      </c>
      <c r="O117" s="259" t="s">
        <v>476</v>
      </c>
      <c r="P117">
        <v>570.9</v>
      </c>
      <c r="Q117">
        <v>5259354</v>
      </c>
    </row>
    <row r="118" spans="2:17" x14ac:dyDescent="0.3">
      <c r="B118" s="258" t="s">
        <v>476</v>
      </c>
      <c r="C118" s="257">
        <v>570.9</v>
      </c>
      <c r="D118" s="257">
        <v>5259354</v>
      </c>
      <c r="O118" s="259" t="s">
        <v>477</v>
      </c>
      <c r="P118">
        <v>568.5</v>
      </c>
      <c r="Q118">
        <v>8221253</v>
      </c>
    </row>
    <row r="119" spans="2:17" x14ac:dyDescent="0.3">
      <c r="B119" s="258" t="s">
        <v>477</v>
      </c>
      <c r="C119" s="257">
        <v>568.5</v>
      </c>
      <c r="D119" s="257">
        <v>8221253</v>
      </c>
      <c r="O119" s="259" t="s">
        <v>478</v>
      </c>
      <c r="P119">
        <v>573.36</v>
      </c>
      <c r="Q119">
        <v>8217915</v>
      </c>
    </row>
    <row r="120" spans="2:17" x14ac:dyDescent="0.3">
      <c r="B120" s="258" t="s">
        <v>478</v>
      </c>
      <c r="C120" s="257">
        <v>573.36</v>
      </c>
      <c r="D120" s="257">
        <v>8217915</v>
      </c>
      <c r="O120" s="259" t="s">
        <v>479</v>
      </c>
      <c r="P120">
        <v>562.96</v>
      </c>
      <c r="Q120">
        <v>10139317</v>
      </c>
    </row>
    <row r="121" spans="2:17" x14ac:dyDescent="0.3">
      <c r="B121" s="258" t="s">
        <v>479</v>
      </c>
      <c r="C121" s="257">
        <v>562.96</v>
      </c>
      <c r="D121" s="257">
        <v>10139317</v>
      </c>
      <c r="O121" s="259" t="s">
        <v>480</v>
      </c>
      <c r="P121">
        <v>535.66</v>
      </c>
      <c r="Q121">
        <v>5263501</v>
      </c>
    </row>
    <row r="122" spans="2:17" x14ac:dyDescent="0.3">
      <c r="B122" s="258" t="s">
        <v>480</v>
      </c>
      <c r="C122" s="257">
        <v>535.66</v>
      </c>
      <c r="D122" s="257">
        <v>5263501</v>
      </c>
      <c r="O122" s="259" t="s">
        <v>481</v>
      </c>
      <c r="P122">
        <v>531.30999999999995</v>
      </c>
      <c r="Q122">
        <v>8751686</v>
      </c>
    </row>
    <row r="123" spans="2:17" x14ac:dyDescent="0.3">
      <c r="B123" s="258" t="s">
        <v>481</v>
      </c>
      <c r="C123" s="257">
        <v>531.30999999999995</v>
      </c>
      <c r="D123" s="257">
        <v>8751686</v>
      </c>
      <c r="O123" s="259" t="s">
        <v>482</v>
      </c>
      <c r="P123">
        <v>499.42</v>
      </c>
      <c r="Q123">
        <v>7132422</v>
      </c>
    </row>
    <row r="124" spans="2:17" x14ac:dyDescent="0.3">
      <c r="B124" s="258" t="s">
        <v>482</v>
      </c>
      <c r="C124" s="257">
        <v>499.42</v>
      </c>
      <c r="D124" s="257">
        <v>7132422</v>
      </c>
      <c r="O124" s="259" t="s">
        <v>483</v>
      </c>
      <c r="P124">
        <v>497.95</v>
      </c>
      <c r="Q124">
        <v>9372346</v>
      </c>
    </row>
    <row r="125" spans="2:17" x14ac:dyDescent="0.3">
      <c r="B125" s="258" t="s">
        <v>483</v>
      </c>
      <c r="C125" s="257">
        <v>497.95</v>
      </c>
      <c r="D125" s="257">
        <v>9372346</v>
      </c>
      <c r="O125" s="259" t="s">
        <v>484</v>
      </c>
      <c r="P125">
        <v>473.39</v>
      </c>
      <c r="Q125">
        <v>11310124</v>
      </c>
    </row>
    <row r="126" spans="2:17" x14ac:dyDescent="0.3">
      <c r="B126" s="258" t="s">
        <v>484</v>
      </c>
      <c r="C126" s="257">
        <v>473.39</v>
      </c>
      <c r="D126" s="257">
        <v>11310124</v>
      </c>
      <c r="O126" s="259" t="s">
        <v>485</v>
      </c>
      <c r="P126">
        <v>490.63</v>
      </c>
      <c r="Q126">
        <v>9133658</v>
      </c>
    </row>
    <row r="127" spans="2:17" x14ac:dyDescent="0.3">
      <c r="B127" s="258" t="s">
        <v>485</v>
      </c>
      <c r="C127" s="257">
        <v>490.63</v>
      </c>
      <c r="D127" s="257">
        <v>9133658</v>
      </c>
      <c r="O127" s="259" t="s">
        <v>486</v>
      </c>
      <c r="P127">
        <v>502.06</v>
      </c>
      <c r="Q127">
        <v>12709246</v>
      </c>
    </row>
    <row r="128" spans="2:17" x14ac:dyDescent="0.3">
      <c r="B128" s="258" t="s">
        <v>486</v>
      </c>
      <c r="C128" s="257">
        <v>502.06</v>
      </c>
      <c r="D128" s="257">
        <v>12709246</v>
      </c>
      <c r="O128" s="259" t="s">
        <v>487</v>
      </c>
      <c r="P128">
        <v>486.18</v>
      </c>
      <c r="Q128">
        <v>7875801</v>
      </c>
    </row>
    <row r="129" spans="2:17" x14ac:dyDescent="0.3">
      <c r="B129" s="258" t="s">
        <v>487</v>
      </c>
      <c r="C129" s="257">
        <v>486.18</v>
      </c>
      <c r="D129" s="257">
        <v>7875801</v>
      </c>
      <c r="O129" s="259" t="s">
        <v>488</v>
      </c>
      <c r="P129">
        <v>491.7</v>
      </c>
      <c r="Q129">
        <v>10185429</v>
      </c>
    </row>
    <row r="130" spans="2:17" x14ac:dyDescent="0.3">
      <c r="B130" s="258" t="s">
        <v>488</v>
      </c>
      <c r="C130" s="257">
        <v>491.7</v>
      </c>
      <c r="D130" s="257">
        <v>10185429</v>
      </c>
      <c r="O130" s="259" t="s">
        <v>489</v>
      </c>
      <c r="P130">
        <v>489.21</v>
      </c>
      <c r="Q130">
        <v>10469009</v>
      </c>
    </row>
    <row r="131" spans="2:17" x14ac:dyDescent="0.3">
      <c r="B131" s="258" t="s">
        <v>489</v>
      </c>
      <c r="C131" s="257">
        <v>489.21</v>
      </c>
      <c r="D131" s="257">
        <v>10469009</v>
      </c>
      <c r="O131" s="259" t="s">
        <v>490</v>
      </c>
      <c r="P131">
        <v>498.98</v>
      </c>
      <c r="Q131">
        <v>11837909</v>
      </c>
    </row>
    <row r="132" spans="2:17" x14ac:dyDescent="0.3">
      <c r="B132" s="258" t="s">
        <v>490</v>
      </c>
      <c r="C132" s="257">
        <v>498.98</v>
      </c>
      <c r="D132" s="257">
        <v>11837909</v>
      </c>
      <c r="O132" s="259" t="s">
        <v>491</v>
      </c>
      <c r="P132">
        <v>543.82000000000005</v>
      </c>
      <c r="Q132">
        <v>10477995</v>
      </c>
    </row>
    <row r="133" spans="2:17" x14ac:dyDescent="0.3">
      <c r="B133" s="258" t="s">
        <v>491</v>
      </c>
      <c r="C133" s="257">
        <v>543.82000000000005</v>
      </c>
      <c r="D133" s="257">
        <v>10477995</v>
      </c>
      <c r="O133" s="259" t="s">
        <v>492</v>
      </c>
      <c r="P133">
        <v>546.9</v>
      </c>
      <c r="Q133">
        <v>8997666</v>
      </c>
    </row>
    <row r="134" spans="2:17" x14ac:dyDescent="0.3">
      <c r="B134" s="258" t="s">
        <v>492</v>
      </c>
      <c r="C134" s="257">
        <v>546.9</v>
      </c>
      <c r="D134" s="257">
        <v>8997666</v>
      </c>
      <c r="O134" s="259" t="s">
        <v>493</v>
      </c>
      <c r="P134">
        <v>543.04</v>
      </c>
      <c r="Q134">
        <v>4250977</v>
      </c>
    </row>
    <row r="135" spans="2:17" x14ac:dyDescent="0.3">
      <c r="B135" s="258" t="s">
        <v>493</v>
      </c>
      <c r="C135" s="257">
        <v>543.04</v>
      </c>
      <c r="D135" s="257">
        <v>4250977</v>
      </c>
      <c r="O135" s="259" t="s">
        <v>494</v>
      </c>
      <c r="P135">
        <v>544.05999999999995</v>
      </c>
      <c r="Q135">
        <v>10156895</v>
      </c>
    </row>
    <row r="136" spans="2:17" x14ac:dyDescent="0.3">
      <c r="B136" s="258" t="s">
        <v>494</v>
      </c>
      <c r="C136" s="257">
        <v>544.05999999999995</v>
      </c>
      <c r="D136" s="257">
        <v>10156895</v>
      </c>
      <c r="O136" s="259" t="s">
        <v>495</v>
      </c>
      <c r="P136">
        <v>529.9</v>
      </c>
      <c r="Q136">
        <v>12250186</v>
      </c>
    </row>
    <row r="137" spans="2:17" x14ac:dyDescent="0.3">
      <c r="B137" s="258" t="s">
        <v>495</v>
      </c>
      <c r="C137" s="257">
        <v>529.9</v>
      </c>
      <c r="D137" s="257">
        <v>12250186</v>
      </c>
      <c r="O137" s="259" t="s">
        <v>496</v>
      </c>
      <c r="P137">
        <v>507.77</v>
      </c>
      <c r="Q137">
        <v>10911623</v>
      </c>
    </row>
    <row r="138" spans="2:17" x14ac:dyDescent="0.3">
      <c r="B138" s="258" t="s">
        <v>496</v>
      </c>
      <c r="C138" s="257">
        <v>507.77</v>
      </c>
      <c r="D138" s="257">
        <v>10911623</v>
      </c>
      <c r="O138" s="259" t="s">
        <v>497</v>
      </c>
      <c r="P138">
        <v>547.29</v>
      </c>
      <c r="Q138">
        <v>9449712</v>
      </c>
    </row>
    <row r="139" spans="2:17" x14ac:dyDescent="0.3">
      <c r="B139" s="258" t="s">
        <v>497</v>
      </c>
      <c r="C139" s="257">
        <v>547.29</v>
      </c>
      <c r="D139" s="257">
        <v>9449712</v>
      </c>
      <c r="O139" s="259" t="s">
        <v>498</v>
      </c>
      <c r="P139">
        <v>534.88</v>
      </c>
      <c r="Q139">
        <v>11188792</v>
      </c>
    </row>
    <row r="140" spans="2:17" x14ac:dyDescent="0.3">
      <c r="B140" s="258" t="s">
        <v>498</v>
      </c>
      <c r="C140" s="257">
        <v>534.88</v>
      </c>
      <c r="D140" s="257">
        <v>11188792</v>
      </c>
      <c r="O140" s="259" t="s">
        <v>499</v>
      </c>
      <c r="P140">
        <v>526.58000000000004</v>
      </c>
      <c r="Q140">
        <v>14135482</v>
      </c>
    </row>
    <row r="141" spans="2:17" x14ac:dyDescent="0.3">
      <c r="B141" s="258" t="s">
        <v>499</v>
      </c>
      <c r="C141" s="257">
        <v>526.58000000000004</v>
      </c>
      <c r="D141" s="257">
        <v>14135482</v>
      </c>
      <c r="O141" s="259" t="s">
        <v>500</v>
      </c>
      <c r="P141">
        <v>532.24</v>
      </c>
      <c r="Q141">
        <v>7884642</v>
      </c>
    </row>
    <row r="142" spans="2:17" x14ac:dyDescent="0.3">
      <c r="B142" s="258" t="s">
        <v>500</v>
      </c>
      <c r="C142" s="257">
        <v>532.24</v>
      </c>
      <c r="D142" s="257">
        <v>7884642</v>
      </c>
      <c r="O142" s="259" t="s">
        <v>501</v>
      </c>
      <c r="P142">
        <v>535.12</v>
      </c>
      <c r="Q142">
        <v>6264727</v>
      </c>
    </row>
    <row r="143" spans="2:17" x14ac:dyDescent="0.3">
      <c r="B143" s="258" t="s">
        <v>501</v>
      </c>
      <c r="C143" s="257">
        <v>535.12</v>
      </c>
      <c r="D143" s="257">
        <v>6264727</v>
      </c>
      <c r="O143" s="259" t="s">
        <v>502</v>
      </c>
      <c r="P143">
        <v>547.87</v>
      </c>
      <c r="Q143">
        <v>7780459</v>
      </c>
    </row>
    <row r="144" spans="2:17" x14ac:dyDescent="0.3">
      <c r="B144" s="258" t="s">
        <v>502</v>
      </c>
      <c r="C144" s="257">
        <v>547.87</v>
      </c>
      <c r="D144" s="257">
        <v>7780459</v>
      </c>
      <c r="O144" s="259" t="s">
        <v>503</v>
      </c>
      <c r="P144">
        <v>555.83000000000004</v>
      </c>
      <c r="Q144">
        <v>8917534</v>
      </c>
    </row>
    <row r="145" spans="2:17" x14ac:dyDescent="0.3">
      <c r="B145" s="258" t="s">
        <v>503</v>
      </c>
      <c r="C145" s="257">
        <v>555.83000000000004</v>
      </c>
      <c r="D145" s="257">
        <v>8917534</v>
      </c>
      <c r="O145" s="259" t="s">
        <v>504</v>
      </c>
      <c r="P145">
        <v>521.59</v>
      </c>
      <c r="Q145">
        <v>7889916</v>
      </c>
    </row>
    <row r="146" spans="2:17" x14ac:dyDescent="0.3">
      <c r="B146" s="258" t="s">
        <v>504</v>
      </c>
      <c r="C146" s="257">
        <v>521.59</v>
      </c>
      <c r="D146" s="257">
        <v>7889916</v>
      </c>
      <c r="O146" s="259" t="s">
        <v>505</v>
      </c>
      <c r="P146">
        <v>538.79</v>
      </c>
      <c r="Q146">
        <v>7171742</v>
      </c>
    </row>
    <row r="147" spans="2:17" x14ac:dyDescent="0.3">
      <c r="B147" s="258" t="s">
        <v>505</v>
      </c>
      <c r="C147" s="257">
        <v>538.79</v>
      </c>
      <c r="D147" s="257">
        <v>7171742</v>
      </c>
      <c r="O147" s="259" t="s">
        <v>506</v>
      </c>
      <c r="P147">
        <v>562.48</v>
      </c>
      <c r="Q147">
        <v>6346433</v>
      </c>
    </row>
    <row r="148" spans="2:17" x14ac:dyDescent="0.3">
      <c r="B148" s="258" t="s">
        <v>506</v>
      </c>
      <c r="C148" s="257">
        <v>562.48</v>
      </c>
      <c r="D148" s="257">
        <v>6346433</v>
      </c>
      <c r="O148" s="259" t="s">
        <v>507</v>
      </c>
      <c r="P148">
        <v>573.91</v>
      </c>
      <c r="Q148">
        <v>7965470</v>
      </c>
    </row>
    <row r="149" spans="2:17" x14ac:dyDescent="0.3">
      <c r="B149" s="258" t="s">
        <v>507</v>
      </c>
      <c r="C149" s="257">
        <v>573.91</v>
      </c>
      <c r="D149" s="257">
        <v>7965470</v>
      </c>
      <c r="O149" s="259" t="s">
        <v>508</v>
      </c>
      <c r="P149">
        <v>566.63</v>
      </c>
      <c r="Q149">
        <v>4262118</v>
      </c>
    </row>
    <row r="150" spans="2:17" x14ac:dyDescent="0.3">
      <c r="B150" s="258" t="s">
        <v>508</v>
      </c>
      <c r="C150" s="257">
        <v>566.63</v>
      </c>
      <c r="D150" s="257">
        <v>4262118</v>
      </c>
      <c r="O150" s="259" t="s">
        <v>509</v>
      </c>
      <c r="P150">
        <v>550.66</v>
      </c>
      <c r="Q150">
        <v>4231429</v>
      </c>
    </row>
    <row r="151" spans="2:17" x14ac:dyDescent="0.3">
      <c r="B151" s="258" t="s">
        <v>509</v>
      </c>
      <c r="C151" s="257">
        <v>550.66</v>
      </c>
      <c r="D151" s="257">
        <v>4231429</v>
      </c>
      <c r="O151" s="259" t="s">
        <v>510</v>
      </c>
      <c r="P151">
        <v>551.67999999999995</v>
      </c>
      <c r="Q151">
        <v>6492557</v>
      </c>
    </row>
    <row r="152" spans="2:17" x14ac:dyDescent="0.3">
      <c r="B152" s="258" t="s">
        <v>510</v>
      </c>
      <c r="C152" s="257">
        <v>551.67999999999995</v>
      </c>
      <c r="D152" s="257">
        <v>6492557</v>
      </c>
      <c r="O152" s="259" t="s">
        <v>511</v>
      </c>
      <c r="P152">
        <v>564.42999999999995</v>
      </c>
      <c r="Q152">
        <v>6524214</v>
      </c>
    </row>
    <row r="153" spans="2:17" x14ac:dyDescent="0.3">
      <c r="B153" s="258" t="s">
        <v>511</v>
      </c>
      <c r="C153" s="257">
        <v>564.42999999999995</v>
      </c>
      <c r="D153" s="257">
        <v>6524214</v>
      </c>
      <c r="O153" s="259" t="s">
        <v>512</v>
      </c>
      <c r="P153">
        <v>567.9</v>
      </c>
      <c r="Q153">
        <v>12785105</v>
      </c>
    </row>
    <row r="154" spans="2:17" x14ac:dyDescent="0.3">
      <c r="B154" s="258" t="s">
        <v>512</v>
      </c>
      <c r="C154" s="257">
        <v>567.9</v>
      </c>
      <c r="D154" s="257">
        <v>12785105</v>
      </c>
      <c r="O154" s="259" t="s">
        <v>513</v>
      </c>
      <c r="P154">
        <v>588.07000000000005</v>
      </c>
      <c r="Q154">
        <v>10824363</v>
      </c>
    </row>
    <row r="155" spans="2:17" x14ac:dyDescent="0.3">
      <c r="B155" s="258" t="s">
        <v>513</v>
      </c>
      <c r="C155" s="257">
        <v>588.07000000000005</v>
      </c>
      <c r="D155" s="257">
        <v>10824363</v>
      </c>
      <c r="O155" s="259" t="s">
        <v>514</v>
      </c>
      <c r="P155">
        <v>594.66</v>
      </c>
      <c r="Q155">
        <v>5323418</v>
      </c>
    </row>
    <row r="156" spans="2:17" x14ac:dyDescent="0.3">
      <c r="B156" s="258" t="s">
        <v>514</v>
      </c>
      <c r="C156" s="257">
        <v>594.66</v>
      </c>
      <c r="D156" s="257">
        <v>5323418</v>
      </c>
      <c r="O156" s="259" t="s">
        <v>515</v>
      </c>
      <c r="P156">
        <v>586.08000000000004</v>
      </c>
      <c r="Q156">
        <v>9442356</v>
      </c>
    </row>
    <row r="157" spans="2:17" x14ac:dyDescent="0.3">
      <c r="B157" s="258" t="s">
        <v>515</v>
      </c>
      <c r="C157" s="257">
        <v>586.08000000000004</v>
      </c>
      <c r="D157" s="257">
        <v>9442356</v>
      </c>
      <c r="O157" s="259" t="s">
        <v>516</v>
      </c>
      <c r="P157">
        <v>595.9</v>
      </c>
      <c r="Q157">
        <v>17547083</v>
      </c>
    </row>
    <row r="158" spans="2:17" x14ac:dyDescent="0.3">
      <c r="B158" s="258" t="s">
        <v>516</v>
      </c>
      <c r="C158" s="257">
        <v>595.9</v>
      </c>
      <c r="D158" s="257">
        <v>17547083</v>
      </c>
      <c r="O158" s="259" t="s">
        <v>517</v>
      </c>
      <c r="P158">
        <v>569.92999999999995</v>
      </c>
      <c r="Q158">
        <v>9750829</v>
      </c>
    </row>
    <row r="159" spans="2:17" x14ac:dyDescent="0.3">
      <c r="B159" s="258" t="s">
        <v>517</v>
      </c>
      <c r="C159" s="257">
        <v>569.92999999999995</v>
      </c>
      <c r="D159" s="257">
        <v>9750829</v>
      </c>
      <c r="O159" s="259" t="s">
        <v>518</v>
      </c>
      <c r="P159">
        <v>574.70000000000005</v>
      </c>
      <c r="Q159">
        <v>9106240</v>
      </c>
    </row>
    <row r="160" spans="2:17" x14ac:dyDescent="0.3">
      <c r="B160" s="258" t="s">
        <v>518</v>
      </c>
      <c r="C160" s="257">
        <v>574.70000000000005</v>
      </c>
      <c r="D160" s="257">
        <v>9106240</v>
      </c>
      <c r="O160" s="259" t="s">
        <v>519</v>
      </c>
      <c r="P160">
        <v>598.48</v>
      </c>
      <c r="Q160">
        <v>8449692</v>
      </c>
    </row>
    <row r="161" spans="2:17" x14ac:dyDescent="0.3">
      <c r="B161" s="258" t="s">
        <v>519</v>
      </c>
      <c r="C161" s="257">
        <v>598.48</v>
      </c>
      <c r="D161" s="257">
        <v>8449692</v>
      </c>
      <c r="O161" s="259" t="s">
        <v>520</v>
      </c>
      <c r="P161">
        <v>590.51</v>
      </c>
      <c r="Q161">
        <v>11977149</v>
      </c>
    </row>
    <row r="162" spans="2:17" x14ac:dyDescent="0.3">
      <c r="B162" s="258" t="s">
        <v>520</v>
      </c>
      <c r="C162" s="257">
        <v>590.51</v>
      </c>
      <c r="D162" s="257">
        <v>11977149</v>
      </c>
      <c r="O162" s="259" t="s">
        <v>521</v>
      </c>
      <c r="P162">
        <v>601.16</v>
      </c>
      <c r="Q162">
        <v>8470851</v>
      </c>
    </row>
    <row r="163" spans="2:17" x14ac:dyDescent="0.3">
      <c r="B163" s="258" t="s">
        <v>521</v>
      </c>
      <c r="C163" s="257">
        <v>601.16</v>
      </c>
      <c r="D163" s="257">
        <v>8470851</v>
      </c>
      <c r="O163" s="259" t="s">
        <v>522</v>
      </c>
      <c r="P163">
        <v>634.17999999999995</v>
      </c>
      <c r="Q163">
        <v>8364415</v>
      </c>
    </row>
    <row r="164" spans="2:17" x14ac:dyDescent="0.3">
      <c r="B164" s="258" t="s">
        <v>522</v>
      </c>
      <c r="C164" s="257">
        <v>634.17999999999995</v>
      </c>
      <c r="D164" s="257">
        <v>8364415</v>
      </c>
      <c r="O164" s="259" t="s">
        <v>523</v>
      </c>
      <c r="P164">
        <v>636.17999999999995</v>
      </c>
      <c r="Q164">
        <v>8982825</v>
      </c>
    </row>
    <row r="165" spans="2:17" x14ac:dyDescent="0.3">
      <c r="B165" s="258" t="s">
        <v>523</v>
      </c>
      <c r="C165" s="257">
        <v>636.17999999999995</v>
      </c>
      <c r="D165" s="257">
        <v>8982825</v>
      </c>
      <c r="O165" s="259" t="s">
        <v>524</v>
      </c>
      <c r="P165">
        <v>620.95000000000005</v>
      </c>
      <c r="Q165">
        <v>7336786</v>
      </c>
    </row>
    <row r="166" spans="2:17" x14ac:dyDescent="0.3">
      <c r="B166" s="258" t="s">
        <v>524</v>
      </c>
      <c r="C166" s="257">
        <v>620.95000000000005</v>
      </c>
      <c r="D166" s="257">
        <v>7336786</v>
      </c>
      <c r="O166" s="259" t="s">
        <v>525</v>
      </c>
      <c r="P166">
        <v>623.82000000000005</v>
      </c>
      <c r="Q166">
        <v>11487742</v>
      </c>
    </row>
    <row r="167" spans="2:17" x14ac:dyDescent="0.3">
      <c r="B167" s="258" t="s">
        <v>525</v>
      </c>
      <c r="C167" s="257">
        <v>623.82000000000005</v>
      </c>
      <c r="D167" s="257">
        <v>11487742</v>
      </c>
      <c r="O167" s="259" t="s">
        <v>526</v>
      </c>
      <c r="P167">
        <v>592.21</v>
      </c>
      <c r="Q167">
        <v>10288233</v>
      </c>
    </row>
    <row r="168" spans="2:17" x14ac:dyDescent="0.3">
      <c r="B168" s="258" t="s">
        <v>526</v>
      </c>
      <c r="C168" s="257">
        <v>592.21</v>
      </c>
      <c r="D168" s="257">
        <v>10288233</v>
      </c>
      <c r="O168" s="259" t="s">
        <v>527</v>
      </c>
      <c r="P168">
        <v>595.08000000000004</v>
      </c>
      <c r="Q168">
        <v>12286069</v>
      </c>
    </row>
    <row r="169" spans="2:17" x14ac:dyDescent="0.3">
      <c r="B169" s="258" t="s">
        <v>527</v>
      </c>
      <c r="C169" s="257">
        <v>595.08000000000004</v>
      </c>
      <c r="D169" s="257">
        <v>12286069</v>
      </c>
      <c r="O169" s="259" t="s">
        <v>528</v>
      </c>
      <c r="P169">
        <v>572.30999999999995</v>
      </c>
      <c r="Q169">
        <v>14446004</v>
      </c>
    </row>
    <row r="170" spans="2:17" x14ac:dyDescent="0.3">
      <c r="B170" s="258" t="s">
        <v>528</v>
      </c>
      <c r="C170" s="257">
        <v>572.30999999999995</v>
      </c>
      <c r="D170" s="257">
        <v>14446004</v>
      </c>
      <c r="O170" s="259" t="s">
        <v>529</v>
      </c>
      <c r="P170">
        <v>569.29999999999995</v>
      </c>
      <c r="Q170">
        <v>30445036</v>
      </c>
    </row>
    <row r="171" spans="2:17" x14ac:dyDescent="0.3">
      <c r="B171" s="258" t="s">
        <v>529</v>
      </c>
      <c r="C171" s="257">
        <v>569.29999999999995</v>
      </c>
      <c r="D171" s="257">
        <v>30445036</v>
      </c>
      <c r="O171" s="259" t="s">
        <v>530</v>
      </c>
      <c r="P171">
        <v>581.41</v>
      </c>
      <c r="Q171">
        <v>11183153</v>
      </c>
    </row>
    <row r="172" spans="2:17" x14ac:dyDescent="0.3">
      <c r="B172" s="258" t="s">
        <v>530</v>
      </c>
      <c r="C172" s="257">
        <v>581.41</v>
      </c>
      <c r="D172" s="257">
        <v>11183153</v>
      </c>
      <c r="O172" s="259" t="s">
        <v>531</v>
      </c>
      <c r="P172">
        <v>571.19000000000005</v>
      </c>
      <c r="Q172">
        <v>5690122</v>
      </c>
    </row>
    <row r="173" spans="2:17" x14ac:dyDescent="0.3">
      <c r="B173" s="258" t="s">
        <v>531</v>
      </c>
      <c r="C173" s="257">
        <v>571.19000000000005</v>
      </c>
      <c r="D173" s="257">
        <v>5690122</v>
      </c>
      <c r="O173" s="259" t="s">
        <v>532</v>
      </c>
      <c r="P173">
        <v>561.66</v>
      </c>
      <c r="Q173">
        <v>6725992</v>
      </c>
    </row>
    <row r="174" spans="2:17" x14ac:dyDescent="0.3">
      <c r="B174" s="258" t="s">
        <v>532</v>
      </c>
      <c r="C174" s="257">
        <v>561.66</v>
      </c>
      <c r="D174" s="257">
        <v>6725992</v>
      </c>
      <c r="O174" s="259" t="s">
        <v>533</v>
      </c>
      <c r="P174">
        <v>576.47</v>
      </c>
      <c r="Q174">
        <v>8412332</v>
      </c>
    </row>
    <row r="175" spans="2:17" x14ac:dyDescent="0.3">
      <c r="B175" s="258" t="s">
        <v>533</v>
      </c>
      <c r="C175" s="257">
        <v>576.47</v>
      </c>
      <c r="D175" s="257">
        <v>8412332</v>
      </c>
      <c r="O175" s="259" t="s">
        <v>534</v>
      </c>
      <c r="P175">
        <v>571.48</v>
      </c>
      <c r="Q175">
        <v>11779735</v>
      </c>
    </row>
    <row r="176" spans="2:17" x14ac:dyDescent="0.3">
      <c r="B176" s="258" t="s">
        <v>534</v>
      </c>
      <c r="C176" s="257">
        <v>571.48</v>
      </c>
      <c r="D176" s="257">
        <v>11779735</v>
      </c>
      <c r="O176" s="259" t="s">
        <v>535</v>
      </c>
      <c r="P176">
        <v>546.32000000000005</v>
      </c>
      <c r="Q176">
        <v>8645455</v>
      </c>
    </row>
    <row r="177" spans="2:17" x14ac:dyDescent="0.3">
      <c r="B177" s="258" t="s">
        <v>535</v>
      </c>
      <c r="C177" s="257">
        <v>546.32000000000005</v>
      </c>
      <c r="D177" s="257">
        <v>8645455</v>
      </c>
      <c r="O177" s="259" t="s">
        <v>536</v>
      </c>
      <c r="P177">
        <v>558.55999999999995</v>
      </c>
      <c r="Q177">
        <v>11050327</v>
      </c>
    </row>
    <row r="178" spans="2:17" x14ac:dyDescent="0.3">
      <c r="B178" s="258" t="s">
        <v>536</v>
      </c>
      <c r="C178" s="257">
        <v>558.55999999999995</v>
      </c>
      <c r="D178" s="257">
        <v>11050327</v>
      </c>
      <c r="O178" s="259" t="s">
        <v>537</v>
      </c>
      <c r="P178">
        <v>547.04999999999995</v>
      </c>
      <c r="Q178">
        <v>12118863</v>
      </c>
    </row>
    <row r="179" spans="2:17" x14ac:dyDescent="0.3">
      <c r="B179" s="258" t="s">
        <v>537</v>
      </c>
      <c r="C179" s="257">
        <v>547.04999999999995</v>
      </c>
      <c r="D179" s="257">
        <v>12118863</v>
      </c>
      <c r="O179" s="259" t="s">
        <v>538</v>
      </c>
      <c r="P179">
        <v>526.58000000000004</v>
      </c>
      <c r="Q179">
        <v>12739726</v>
      </c>
    </row>
    <row r="180" spans="2:17" x14ac:dyDescent="0.3">
      <c r="B180" s="258" t="s">
        <v>538</v>
      </c>
      <c r="C180" s="257">
        <v>526.58000000000004</v>
      </c>
      <c r="D180" s="257">
        <v>12739726</v>
      </c>
      <c r="O180" s="259" t="s">
        <v>539</v>
      </c>
      <c r="P180">
        <v>513.36</v>
      </c>
      <c r="Q180">
        <v>14444576</v>
      </c>
    </row>
    <row r="181" spans="2:17" x14ac:dyDescent="0.3">
      <c r="B181" s="258" t="s">
        <v>539</v>
      </c>
      <c r="C181" s="257">
        <v>513.36</v>
      </c>
      <c r="D181" s="257">
        <v>14444576</v>
      </c>
      <c r="O181" s="259" t="s">
        <v>540</v>
      </c>
      <c r="P181">
        <v>519.51</v>
      </c>
      <c r="Q181">
        <v>10631040</v>
      </c>
    </row>
    <row r="182" spans="2:17" x14ac:dyDescent="0.3">
      <c r="B182" s="258" t="s">
        <v>540</v>
      </c>
      <c r="C182" s="257">
        <v>519.51</v>
      </c>
      <c r="D182" s="257">
        <v>10631040</v>
      </c>
      <c r="O182" s="259" t="s">
        <v>541</v>
      </c>
      <c r="P182">
        <v>517.82000000000005</v>
      </c>
      <c r="Q182">
        <v>16139853</v>
      </c>
    </row>
    <row r="183" spans="2:17" x14ac:dyDescent="0.3">
      <c r="B183" s="258" t="s">
        <v>541</v>
      </c>
      <c r="C183" s="257">
        <v>517.82000000000005</v>
      </c>
      <c r="D183" s="257">
        <v>16139853</v>
      </c>
      <c r="O183" s="259" t="s">
        <v>542</v>
      </c>
      <c r="P183">
        <v>517.42999999999995</v>
      </c>
      <c r="Q183">
        <v>15554034</v>
      </c>
    </row>
    <row r="184" spans="2:17" x14ac:dyDescent="0.3">
      <c r="B184" s="258" t="s">
        <v>542</v>
      </c>
      <c r="C184" s="257">
        <v>517.42999999999995</v>
      </c>
      <c r="D184" s="257">
        <v>15554034</v>
      </c>
      <c r="O184" s="259" t="s">
        <v>543</v>
      </c>
      <c r="P184">
        <v>520.77</v>
      </c>
      <c r="Q184">
        <v>11956395</v>
      </c>
    </row>
    <row r="185" spans="2:17" x14ac:dyDescent="0.3">
      <c r="B185" s="258" t="s">
        <v>543</v>
      </c>
      <c r="C185" s="257">
        <v>520.77</v>
      </c>
      <c r="D185" s="257">
        <v>11956395</v>
      </c>
      <c r="O185" s="259" t="s">
        <v>544</v>
      </c>
      <c r="P185">
        <v>541.96</v>
      </c>
      <c r="Q185">
        <v>9151673</v>
      </c>
    </row>
    <row r="186" spans="2:17" x14ac:dyDescent="0.3">
      <c r="B186" s="258" t="s">
        <v>544</v>
      </c>
      <c r="C186" s="257">
        <v>541.96</v>
      </c>
      <c r="D186" s="257">
        <v>9151673</v>
      </c>
      <c r="O186" s="259" t="s">
        <v>545</v>
      </c>
      <c r="P186">
        <v>556.53</v>
      </c>
      <c r="Q186">
        <v>14255040</v>
      </c>
    </row>
    <row r="187" spans="2:17" x14ac:dyDescent="0.3">
      <c r="B187" s="258" t="s">
        <v>545</v>
      </c>
      <c r="C187" s="257">
        <v>556.53</v>
      </c>
      <c r="D187" s="257">
        <v>14255040</v>
      </c>
      <c r="O187" s="259" t="s">
        <v>546</v>
      </c>
      <c r="P187">
        <v>542.5</v>
      </c>
      <c r="Q187">
        <v>10508261</v>
      </c>
    </row>
    <row r="188" spans="2:17" x14ac:dyDescent="0.3">
      <c r="B188" s="258" t="s">
        <v>546</v>
      </c>
      <c r="C188" s="257">
        <v>542.5</v>
      </c>
      <c r="D188" s="257">
        <v>10508261</v>
      </c>
      <c r="O188" s="259" t="s">
        <v>547</v>
      </c>
      <c r="P188">
        <v>521.35</v>
      </c>
      <c r="Q188">
        <v>5028402</v>
      </c>
    </row>
    <row r="189" spans="2:17" x14ac:dyDescent="0.3">
      <c r="B189" s="258" t="s">
        <v>547</v>
      </c>
      <c r="C189" s="257">
        <v>521.35</v>
      </c>
      <c r="D189" s="257">
        <v>5028402</v>
      </c>
      <c r="O189" s="259" t="s">
        <v>548</v>
      </c>
      <c r="P189">
        <v>512.78</v>
      </c>
      <c r="Q189">
        <v>8036651</v>
      </c>
    </row>
    <row r="190" spans="2:17" x14ac:dyDescent="0.3">
      <c r="B190" s="258" t="s">
        <v>548</v>
      </c>
      <c r="C190" s="257">
        <v>512.78</v>
      </c>
      <c r="D190" s="257">
        <v>8036651</v>
      </c>
      <c r="O190" s="259" t="s">
        <v>549</v>
      </c>
      <c r="P190">
        <v>507.94</v>
      </c>
      <c r="Q190">
        <v>9978587</v>
      </c>
    </row>
    <row r="191" spans="2:17" x14ac:dyDescent="0.3">
      <c r="B191" s="258" t="s">
        <v>549</v>
      </c>
      <c r="C191" s="257">
        <v>507.94</v>
      </c>
      <c r="D191" s="257">
        <v>9978587</v>
      </c>
      <c r="O191" s="259" t="s">
        <v>550</v>
      </c>
      <c r="P191">
        <v>506.64</v>
      </c>
      <c r="Q191">
        <v>7025133</v>
      </c>
    </row>
    <row r="192" spans="2:17" x14ac:dyDescent="0.3">
      <c r="B192" s="258" t="s">
        <v>550</v>
      </c>
      <c r="C192" s="257">
        <v>506.64</v>
      </c>
      <c r="D192" s="257">
        <v>7025133</v>
      </c>
      <c r="O192" s="259" t="s">
        <v>551</v>
      </c>
      <c r="P192">
        <v>507.56</v>
      </c>
      <c r="Q192">
        <v>14403374</v>
      </c>
    </row>
    <row r="193" spans="2:17" x14ac:dyDescent="0.3">
      <c r="B193" s="258" t="s">
        <v>551</v>
      </c>
      <c r="C193" s="257">
        <v>507.56</v>
      </c>
      <c r="D193" s="257">
        <v>14403374</v>
      </c>
      <c r="O193" s="259" t="s">
        <v>552</v>
      </c>
      <c r="P193">
        <v>486.94</v>
      </c>
      <c r="Q193">
        <v>18489185</v>
      </c>
    </row>
    <row r="194" spans="2:17" x14ac:dyDescent="0.3">
      <c r="B194" s="258" t="s">
        <v>552</v>
      </c>
      <c r="C194" s="257">
        <v>486.94</v>
      </c>
      <c r="D194" s="257">
        <v>18489185</v>
      </c>
      <c r="O194" s="259" t="s">
        <v>553</v>
      </c>
      <c r="P194">
        <v>496.96</v>
      </c>
      <c r="Q194">
        <v>25396777</v>
      </c>
    </row>
    <row r="195" spans="2:17" x14ac:dyDescent="0.3">
      <c r="B195" s="258" t="s">
        <v>553</v>
      </c>
      <c r="C195" s="257">
        <v>496.96</v>
      </c>
      <c r="D195" s="257">
        <v>25396777</v>
      </c>
      <c r="O195" s="259" t="s">
        <v>554</v>
      </c>
      <c r="P195">
        <v>516.85</v>
      </c>
      <c r="Q195">
        <v>17529732</v>
      </c>
    </row>
    <row r="196" spans="2:17" x14ac:dyDescent="0.3">
      <c r="B196" s="258" t="s">
        <v>554</v>
      </c>
      <c r="C196" s="257">
        <v>516.85</v>
      </c>
      <c r="D196" s="257">
        <v>17529732</v>
      </c>
      <c r="O196" s="259" t="s">
        <v>555</v>
      </c>
      <c r="P196">
        <v>504.99</v>
      </c>
      <c r="Q196">
        <v>15255116</v>
      </c>
    </row>
    <row r="197" spans="2:17" x14ac:dyDescent="0.3">
      <c r="B197" s="258" t="s">
        <v>555</v>
      </c>
      <c r="C197" s="257">
        <v>504.99</v>
      </c>
      <c r="D197" s="257">
        <v>15255116</v>
      </c>
      <c r="O197" s="259" t="s">
        <v>556</v>
      </c>
      <c r="P197">
        <v>498.02</v>
      </c>
      <c r="Q197">
        <v>13671737</v>
      </c>
    </row>
    <row r="198" spans="2:17" x14ac:dyDescent="0.3">
      <c r="B198" s="258" t="s">
        <v>556</v>
      </c>
      <c r="C198" s="257">
        <v>498.02</v>
      </c>
      <c r="D198" s="257">
        <v>13671737</v>
      </c>
      <c r="O198" s="259" t="s">
        <v>557</v>
      </c>
      <c r="P198">
        <v>515.83000000000004</v>
      </c>
      <c r="Q198">
        <v>11410797</v>
      </c>
    </row>
    <row r="199" spans="2:17" x14ac:dyDescent="0.3">
      <c r="B199" s="258" t="s">
        <v>557</v>
      </c>
      <c r="C199" s="257">
        <v>515.83000000000004</v>
      </c>
      <c r="D199" s="257">
        <v>11410797</v>
      </c>
      <c r="O199" s="259" t="s">
        <v>558</v>
      </c>
      <c r="P199">
        <v>523.38</v>
      </c>
      <c r="Q199">
        <v>18423138</v>
      </c>
    </row>
    <row r="200" spans="2:17" x14ac:dyDescent="0.3">
      <c r="B200" s="258" t="s">
        <v>558</v>
      </c>
      <c r="C200" s="257">
        <v>523.38</v>
      </c>
      <c r="D200" s="257">
        <v>18423138</v>
      </c>
      <c r="O200" s="259" t="s">
        <v>559</v>
      </c>
      <c r="P200">
        <v>522.75</v>
      </c>
      <c r="Q200">
        <v>15495255</v>
      </c>
    </row>
    <row r="201" spans="2:17" x14ac:dyDescent="0.3">
      <c r="B201" s="258" t="s">
        <v>559</v>
      </c>
      <c r="C201" s="257">
        <v>522.75</v>
      </c>
      <c r="D201" s="257">
        <v>15495255</v>
      </c>
      <c r="O201" s="259" t="s">
        <v>560</v>
      </c>
      <c r="P201">
        <v>517.04</v>
      </c>
      <c r="Q201">
        <v>23886521</v>
      </c>
    </row>
    <row r="202" spans="2:17" x14ac:dyDescent="0.3">
      <c r="B202" s="258" t="s">
        <v>560</v>
      </c>
      <c r="C202" s="257">
        <v>517.04</v>
      </c>
      <c r="D202" s="257">
        <v>23886521</v>
      </c>
      <c r="O202" s="259" t="s">
        <v>561</v>
      </c>
      <c r="P202">
        <v>498.02</v>
      </c>
      <c r="Q202">
        <v>15829855</v>
      </c>
    </row>
    <row r="203" spans="2:17" x14ac:dyDescent="0.3">
      <c r="B203" s="258" t="s">
        <v>561</v>
      </c>
      <c r="C203" s="257">
        <v>498.02</v>
      </c>
      <c r="D203" s="257">
        <v>15829855</v>
      </c>
      <c r="O203" s="259" t="s">
        <v>562</v>
      </c>
      <c r="P203">
        <v>492.99</v>
      </c>
      <c r="Q203">
        <v>16645385</v>
      </c>
    </row>
    <row r="204" spans="2:17" x14ac:dyDescent="0.3">
      <c r="B204" s="258" t="s">
        <v>562</v>
      </c>
      <c r="C204" s="257">
        <v>492.99</v>
      </c>
      <c r="D204" s="257">
        <v>16645385</v>
      </c>
      <c r="O204" s="259" t="s">
        <v>563</v>
      </c>
      <c r="P204">
        <v>497.3</v>
      </c>
      <c r="Q204">
        <v>26424427</v>
      </c>
    </row>
    <row r="205" spans="2:17" x14ac:dyDescent="0.3">
      <c r="B205" s="258" t="s">
        <v>563</v>
      </c>
      <c r="C205" s="257">
        <v>497.3</v>
      </c>
      <c r="D205" s="257">
        <v>26424427</v>
      </c>
      <c r="O205" s="259" t="s">
        <v>564</v>
      </c>
      <c r="P205">
        <v>486.17</v>
      </c>
      <c r="Q205">
        <v>12156385</v>
      </c>
    </row>
    <row r="206" spans="2:17" x14ac:dyDescent="0.3">
      <c r="B206" s="258" t="s">
        <v>564</v>
      </c>
      <c r="C206" s="257">
        <v>486.17</v>
      </c>
      <c r="D206" s="257">
        <v>12156385</v>
      </c>
      <c r="O206" s="259" t="s">
        <v>565</v>
      </c>
      <c r="P206">
        <v>483.75</v>
      </c>
      <c r="Q206">
        <v>21682655</v>
      </c>
    </row>
    <row r="207" spans="2:17" x14ac:dyDescent="0.3">
      <c r="B207" s="258" t="s">
        <v>565</v>
      </c>
      <c r="C207" s="257">
        <v>483.75</v>
      </c>
      <c r="D207" s="257">
        <v>21682655</v>
      </c>
      <c r="O207" s="259" t="s">
        <v>566</v>
      </c>
      <c r="P207">
        <v>492.07</v>
      </c>
      <c r="Q207">
        <v>16805930</v>
      </c>
    </row>
    <row r="208" spans="2:17" x14ac:dyDescent="0.3">
      <c r="B208" s="258" t="s">
        <v>566</v>
      </c>
      <c r="C208" s="257">
        <v>492.07</v>
      </c>
      <c r="D208" s="257">
        <v>16805930</v>
      </c>
      <c r="O208" s="259" t="s">
        <v>567</v>
      </c>
      <c r="P208">
        <v>498.84</v>
      </c>
      <c r="Q208">
        <v>23815668</v>
      </c>
    </row>
    <row r="209" spans="2:17" x14ac:dyDescent="0.3">
      <c r="B209" s="258" t="s">
        <v>567</v>
      </c>
      <c r="C209" s="257">
        <v>498.84</v>
      </c>
      <c r="D209" s="257">
        <v>23815668</v>
      </c>
      <c r="O209" s="259" t="s">
        <v>568</v>
      </c>
      <c r="P209">
        <v>508.53</v>
      </c>
      <c r="Q209">
        <v>28205203</v>
      </c>
    </row>
    <row r="210" spans="2:17" x14ac:dyDescent="0.3">
      <c r="B210" s="258" t="s">
        <v>568</v>
      </c>
      <c r="C210" s="257">
        <v>508.53</v>
      </c>
      <c r="D210" s="257">
        <v>28205203</v>
      </c>
      <c r="O210" s="259" t="s">
        <v>569</v>
      </c>
      <c r="P210">
        <v>493.34</v>
      </c>
      <c r="Q210">
        <v>13271934</v>
      </c>
    </row>
    <row r="211" spans="2:17" x14ac:dyDescent="0.3">
      <c r="B211" s="258" t="s">
        <v>569</v>
      </c>
      <c r="C211" s="257">
        <v>493.34</v>
      </c>
      <c r="D211" s="257">
        <v>13271934</v>
      </c>
      <c r="O211" s="259" t="s">
        <v>570</v>
      </c>
      <c r="P211">
        <v>500.77</v>
      </c>
      <c r="Q211">
        <v>22370886</v>
      </c>
    </row>
    <row r="212" spans="2:17" x14ac:dyDescent="0.3">
      <c r="B212" s="258" t="s">
        <v>570</v>
      </c>
      <c r="C212" s="257">
        <v>500.77</v>
      </c>
      <c r="D212" s="257">
        <v>22370886</v>
      </c>
      <c r="O212" s="259" t="s">
        <v>571</v>
      </c>
      <c r="P212">
        <v>493.58</v>
      </c>
      <c r="Q212">
        <v>15018472</v>
      </c>
    </row>
    <row r="213" spans="2:17" x14ac:dyDescent="0.3">
      <c r="B213" s="258" t="s">
        <v>571</v>
      </c>
      <c r="C213" s="257">
        <v>493.58</v>
      </c>
      <c r="D213" s="257">
        <v>15018472</v>
      </c>
      <c r="O213" s="259" t="s">
        <v>572</v>
      </c>
      <c r="P213">
        <v>500.72</v>
      </c>
      <c r="Q213">
        <v>17917721</v>
      </c>
    </row>
    <row r="214" spans="2:17" x14ac:dyDescent="0.3">
      <c r="B214" s="258" t="s">
        <v>572</v>
      </c>
      <c r="C214" s="257">
        <v>500.72</v>
      </c>
      <c r="D214" s="257">
        <v>17917721</v>
      </c>
      <c r="O214" s="259" t="s">
        <v>573</v>
      </c>
      <c r="P214">
        <v>495.61</v>
      </c>
      <c r="Q214">
        <v>12562239</v>
      </c>
    </row>
    <row r="215" spans="2:17" x14ac:dyDescent="0.3">
      <c r="B215" s="258" t="s">
        <v>573</v>
      </c>
      <c r="C215" s="257">
        <v>495.61</v>
      </c>
      <c r="D215" s="257">
        <v>12562239</v>
      </c>
      <c r="O215" s="259" t="s">
        <v>574</v>
      </c>
      <c r="P215">
        <v>475.16</v>
      </c>
      <c r="Q215">
        <v>11894355</v>
      </c>
    </row>
    <row r="216" spans="2:17" x14ac:dyDescent="0.3">
      <c r="B216" s="258" t="s">
        <v>574</v>
      </c>
      <c r="C216" s="257">
        <v>475.16</v>
      </c>
      <c r="D216" s="257">
        <v>11894355</v>
      </c>
      <c r="O216" s="259" t="s">
        <v>575</v>
      </c>
      <c r="P216">
        <v>490.45</v>
      </c>
      <c r="Q216">
        <v>14809409</v>
      </c>
    </row>
    <row r="217" spans="2:17" x14ac:dyDescent="0.3">
      <c r="B217" s="258" t="s">
        <v>575</v>
      </c>
      <c r="C217" s="257">
        <v>490.45</v>
      </c>
      <c r="D217" s="257">
        <v>14809409</v>
      </c>
      <c r="O217" s="259" t="s">
        <v>576</v>
      </c>
      <c r="P217">
        <v>490.25</v>
      </c>
      <c r="Q217">
        <v>14728222</v>
      </c>
    </row>
    <row r="218" spans="2:17" x14ac:dyDescent="0.3">
      <c r="B218" s="258" t="s">
        <v>576</v>
      </c>
      <c r="C218" s="257">
        <v>490.25</v>
      </c>
      <c r="D218" s="257">
        <v>14728222</v>
      </c>
      <c r="O218" s="259" t="s">
        <v>577</v>
      </c>
      <c r="P218">
        <v>466.67</v>
      </c>
      <c r="Q218">
        <v>15539879</v>
      </c>
    </row>
    <row r="219" spans="2:17" x14ac:dyDescent="0.3">
      <c r="B219" s="258" t="s">
        <v>577</v>
      </c>
      <c r="C219" s="257">
        <v>466.67</v>
      </c>
      <c r="D219" s="257">
        <v>15539879</v>
      </c>
      <c r="O219" s="259" t="s">
        <v>578</v>
      </c>
      <c r="P219">
        <v>471.78</v>
      </c>
      <c r="Q219">
        <v>12555582</v>
      </c>
    </row>
    <row r="220" spans="2:17" x14ac:dyDescent="0.3">
      <c r="B220" s="258" t="s">
        <v>578</v>
      </c>
      <c r="C220" s="257">
        <v>471.78</v>
      </c>
      <c r="D220" s="257">
        <v>12555582</v>
      </c>
      <c r="O220" s="259" t="s">
        <v>579</v>
      </c>
      <c r="P220">
        <v>474.53</v>
      </c>
      <c r="Q220">
        <v>13099727</v>
      </c>
    </row>
    <row r="221" spans="2:17" x14ac:dyDescent="0.3">
      <c r="B221" s="258" t="s">
        <v>579</v>
      </c>
      <c r="C221" s="257">
        <v>474.53</v>
      </c>
      <c r="D221" s="257">
        <v>13099727</v>
      </c>
      <c r="O221" s="259" t="s">
        <v>580</v>
      </c>
      <c r="P221">
        <v>477.97</v>
      </c>
      <c r="Q221">
        <v>23224590</v>
      </c>
    </row>
    <row r="222" spans="2:17" x14ac:dyDescent="0.3">
      <c r="B222" s="258" t="s">
        <v>580</v>
      </c>
      <c r="C222" s="257">
        <v>477.97</v>
      </c>
      <c r="D222" s="257">
        <v>23224590</v>
      </c>
      <c r="O222" s="259" t="s">
        <v>581</v>
      </c>
      <c r="P222">
        <v>492.59</v>
      </c>
      <c r="Q222">
        <v>14185484</v>
      </c>
    </row>
    <row r="223" spans="2:17" x14ac:dyDescent="0.3">
      <c r="B223" s="258" t="s">
        <v>581</v>
      </c>
      <c r="C223" s="257">
        <v>492.59</v>
      </c>
      <c r="D223" s="257">
        <v>14185484</v>
      </c>
      <c r="O223" s="259" t="s">
        <v>582</v>
      </c>
      <c r="P223">
        <v>493.79</v>
      </c>
      <c r="Q223">
        <v>30627636</v>
      </c>
    </row>
    <row r="224" spans="2:17" x14ac:dyDescent="0.3">
      <c r="B224" s="258" t="s">
        <v>582</v>
      </c>
      <c r="C224" s="257">
        <v>493.79</v>
      </c>
      <c r="D224" s="257">
        <v>30627636</v>
      </c>
      <c r="O224" s="259" t="s">
        <v>583</v>
      </c>
      <c r="P224">
        <v>453.36</v>
      </c>
      <c r="Q224">
        <v>14403652</v>
      </c>
    </row>
    <row r="225" spans="2:17" x14ac:dyDescent="0.3">
      <c r="B225" s="258" t="s">
        <v>583</v>
      </c>
      <c r="C225" s="257">
        <v>453.36</v>
      </c>
      <c r="D225" s="257">
        <v>14403652</v>
      </c>
      <c r="O225" s="259" t="s">
        <v>584</v>
      </c>
      <c r="P225">
        <v>471.87</v>
      </c>
      <c r="Q225">
        <v>17579265</v>
      </c>
    </row>
    <row r="226" spans="2:17" x14ac:dyDescent="0.3">
      <c r="B226" s="258" t="s">
        <v>584</v>
      </c>
      <c r="C226" s="257">
        <v>471.87</v>
      </c>
      <c r="D226" s="257">
        <v>17579265</v>
      </c>
      <c r="O226" s="259" t="s">
        <v>585</v>
      </c>
      <c r="P226">
        <v>455.91</v>
      </c>
      <c r="Q226">
        <v>14007222</v>
      </c>
    </row>
    <row r="227" spans="2:17" x14ac:dyDescent="0.3">
      <c r="B227" s="258" t="s">
        <v>585</v>
      </c>
      <c r="C227" s="257">
        <v>455.91</v>
      </c>
      <c r="D227" s="257">
        <v>14007222</v>
      </c>
      <c r="O227" s="259" t="s">
        <v>586</v>
      </c>
      <c r="P227">
        <v>449.08</v>
      </c>
      <c r="Q227">
        <v>17160724</v>
      </c>
    </row>
    <row r="228" spans="2:17" x14ac:dyDescent="0.3">
      <c r="B228" s="258" t="s">
        <v>586</v>
      </c>
      <c r="C228" s="257">
        <v>449.08</v>
      </c>
      <c r="D228" s="257">
        <v>17160724</v>
      </c>
      <c r="O228" s="259" t="s">
        <v>587</v>
      </c>
      <c r="P228">
        <v>442.64</v>
      </c>
      <c r="Q228">
        <v>19101180</v>
      </c>
    </row>
    <row r="229" spans="2:17" x14ac:dyDescent="0.3">
      <c r="B229" s="258" t="s">
        <v>587</v>
      </c>
      <c r="C229" s="257">
        <v>442.64</v>
      </c>
      <c r="D229" s="257">
        <v>19101180</v>
      </c>
      <c r="O229" s="259" t="s">
        <v>588</v>
      </c>
      <c r="P229">
        <v>426</v>
      </c>
      <c r="Q229">
        <v>18596356</v>
      </c>
    </row>
    <row r="230" spans="2:17" x14ac:dyDescent="0.3">
      <c r="B230" s="258" t="s">
        <v>588</v>
      </c>
      <c r="C230" s="257">
        <v>426</v>
      </c>
      <c r="D230" s="257">
        <v>18596356</v>
      </c>
      <c r="O230" s="259" t="s">
        <v>589</v>
      </c>
      <c r="P230">
        <v>438.12</v>
      </c>
      <c r="Q230">
        <v>17601805</v>
      </c>
    </row>
    <row r="231" spans="2:17" x14ac:dyDescent="0.3">
      <c r="B231" s="258" t="s">
        <v>589</v>
      </c>
      <c r="C231" s="257">
        <v>438.12</v>
      </c>
      <c r="D231" s="257">
        <v>17601805</v>
      </c>
      <c r="O231" s="259" t="s">
        <v>590</v>
      </c>
      <c r="P231">
        <v>445.04</v>
      </c>
      <c r="Q231">
        <v>18471077</v>
      </c>
    </row>
    <row r="232" spans="2:17" x14ac:dyDescent="0.3">
      <c r="B232" s="258" t="s">
        <v>590</v>
      </c>
      <c r="C232" s="257">
        <v>445.04</v>
      </c>
      <c r="D232" s="257">
        <v>18471077</v>
      </c>
      <c r="O232" s="259" t="s">
        <v>591</v>
      </c>
      <c r="P232">
        <v>448.5</v>
      </c>
      <c r="Q232">
        <v>27682894</v>
      </c>
    </row>
    <row r="233" spans="2:17" x14ac:dyDescent="0.3">
      <c r="B233" s="258" t="s">
        <v>591</v>
      </c>
      <c r="C233" s="257">
        <v>448.5</v>
      </c>
      <c r="D233" s="257">
        <v>27682894</v>
      </c>
      <c r="O233" s="259" t="s">
        <v>592</v>
      </c>
      <c r="P233">
        <v>415.09</v>
      </c>
      <c r="Q233">
        <v>15492976</v>
      </c>
    </row>
    <row r="234" spans="2:17" x14ac:dyDescent="0.3">
      <c r="B234" s="258" t="s">
        <v>592</v>
      </c>
      <c r="C234" s="257">
        <v>415.09</v>
      </c>
      <c r="D234" s="257">
        <v>15492976</v>
      </c>
      <c r="O234" s="259" t="s">
        <v>593</v>
      </c>
      <c r="P234">
        <v>426.82</v>
      </c>
      <c r="Q234">
        <v>15319154</v>
      </c>
    </row>
    <row r="235" spans="2:17" x14ac:dyDescent="0.3">
      <c r="B235" s="258" t="s">
        <v>593</v>
      </c>
      <c r="C235" s="257">
        <v>426.82</v>
      </c>
      <c r="D235" s="257">
        <v>15319154</v>
      </c>
      <c r="O235" s="259" t="s">
        <v>594</v>
      </c>
      <c r="P235">
        <v>429.61</v>
      </c>
      <c r="Q235">
        <v>17626228</v>
      </c>
    </row>
    <row r="236" spans="2:17" x14ac:dyDescent="0.3">
      <c r="B236" s="258" t="s">
        <v>594</v>
      </c>
      <c r="C236" s="257">
        <v>429.61</v>
      </c>
      <c r="D236" s="257">
        <v>17626228</v>
      </c>
      <c r="O236" s="259" t="s">
        <v>595</v>
      </c>
      <c r="P236">
        <v>470.47</v>
      </c>
      <c r="Q236">
        <v>13291131</v>
      </c>
    </row>
    <row r="237" spans="2:17" x14ac:dyDescent="0.3">
      <c r="B237" s="258" t="s">
        <v>595</v>
      </c>
      <c r="C237" s="257">
        <v>470.47</v>
      </c>
      <c r="D237" s="257">
        <v>13291131</v>
      </c>
      <c r="O237" s="259" t="s">
        <v>596</v>
      </c>
      <c r="P237">
        <v>479.85</v>
      </c>
      <c r="Q237">
        <v>17254207</v>
      </c>
    </row>
    <row r="238" spans="2:17" x14ac:dyDescent="0.3">
      <c r="B238" s="258" t="s">
        <v>596</v>
      </c>
      <c r="C238" s="257">
        <v>479.85</v>
      </c>
      <c r="D238" s="257">
        <v>17254207</v>
      </c>
      <c r="O238" s="259" t="s">
        <v>597</v>
      </c>
      <c r="P238">
        <v>471.24</v>
      </c>
      <c r="Q238">
        <v>13981512</v>
      </c>
    </row>
    <row r="239" spans="2:17" x14ac:dyDescent="0.3">
      <c r="B239" s="258" t="s">
        <v>597</v>
      </c>
      <c r="C239" s="257">
        <v>471.24</v>
      </c>
      <c r="D239" s="257">
        <v>13981512</v>
      </c>
      <c r="O239" s="259" t="s">
        <v>598</v>
      </c>
      <c r="P239">
        <v>466.68</v>
      </c>
      <c r="Q239">
        <v>15542308</v>
      </c>
    </row>
    <row r="240" spans="2:17" x14ac:dyDescent="0.3">
      <c r="B240" s="258" t="s">
        <v>598</v>
      </c>
      <c r="C240" s="257">
        <v>466.68</v>
      </c>
      <c r="D240" s="257">
        <v>15542308</v>
      </c>
      <c r="O240" s="259" t="s">
        <v>599</v>
      </c>
      <c r="P240">
        <v>411.34</v>
      </c>
      <c r="Q240">
        <v>12868506</v>
      </c>
    </row>
    <row r="241" spans="2:17" x14ac:dyDescent="0.3">
      <c r="B241" s="258" t="s">
        <v>599</v>
      </c>
      <c r="C241" s="257">
        <v>411.34</v>
      </c>
      <c r="D241" s="257">
        <v>12868506</v>
      </c>
      <c r="O241" s="259" t="s">
        <v>600</v>
      </c>
      <c r="P241">
        <v>406.73</v>
      </c>
      <c r="Q241">
        <v>21496850</v>
      </c>
    </row>
    <row r="242" spans="2:17" x14ac:dyDescent="0.3">
      <c r="B242" s="258" t="s">
        <v>600</v>
      </c>
      <c r="C242" s="257">
        <v>406.73</v>
      </c>
      <c r="D242" s="257">
        <v>21496850</v>
      </c>
      <c r="O242" s="259" t="s">
        <v>601</v>
      </c>
      <c r="P242">
        <v>427.25</v>
      </c>
      <c r="Q242">
        <v>15612706</v>
      </c>
    </row>
    <row r="243" spans="2:17" x14ac:dyDescent="0.3">
      <c r="B243" s="258" t="s">
        <v>601</v>
      </c>
      <c r="C243" s="257">
        <v>427.25</v>
      </c>
      <c r="D243" s="257">
        <v>15612706</v>
      </c>
      <c r="O243" s="259" t="s">
        <v>602</v>
      </c>
      <c r="P243">
        <v>433.26</v>
      </c>
      <c r="Q243">
        <v>11959813</v>
      </c>
    </row>
    <row r="244" spans="2:17" x14ac:dyDescent="0.3">
      <c r="B244" s="258" t="s">
        <v>602</v>
      </c>
      <c r="C244" s="257">
        <v>433.26</v>
      </c>
      <c r="D244" s="257">
        <v>11959813</v>
      </c>
      <c r="O244" s="259" t="s">
        <v>603</v>
      </c>
      <c r="P244">
        <v>481.29</v>
      </c>
      <c r="Q244">
        <v>16873213</v>
      </c>
    </row>
    <row r="245" spans="2:17" x14ac:dyDescent="0.3">
      <c r="B245" s="258" t="s">
        <v>603</v>
      </c>
      <c r="C245" s="257">
        <v>481.29</v>
      </c>
      <c r="D245" s="257">
        <v>16873213</v>
      </c>
      <c r="O245" s="259" t="s">
        <v>604</v>
      </c>
      <c r="P245">
        <v>477.01</v>
      </c>
      <c r="Q245">
        <v>15760670</v>
      </c>
    </row>
    <row r="246" spans="2:17" x14ac:dyDescent="0.3">
      <c r="B246" s="258" t="s">
        <v>604</v>
      </c>
      <c r="C246" s="257">
        <v>477.01</v>
      </c>
      <c r="D246" s="257">
        <v>15760670</v>
      </c>
      <c r="O246" s="259" t="s">
        <v>605</v>
      </c>
      <c r="P246">
        <v>486.68</v>
      </c>
      <c r="Q246">
        <v>9555222</v>
      </c>
    </row>
    <row r="247" spans="2:17" x14ac:dyDescent="0.3">
      <c r="B247" s="258" t="s">
        <v>605</v>
      </c>
      <c r="C247" s="257">
        <v>486.68</v>
      </c>
      <c r="D247" s="257">
        <v>9555222</v>
      </c>
      <c r="O247" s="259" t="s">
        <v>606</v>
      </c>
      <c r="P247">
        <v>486.63</v>
      </c>
      <c r="Q247">
        <v>8006367</v>
      </c>
    </row>
    <row r="248" spans="2:17" x14ac:dyDescent="0.3">
      <c r="B248" s="258" t="s">
        <v>606</v>
      </c>
      <c r="C248" s="257">
        <v>486.63</v>
      </c>
      <c r="D248" s="257">
        <v>8006367</v>
      </c>
      <c r="O248" s="259" t="s">
        <v>607</v>
      </c>
      <c r="P248">
        <v>493.89</v>
      </c>
      <c r="Q248">
        <v>11715521</v>
      </c>
    </row>
    <row r="249" spans="2:17" x14ac:dyDescent="0.3">
      <c r="B249" s="258" t="s">
        <v>607</v>
      </c>
      <c r="C249" s="257">
        <v>493.89</v>
      </c>
      <c r="D249" s="257">
        <v>11715521</v>
      </c>
      <c r="O249" s="259" t="s">
        <v>608</v>
      </c>
      <c r="P249">
        <v>467.69</v>
      </c>
      <c r="Q249">
        <v>21844058</v>
      </c>
    </row>
    <row r="250" spans="2:17" x14ac:dyDescent="0.3">
      <c r="B250" s="258" t="s">
        <v>608</v>
      </c>
      <c r="C250" s="257">
        <v>467.69</v>
      </c>
      <c r="D250" s="257">
        <v>21844058</v>
      </c>
      <c r="O250" s="259" t="s">
        <v>609</v>
      </c>
      <c r="P250">
        <v>481.24</v>
      </c>
      <c r="Q250">
        <v>6698080</v>
      </c>
    </row>
    <row r="251" spans="2:17" x14ac:dyDescent="0.3">
      <c r="B251" s="258" t="s">
        <v>609</v>
      </c>
      <c r="C251" s="257">
        <v>481.24</v>
      </c>
      <c r="D251" s="257">
        <v>6698080</v>
      </c>
      <c r="O251" s="259" t="s">
        <v>610</v>
      </c>
      <c r="P251">
        <v>470.81</v>
      </c>
      <c r="Q251">
        <v>8935665</v>
      </c>
    </row>
    <row r="252" spans="2:17" x14ac:dyDescent="0.3">
      <c r="B252" s="258" t="s">
        <v>610</v>
      </c>
      <c r="C252" s="257">
        <v>470.81</v>
      </c>
      <c r="D252" s="257">
        <v>8935665</v>
      </c>
      <c r="O252" s="259" t="s">
        <v>611</v>
      </c>
      <c r="P252">
        <v>448.89</v>
      </c>
      <c r="Q252">
        <v>6522860</v>
      </c>
    </row>
    <row r="253" spans="2:17" x14ac:dyDescent="0.3">
      <c r="B253" s="258" t="s">
        <v>611</v>
      </c>
      <c r="C253" s="257">
        <v>448.89</v>
      </c>
      <c r="D253" s="257">
        <v>6522860</v>
      </c>
      <c r="O253" s="259" t="s">
        <v>612</v>
      </c>
      <c r="P253">
        <v>438.07</v>
      </c>
      <c r="Q253">
        <v>4892062</v>
      </c>
    </row>
    <row r="254" spans="2:17" x14ac:dyDescent="0.3">
      <c r="B254" s="258" t="s">
        <v>612</v>
      </c>
      <c r="C254" s="257">
        <v>438.07</v>
      </c>
      <c r="D254" s="257">
        <v>4892062</v>
      </c>
      <c r="O254" s="259" t="s">
        <v>613</v>
      </c>
      <c r="P254">
        <v>442.11</v>
      </c>
      <c r="Q254">
        <v>3913898</v>
      </c>
    </row>
    <row r="255" spans="2:17" x14ac:dyDescent="0.3">
      <c r="B255" s="258" t="s">
        <v>613</v>
      </c>
      <c r="C255" s="257">
        <v>442.11</v>
      </c>
      <c r="D255" s="257">
        <v>3913898</v>
      </c>
      <c r="O255" s="259" t="s">
        <v>614</v>
      </c>
      <c r="P255">
        <v>442.11</v>
      </c>
      <c r="Q255">
        <v>6046089</v>
      </c>
    </row>
    <row r="256" spans="2:17" x14ac:dyDescent="0.3">
      <c r="B256" s="258" t="s">
        <v>614</v>
      </c>
      <c r="C256" s="257">
        <v>442.11</v>
      </c>
      <c r="D256" s="257">
        <v>6046089</v>
      </c>
      <c r="O256" s="259" t="s">
        <v>615</v>
      </c>
      <c r="P256">
        <v>442.3</v>
      </c>
      <c r="Q256">
        <v>7562964</v>
      </c>
    </row>
    <row r="257" spans="2:17" x14ac:dyDescent="0.3">
      <c r="B257" s="258" t="s">
        <v>615</v>
      </c>
      <c r="C257" s="257">
        <v>442.3</v>
      </c>
      <c r="D257" s="257">
        <v>7562964</v>
      </c>
      <c r="O257" s="259" t="s">
        <v>616</v>
      </c>
      <c r="P257">
        <v>445.96</v>
      </c>
      <c r="Q257">
        <v>12996355</v>
      </c>
    </row>
    <row r="258" spans="2:17" x14ac:dyDescent="0.3">
      <c r="B258" s="258" t="s">
        <v>616</v>
      </c>
      <c r="C258" s="257">
        <v>445.96</v>
      </c>
      <c r="D258" s="257">
        <v>12996355</v>
      </c>
      <c r="O258" s="259" t="s">
        <v>617</v>
      </c>
      <c r="P258">
        <v>441.44</v>
      </c>
      <c r="Q258">
        <v>13773739</v>
      </c>
    </row>
    <row r="259" spans="2:17" x14ac:dyDescent="0.3">
      <c r="B259" s="258" t="s">
        <v>617</v>
      </c>
      <c r="C259" s="257">
        <v>441.44</v>
      </c>
      <c r="D259" s="257">
        <v>13773739</v>
      </c>
      <c r="O259" s="259" t="s">
        <v>618</v>
      </c>
      <c r="P259">
        <v>445.96</v>
      </c>
      <c r="Q259">
        <v>8806385</v>
      </c>
    </row>
    <row r="260" spans="2:17" x14ac:dyDescent="0.3">
      <c r="B260" s="258" t="s">
        <v>618</v>
      </c>
      <c r="C260" s="257">
        <v>445.96</v>
      </c>
      <c r="D260" s="257">
        <v>8806385</v>
      </c>
      <c r="O260" s="259" t="s">
        <v>621</v>
      </c>
      <c r="P260">
        <v>442.64</v>
      </c>
      <c r="Q260">
        <v>5022111</v>
      </c>
    </row>
    <row r="261" spans="2:17" x14ac:dyDescent="0.3">
      <c r="B261" s="258" t="s">
        <v>621</v>
      </c>
      <c r="C261" s="257">
        <v>442.64</v>
      </c>
      <c r="D261" s="257">
        <v>5022111</v>
      </c>
      <c r="O261" s="259" t="s">
        <v>622</v>
      </c>
      <c r="P261">
        <v>454.09</v>
      </c>
      <c r="Q261">
        <v>17439501</v>
      </c>
    </row>
    <row r="262" spans="2:17" x14ac:dyDescent="0.3">
      <c r="B262" s="258" t="s">
        <v>622</v>
      </c>
      <c r="C262" s="257">
        <v>454.09</v>
      </c>
      <c r="D262" s="257">
        <v>17439501</v>
      </c>
      <c r="O262" s="259" t="s">
        <v>623</v>
      </c>
      <c r="P262">
        <v>444.7</v>
      </c>
      <c r="Q262">
        <v>6635292</v>
      </c>
    </row>
    <row r="263" spans="2:17" x14ac:dyDescent="0.3">
      <c r="B263" s="258" t="s">
        <v>623</v>
      </c>
      <c r="C263" s="257">
        <v>444.7</v>
      </c>
      <c r="D263" s="257">
        <v>6635292</v>
      </c>
      <c r="O263" s="259" t="s">
        <v>624</v>
      </c>
      <c r="P263">
        <v>449.92</v>
      </c>
      <c r="Q263">
        <v>5645899</v>
      </c>
    </row>
    <row r="264" spans="2:17" x14ac:dyDescent="0.3">
      <c r="B264" s="258" t="s">
        <v>624</v>
      </c>
      <c r="C264" s="257">
        <v>449.92</v>
      </c>
      <c r="D264" s="257">
        <v>5645899</v>
      </c>
      <c r="O264" s="259" t="s">
        <v>625</v>
      </c>
      <c r="P264">
        <v>447.24</v>
      </c>
      <c r="Q264">
        <v>7746197</v>
      </c>
    </row>
    <row r="265" spans="2:17" x14ac:dyDescent="0.3">
      <c r="B265" s="258" t="s">
        <v>625</v>
      </c>
      <c r="C265" s="257">
        <v>447.24</v>
      </c>
      <c r="D265" s="257">
        <v>7746197</v>
      </c>
      <c r="O265" s="259" t="s">
        <v>626</v>
      </c>
      <c r="P265">
        <v>427.2</v>
      </c>
      <c r="Q265">
        <v>4451998</v>
      </c>
    </row>
    <row r="266" spans="2:17" x14ac:dyDescent="0.3">
      <c r="B266" s="258" t="s">
        <v>626</v>
      </c>
      <c r="C266" s="257">
        <v>427.2</v>
      </c>
      <c r="D266" s="257">
        <v>4451998</v>
      </c>
      <c r="O266" s="259" t="s">
        <v>627</v>
      </c>
      <c r="P266">
        <v>408.12</v>
      </c>
      <c r="Q266">
        <v>6146549</v>
      </c>
    </row>
    <row r="267" spans="2:17" x14ac:dyDescent="0.3">
      <c r="B267" s="258" t="s">
        <v>627</v>
      </c>
      <c r="C267" s="257">
        <v>408.12</v>
      </c>
      <c r="D267" s="257">
        <v>6146549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9AAFF0-358E-4520-94C2-30940B613B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vt:i4>
      </vt:variant>
    </vt:vector>
  </HeadingPairs>
  <TitlesOfParts>
    <vt:vector size="26" baseType="lpstr">
      <vt:lpstr>Profit &amp; Loss</vt:lpstr>
      <vt:lpstr>Quarters</vt:lpstr>
      <vt:lpstr>Balance Sheet</vt:lpstr>
      <vt:lpstr>Cash Flow</vt:lpstr>
      <vt:lpstr>Customization</vt:lpstr>
      <vt:lpstr>Data Room&gt;</vt:lpstr>
      <vt:lpstr>Raw FS</vt:lpstr>
      <vt:lpstr>Data Sheet</vt:lpstr>
      <vt:lpstr>Financials&gt;</vt:lpstr>
      <vt:lpstr>Historical FS</vt:lpstr>
      <vt:lpstr>Ratios</vt:lpstr>
      <vt:lpstr>Common Size Statement</vt:lpstr>
      <vt:lpstr>Forecasting</vt:lpstr>
      <vt:lpstr>Market Return</vt:lpstr>
      <vt:lpstr>WACC</vt:lpstr>
      <vt:lpstr>Intrinsic Growth</vt:lpstr>
      <vt:lpstr>DCF</vt:lpstr>
      <vt:lpstr>Comps Val</vt:lpstr>
      <vt:lpstr>Football Field Analysis</vt:lpstr>
      <vt:lpstr>VAR</vt:lpstr>
      <vt:lpstr>Dupont Analysis</vt:lpstr>
      <vt:lpstr>Altman's Z-Score</vt:lpstr>
      <vt:lpstr>one page report</vt:lpstr>
      <vt:lpstr>Rough</vt:lpstr>
      <vt:lpstr>'Dupont Analysis'!Print_Area</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Gurpreet Singh Sembhi</cp:lastModifiedBy>
  <cp:lastPrinted>2024-10-01T07:55:10Z</cp:lastPrinted>
  <dcterms:created xsi:type="dcterms:W3CDTF">2012-08-17T09:55:37Z</dcterms:created>
  <dcterms:modified xsi:type="dcterms:W3CDTF">2026-04-14T05:27:00Z</dcterms:modified>
</cp:coreProperties>
</file>